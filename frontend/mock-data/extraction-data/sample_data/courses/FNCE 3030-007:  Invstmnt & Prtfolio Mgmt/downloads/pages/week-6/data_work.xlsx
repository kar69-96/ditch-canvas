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936644C6-0C4C-CC44-94F6-27A592775694}" xr6:coauthVersionLast="47" xr6:coauthVersionMax="47" xr10:uidLastSave="{00000000-0000-0000-0000-000000000000}"/>
  <bookViews>
    <workbookView xWindow="0" yWindow="0" windowWidth="27320" windowHeight="15360" activeTab="2" xr2:uid="{00000000-000D-0000-FFFF-FFFF00000000}"/>
  </bookViews>
  <sheets>
    <sheet name="indexes" sheetId="1" r:id="rId1"/>
    <sheet name="bonds" sheetId="2" r:id="rId2"/>
    <sheet name="stocks" sheetId="3" r:id="rId3"/>
  </sheets>
  <definedNames>
    <definedName name="_xlchart.v1.0" hidden="1">stocks!$B$28:$B$297</definedName>
    <definedName name="_xlchart.v1.1" hidden="1">stocks!$B$28:$B$297</definedName>
    <definedName name="jwe8kdj3svgyvz0f">indexes!$A$1:$D$289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3" l="1"/>
  <c r="M24" i="3"/>
  <c r="I24" i="3"/>
  <c r="J24" i="3"/>
  <c r="G24" i="3"/>
  <c r="H24" i="3" s="1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M16" i="3"/>
  <c r="L16" i="3"/>
  <c r="M15" i="3"/>
  <c r="L15" i="3"/>
  <c r="J16" i="3"/>
  <c r="J17" i="3"/>
  <c r="J18" i="3"/>
  <c r="J19" i="3"/>
  <c r="J20" i="3"/>
  <c r="J21" i="3"/>
  <c r="J22" i="3"/>
  <c r="J23" i="3"/>
  <c r="J15" i="3"/>
  <c r="H16" i="3"/>
  <c r="H17" i="3"/>
  <c r="H18" i="3"/>
  <c r="H19" i="3"/>
  <c r="H20" i="3"/>
  <c r="H21" i="3"/>
  <c r="H22" i="3"/>
  <c r="H23" i="3"/>
  <c r="H15" i="3"/>
  <c r="I16" i="3"/>
  <c r="I17" i="3"/>
  <c r="I18" i="3"/>
  <c r="I19" i="3"/>
  <c r="I20" i="3"/>
  <c r="I21" i="3"/>
  <c r="I22" i="3"/>
  <c r="I23" i="3"/>
  <c r="I15" i="3"/>
  <c r="G16" i="3"/>
  <c r="G17" i="3"/>
  <c r="G18" i="3"/>
  <c r="G19" i="3"/>
  <c r="G20" i="3"/>
  <c r="G21" i="3"/>
  <c r="G22" i="3"/>
  <c r="G23" i="3"/>
  <c r="G15" i="3"/>
  <c r="C16" i="3"/>
  <c r="C17" i="3"/>
  <c r="C18" i="3"/>
  <c r="C19" i="3"/>
  <c r="C20" i="3"/>
  <c r="C21" i="3"/>
  <c r="C22" i="3"/>
  <c r="C23" i="3"/>
  <c r="C15" i="3"/>
  <c r="B12" i="3"/>
  <c r="B11" i="3"/>
  <c r="B10" i="3"/>
  <c r="B9" i="3"/>
  <c r="B8" i="3"/>
  <c r="B5" i="3"/>
  <c r="B4" i="3"/>
  <c r="B3" i="3"/>
  <c r="O24" i="3"/>
  <c r="N24" i="3"/>
  <c r="G25" i="3"/>
  <c r="O16" i="3"/>
  <c r="N16" i="3"/>
  <c r="D16" i="3"/>
  <c r="D15" i="3"/>
  <c r="C12" i="3"/>
  <c r="C11" i="3"/>
  <c r="C10" i="3"/>
  <c r="C9" i="3"/>
  <c r="C8" i="3"/>
  <c r="C5" i="3"/>
  <c r="C4" i="3"/>
  <c r="C3" i="3"/>
  <c r="I25" i="3" l="1"/>
</calcChain>
</file>

<file path=xl/sharedStrings.xml><?xml version="1.0" encoding="utf-8"?>
<sst xmlns="http://schemas.openxmlformats.org/spreadsheetml/2006/main" count="457" uniqueCount="322">
  <si>
    <t>Calendar Date</t>
  </si>
  <si>
    <t>Value-Weighted Return-incl. dividends</t>
  </si>
  <si>
    <t>Equal-Weighted Return-incl. dividends</t>
  </si>
  <si>
    <t>Return on the S&amp;P 500 Index</t>
  </si>
  <si>
    <t>30 Year Bond Returns</t>
  </si>
  <si>
    <t>20 Year Bond Returns</t>
  </si>
  <si>
    <t>10 Year Bond Returns</t>
  </si>
  <si>
    <t>7 Year Bond Returns</t>
  </si>
  <si>
    <t>5 Year Bond Returns</t>
  </si>
  <si>
    <t>2 Year Bond Returns</t>
  </si>
  <si>
    <t>1 Year Bond Returns</t>
  </si>
  <si>
    <t>90 Day Bill Returns</t>
  </si>
  <si>
    <t>30 Day Bill Returns</t>
  </si>
  <si>
    <t>Rate of Change in Consumer Price Index</t>
  </si>
  <si>
    <t>Date</t>
  </si>
  <si>
    <t>AAPL</t>
  </si>
  <si>
    <t>IBM</t>
  </si>
  <si>
    <t>SPY</t>
  </si>
  <si>
    <t>GLD</t>
  </si>
  <si>
    <t>USO</t>
  </si>
  <si>
    <t>2000-01-31</t>
  </si>
  <si>
    <t>No Data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</si>
  <si>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</si>
  <si>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</si>
  <si>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</si>
  <si>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</si>
  <si>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</si>
  <si>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</si>
  <si>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</si>
  <si>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</si>
  <si>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</si>
  <si>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</si>
  <si>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</si>
  <si>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</si>
  <si>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</si>
  <si>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</si>
  <si>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</si>
  <si>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</si>
  <si>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</si>
  <si>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</si>
  <si>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</si>
  <si>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</si>
  <si>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</si>
  <si>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</si>
  <si>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</si>
  <si>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</si>
  <si>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</si>
  <si>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</si>
  <si>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</si>
  <si>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</si>
  <si>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</si>
  <si>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</si>
  <si>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</si>
  <si>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</si>
  <si>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</si>
  <si>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</si>
  <si>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</si>
  <si>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</si>
  <si>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</si>
  <si>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</si>
  <si>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</si>
  <si>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</si>
  <si>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</si>
  <si>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</si>
  <si>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</si>
  <si>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</si>
  <si>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</si>
  <si>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</si>
  <si>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</si>
  <si>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</si>
  <si>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</si>
  <si>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</si>
  <si>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</si>
  <si>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</si>
  <si>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</si>
  <si>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</si>
  <si>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</si>
  <si>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</si>
  <si>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</si>
  <si>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</si>
  <si>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</si>
  <si>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</si>
  <si>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</si>
  <si>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</si>
  <si>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</si>
  <si>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</si>
  <si>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</si>
  <si>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</si>
  <si>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</si>
  <si>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</si>
  <si>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</si>
  <si>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</si>
  <si>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</si>
  <si>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</si>
  <si>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</si>
  <si>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</si>
  <si>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</si>
  <si>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</si>
  <si>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</si>
  <si>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</si>
  <si>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</si>
  <si>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</si>
  <si>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</si>
  <si>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</si>
  <si>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</si>
  <si>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</si>
  <si>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</si>
  <si>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</si>
  <si>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</si>
  <si>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</si>
  <si>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</si>
  <si>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</si>
  <si>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</si>
  <si>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</si>
  <si>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</si>
  <si>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</si>
  <si>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</si>
  <si>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</si>
  <si>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</si>
  <si>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</si>
  <si>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</si>
  <si>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</si>
  <si>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</si>
  <si>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</si>
  <si>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</si>
  <si>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</si>
  <si>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</si>
  <si>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</si>
  <si>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</si>
  <si>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</si>
  <si>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</si>
  <si>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</si>
  <si>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</si>
  <si>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</si>
  <si>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</si>
  <si>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</si>
  <si>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</si>
  <si>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</si>
  <si>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</si>
  <si>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</si>
  <si>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</si>
  <si>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</si>
  <si>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</si>
  <si>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</si>
  <si>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</si>
  <si>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</si>
  <si>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</si>
  <si>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</si>
  <si>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</si>
  <si>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</si>
  <si>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</si>
  <si>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</si>
  <si>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</si>
  <si>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</si>
  <si>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</si>
  <si>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</si>
  <si>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</si>
  <si>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</si>
  <si>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</si>
  <si>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</si>
  <si>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</si>
  <si>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</si>
  <si>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</si>
  <si>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</si>
  <si>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</si>
  <si>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</si>
  <si>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</si>
  <si>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</si>
  <si>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</si>
  <si>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</si>
  <si>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</si>
  <si>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</si>
  <si>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</si>
  <si>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</si>
  <si>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</si>
  <si>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</si>
  <si>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</si>
  <si>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</si>
  <si>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</si>
  <si>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</si>
  <si>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</si>
  <si>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</si>
  <si>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</si>
  <si>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</si>
  <si>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</si>
  <si>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</si>
  <si>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</si>
  <si>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</si>
  <si>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</si>
  <si>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</si>
  <si>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</si>
  <si>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</si>
  <si>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</si>
  <si>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</si>
  <si>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</si>
  <si>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</si>
  <si>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</si>
  <si>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</si>
  <si>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</si>
  <si>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</si>
  <si>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</si>
  <si>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</si>
  <si>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</si>
  <si>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</si>
  <si>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</si>
  <si>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</si>
  <si>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</si>
  <si>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</si>
  <si>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</si>
  <si>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</si>
  <si>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</si>
  <si>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</si>
  <si>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</si>
  <si>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</si>
  <si>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</si>
  <si>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</si>
  <si>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</si>
  <si>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</si>
  <si>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</si>
  <si>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</si>
  <si>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</si>
  <si>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</si>
  <si>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</si>
  <si>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</si>
  <si>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</si>
  <si>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</si>
  <si>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</si>
  <si>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</si>
  <si>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</si>
  <si>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</si>
  <si>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</si>
  <si>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</si>
  <si>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</si>
  <si>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</si>
  <si>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</si>
  <si>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</si>
  <si>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</si>
  <si>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</si>
  <si>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</si>
  <si>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</si>
  <si>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</si>
  <si>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</si>
  <si>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</si>
  <si>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</si>
  <si>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</si>
  <si>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</si>
  <si>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</si>
  <si>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</si>
  <si>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</si>
  <si>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</si>
  <si>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</si>
  <si>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</si>
  <si>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</si>
  <si>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</si>
  <si>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</si>
  <si>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</si>
  <si>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</si>
  <si>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</si>
  <si>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</si>
  <si>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</si>
  <si>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</si>
  <si>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</si>
  <si>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</si>
  <si>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</si>
  <si>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</si>
  <si>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</si>
  <si>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</si>
  <si>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</si>
  <si>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</si>
  <si>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</si>
  <si>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</si>
  <si>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</si>
  <si>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</si>
  <si>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</si>
  <si>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</si>
  <si>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</si>
  <si>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</si>
  <si>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</si>
  <si>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</si>
  <si>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</si>
  <si>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</si>
  <si>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</si>
  <si>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</si>
  <si>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</si>
  <si>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</si>
  <si>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</si>
  <si>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</si>
  <si>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</si>
  <si>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</si>
  <si>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</si>
  <si>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</si>
  <si>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Stats</t>
  </si>
  <si>
    <t>Range and Count</t>
  </si>
  <si>
    <t>Min</t>
  </si>
  <si>
    <t>Max</t>
  </si>
  <si>
    <t>Nr Obs</t>
  </si>
  <si>
    <t>Basic Stats</t>
  </si>
  <si>
    <t>Mean</t>
  </si>
  <si>
    <t>Median</t>
  </si>
  <si>
    <t>Most likely</t>
  </si>
  <si>
    <t>St Dev</t>
  </si>
  <si>
    <t>Variance</t>
  </si>
  <si>
    <t>Distribution</t>
  </si>
  <si>
    <t>1% Percentile</t>
  </si>
  <si>
    <t>5% Percentile</t>
  </si>
  <si>
    <t>10% Percentile</t>
  </si>
  <si>
    <t>25% Percentile</t>
  </si>
  <si>
    <t>50% Percentile</t>
  </si>
  <si>
    <t>75% Percentile</t>
  </si>
  <si>
    <t>90% Percentile</t>
  </si>
  <si>
    <t>95% Percentile</t>
  </si>
  <si>
    <t>99% Percentile</t>
  </si>
  <si>
    <t>Frequency</t>
  </si>
  <si>
    <t>Percentile</t>
  </si>
  <si>
    <t>Comparison: Historical vs Normal Distributions</t>
  </si>
  <si>
    <t>Value</t>
  </si>
  <si>
    <t xml:space="preserve">Value </t>
  </si>
  <si>
    <t>Historical</t>
  </si>
  <si>
    <t>Normal</t>
  </si>
  <si>
    <t>Historical Cum Distr</t>
  </si>
  <si>
    <t>Normal Cum Distr</t>
  </si>
  <si>
    <t>Non-cum distr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</si>
</sst>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10" fontId="0" fillId="8" borderId="0" xfId="1" applyNumberFormat="1" applyFont="1" applyFill="1"/>
    <xf numFmtId="10" fontId="0" fillId="6" borderId="0" xfId="1" applyNumberFormat="1" applyFont="1" applyFill="1"/>
    <xf numFmtId="0" fontId="0" fillId="9" borderId="0" xfId="0" applyFill="1" applyAlignment="1">
      <alignment horizontal="center"/>
    </xf>
    <xf numFmtId="10" fontId="0" fillId="3" borderId="0" xfId="0" applyNumberFormat="1" applyFill="1"/>
    <xf numFmtId="0" fontId="0" fillId="10" borderId="0" xfId="0" applyFill="1"/>
    <xf numFmtId="10" fontId="0" fillId="1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stocks!$L$14</c:f>
              <c:strCache>
                <c:ptCount val="1"/>
                <c:pt idx="0">
                  <c:v>Historical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stocks!$L$15:$L$24</c:f>
              <c:numCache>
                <c:formatCode>0.00%</c:formatCode>
                <c:ptCount val="10"/>
                <c:pt idx="0">
                  <c:v>1.1111111111111112E-2</c:v>
                </c:pt>
                <c:pt idx="1">
                  <c:v>4.0740740740740737E-2</c:v>
                </c:pt>
                <c:pt idx="2">
                  <c:v>4.8148148148148155E-2</c:v>
                </c:pt>
                <c:pt idx="3">
                  <c:v>0.15185185185185182</c:v>
                </c:pt>
                <c:pt idx="4">
                  <c:v>0.24814814814814817</c:v>
                </c:pt>
                <c:pt idx="5">
                  <c:v>0.24814814814814812</c:v>
                </c:pt>
                <c:pt idx="6">
                  <c:v>0.1518518518518519</c:v>
                </c:pt>
                <c:pt idx="7">
                  <c:v>4.8148148148148162E-2</c:v>
                </c:pt>
                <c:pt idx="8">
                  <c:v>4.0740740740740744E-2</c:v>
                </c:pt>
                <c:pt idx="9">
                  <c:v>1.1111111111111072E-2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E-8A4E-8A47-2F3F33BD5FA1}"/>
            </c:ext>
          </c:extLst>
        </c:ser>
        <c:ser>
          <c:idx val="1"/>
          <c:order val="1"/>
          <c:tx>
            <c:strRef>
              <c:f>stocks!$M$14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stocks!$M$15:$M$24</c:f>
              <c:numCache>
                <c:formatCode>0.00%</c:formatCode>
                <c:ptCount val="10"/>
                <c:pt idx="0">
                  <c:v>1.2181658056454553E-3</c:v>
                </c:pt>
                <c:pt idx="1">
                  <c:v>6.8130631331158084E-2</c:v>
                </c:pt>
                <c:pt idx="2">
                  <c:v>5.8630332158142964E-2</c:v>
                </c:pt>
                <c:pt idx="3">
                  <c:v>0.15542649859502342</c:v>
                </c:pt>
                <c:pt idx="4">
                  <c:v>0.24133610946171591</c:v>
                </c:pt>
                <c:pt idx="5">
                  <c:v>0.20833164973493468</c:v>
                </c:pt>
                <c:pt idx="6">
                  <c:v>0.13956519375240117</c:v>
                </c:pt>
                <c:pt idx="7">
                  <c:v>5.9294194788370613E-2</c:v>
                </c:pt>
                <c:pt idx="8">
                  <c:v>5.1195069848868346E-2</c:v>
                </c:pt>
                <c:pt idx="9">
                  <c:v>1.6787098335637851E-2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E-8A4E-8A47-2F3F33BD5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767087"/>
        <c:axId val="260139024"/>
      </c:barChart>
      <c:catAx>
        <c:axId val="2010767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9024"/>
        <c:crosses val="autoZero"/>
        <c:auto val="1"/>
        <c:lblAlgn val="ctr"/>
        <c:lblOffset val="100"/>
        <c:noMultiLvlLbl val="0"/>
      </c:catAx>
      <c:valAx>
        <c:axId val="2601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AAPL Historical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AAPL Historical Return Distribution</a:t>
          </a:r>
        </a:p>
      </cx:txPr>
    </cx:title>
    <cx:plotArea>
      <cx:plotAreaRegion>
        <cx:series layoutId="clusteredColumn" uniqueId="{813D78C1-D5BB-E840-8C00-1434BDE8DE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0</xdr:row>
      <xdr:rowOff>155575</xdr:rowOff>
    </xdr:from>
    <xdr:to>
      <xdr:col>9</xdr:col>
      <xdr:colOff>677332</xdr:colOff>
      <xdr:row>10</xdr:row>
      <xdr:rowOff>141111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337945-9D1B-5E10-129F-9741C8AA3C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9527" y="155575"/>
              <a:ext cx="4773083" cy="1890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77610</xdr:colOff>
      <xdr:row>0</xdr:row>
      <xdr:rowOff>0</xdr:rowOff>
    </xdr:from>
    <xdr:to>
      <xdr:col>19</xdr:col>
      <xdr:colOff>522110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3541D-497B-8E63-4287-100054C52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workbookViewId="0"/>
  </sheetViews>
  <sheetFormatPr baseColWidth="10" defaultColWidth="8.83203125" defaultRowHeight="15" x14ac:dyDescent="0.2"/>
  <cols>
    <col min="1" max="1" width="14" customWidth="1"/>
    <col min="2" max="3" width="38" customWidth="1"/>
    <col min="4" max="4" width="2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36556</v>
      </c>
      <c r="B2">
        <v>-5.0118960000000004E-2</v>
      </c>
      <c r="C2">
        <v>-5.8701940000000001E-2</v>
      </c>
      <c r="D2">
        <v>-5.0903520000000001E-2</v>
      </c>
    </row>
    <row r="3" spans="1:4" x14ac:dyDescent="0.2">
      <c r="A3" s="1">
        <v>36585</v>
      </c>
      <c r="B3">
        <v>-1.7457610000000002E-2</v>
      </c>
      <c r="C3">
        <v>-4.5099390000000003E-2</v>
      </c>
      <c r="D3">
        <v>-2.010814E-2</v>
      </c>
    </row>
    <row r="4" spans="1:4" x14ac:dyDescent="0.2">
      <c r="A4" s="1">
        <v>36616</v>
      </c>
      <c r="B4">
        <v>9.8478019999999999E-2</v>
      </c>
      <c r="C4">
        <v>0.1097484</v>
      </c>
      <c r="D4">
        <v>9.6719899999999998E-2</v>
      </c>
    </row>
    <row r="5" spans="1:4" x14ac:dyDescent="0.2">
      <c r="A5" s="1">
        <v>36644</v>
      </c>
      <c r="B5">
        <v>-3.1304499999999999E-2</v>
      </c>
      <c r="C5">
        <v>8.248707000000001E-3</v>
      </c>
      <c r="D5">
        <v>-3.0795820000000002E-2</v>
      </c>
    </row>
    <row r="6" spans="1:4" x14ac:dyDescent="0.2">
      <c r="A6" s="1">
        <v>36677</v>
      </c>
      <c r="B6">
        <v>-2.2362420000000001E-2</v>
      </c>
      <c r="C6">
        <v>1.636897E-2</v>
      </c>
      <c r="D6">
        <v>-2.1915E-2</v>
      </c>
    </row>
    <row r="7" spans="1:4" x14ac:dyDescent="0.2">
      <c r="A7" s="1">
        <v>36707</v>
      </c>
      <c r="B7">
        <v>2.5326080000000001E-2</v>
      </c>
      <c r="C7">
        <v>-2.337974E-2</v>
      </c>
      <c r="D7">
        <v>2.3933550000000001E-2</v>
      </c>
    </row>
    <row r="8" spans="1:4" x14ac:dyDescent="0.2">
      <c r="A8" s="1">
        <v>36738</v>
      </c>
      <c r="B8">
        <v>-1.249611E-2</v>
      </c>
      <c r="C8">
        <v>3.6205820000000002E-3</v>
      </c>
      <c r="D8">
        <v>-1.634126E-2</v>
      </c>
    </row>
    <row r="9" spans="1:4" x14ac:dyDescent="0.2">
      <c r="A9" s="1">
        <v>36769</v>
      </c>
      <c r="B9">
        <v>6.2512380000000006E-2</v>
      </c>
      <c r="C9">
        <v>7.3509249999999998E-2</v>
      </c>
      <c r="D9">
        <v>6.0699030000000001E-2</v>
      </c>
    </row>
    <row r="10" spans="1:4" x14ac:dyDescent="0.2">
      <c r="A10" s="1">
        <v>36798</v>
      </c>
      <c r="B10">
        <v>-5.2087710000000002E-2</v>
      </c>
      <c r="C10">
        <v>-1.381312E-2</v>
      </c>
      <c r="D10">
        <v>-5.3482950000000001E-2</v>
      </c>
    </row>
    <row r="11" spans="1:4" x14ac:dyDescent="0.2">
      <c r="A11" s="1">
        <v>36830</v>
      </c>
      <c r="B11">
        <v>-3.9347760000000001E-3</v>
      </c>
      <c r="C11">
        <v>2.0542810000000002E-2</v>
      </c>
      <c r="D11">
        <v>-4.9494960000000003E-3</v>
      </c>
    </row>
    <row r="12" spans="1:4" x14ac:dyDescent="0.2">
      <c r="A12" s="1">
        <v>36860</v>
      </c>
      <c r="B12">
        <v>-7.8436640000000002E-2</v>
      </c>
      <c r="C12">
        <v>-4.7101700000000003E-2</v>
      </c>
      <c r="D12">
        <v>-8.0068559999999997E-2</v>
      </c>
    </row>
    <row r="13" spans="1:4" x14ac:dyDescent="0.2">
      <c r="A13" s="1">
        <v>36889</v>
      </c>
      <c r="B13">
        <v>5.19163E-3</v>
      </c>
      <c r="C13">
        <v>7.004138E-2</v>
      </c>
      <c r="D13">
        <v>4.053386E-3</v>
      </c>
    </row>
    <row r="14" spans="1:4" x14ac:dyDescent="0.2">
      <c r="A14" s="1">
        <v>36922</v>
      </c>
      <c r="B14">
        <v>3.2266889999999999E-2</v>
      </c>
      <c r="C14">
        <v>5.2658150000000001E-2</v>
      </c>
      <c r="D14">
        <v>3.4636590000000002E-2</v>
      </c>
    </row>
    <row r="15" spans="1:4" x14ac:dyDescent="0.2">
      <c r="A15" s="1">
        <v>36950</v>
      </c>
      <c r="B15">
        <v>-9.0948460000000009E-2</v>
      </c>
      <c r="C15">
        <v>-4.468917E-2</v>
      </c>
      <c r="D15">
        <v>-9.229068E-2</v>
      </c>
    </row>
    <row r="16" spans="1:4" x14ac:dyDescent="0.2">
      <c r="A16" s="1">
        <v>36980</v>
      </c>
      <c r="B16">
        <v>-6.379406E-2</v>
      </c>
      <c r="C16">
        <v>-5.0125540000000003E-2</v>
      </c>
      <c r="D16">
        <v>-6.4204720000000007E-2</v>
      </c>
    </row>
    <row r="17" spans="1:4" x14ac:dyDescent="0.2">
      <c r="A17" s="1">
        <v>37011</v>
      </c>
      <c r="B17">
        <v>7.7627169999999995E-2</v>
      </c>
      <c r="C17">
        <v>8.4420170000000003E-2</v>
      </c>
      <c r="D17">
        <v>7.6814350000000003E-2</v>
      </c>
    </row>
    <row r="18" spans="1:4" x14ac:dyDescent="0.2">
      <c r="A18" s="1">
        <v>37042</v>
      </c>
      <c r="B18">
        <v>6.8151030000000003E-3</v>
      </c>
      <c r="C18">
        <v>1.7479390000000001E-2</v>
      </c>
      <c r="D18">
        <v>5.0901990000000001E-3</v>
      </c>
    </row>
    <row r="19" spans="1:4" x14ac:dyDescent="0.2">
      <c r="A19" s="1">
        <v>37071</v>
      </c>
      <c r="B19">
        <v>-2.4621819999999999E-2</v>
      </c>
      <c r="C19">
        <v>-1.6133129999999999E-2</v>
      </c>
      <c r="D19">
        <v>-2.5003580000000001E-2</v>
      </c>
    </row>
    <row r="20" spans="1:4" x14ac:dyDescent="0.2">
      <c r="A20" s="1">
        <v>37103</v>
      </c>
      <c r="B20">
        <v>-9.7989710000000001E-3</v>
      </c>
      <c r="C20">
        <v>-9.1599360000000005E-3</v>
      </c>
      <c r="D20">
        <v>-1.0772449999999999E-2</v>
      </c>
    </row>
    <row r="21" spans="1:4" x14ac:dyDescent="0.2">
      <c r="A21" s="1">
        <v>37134</v>
      </c>
      <c r="B21">
        <v>-6.3175460000000003E-2</v>
      </c>
      <c r="C21">
        <v>-4.374757E-2</v>
      </c>
      <c r="D21">
        <v>-6.4108390000000001E-2</v>
      </c>
    </row>
    <row r="22" spans="1:4" x14ac:dyDescent="0.2">
      <c r="A22" s="1">
        <v>37162</v>
      </c>
      <c r="B22">
        <v>-8.0494309999999999E-2</v>
      </c>
      <c r="C22">
        <v>-0.12520309999999998</v>
      </c>
      <c r="D22">
        <v>-8.1723390000000007E-2</v>
      </c>
    </row>
    <row r="23" spans="1:4" x14ac:dyDescent="0.2">
      <c r="A23" s="1">
        <v>37195</v>
      </c>
      <c r="B23">
        <v>1.9677E-2</v>
      </c>
      <c r="C23">
        <v>4.1748510000000003E-2</v>
      </c>
      <c r="D23">
        <v>1.8099030000000002E-2</v>
      </c>
    </row>
    <row r="24" spans="1:4" x14ac:dyDescent="0.2">
      <c r="A24" s="1">
        <v>37225</v>
      </c>
      <c r="B24">
        <v>7.7537190000000006E-2</v>
      </c>
      <c r="C24">
        <v>9.9958749999999999E-2</v>
      </c>
      <c r="D24">
        <v>7.5175980000000003E-2</v>
      </c>
    </row>
    <row r="25" spans="1:4" x14ac:dyDescent="0.2">
      <c r="A25" s="1">
        <v>37256</v>
      </c>
      <c r="B25">
        <v>8.9227260000000006E-3</v>
      </c>
      <c r="C25">
        <v>3.004631E-2</v>
      </c>
      <c r="D25">
        <v>7.5738290000000007E-3</v>
      </c>
    </row>
    <row r="26" spans="1:4" x14ac:dyDescent="0.2">
      <c r="A26" s="1">
        <v>37287</v>
      </c>
      <c r="B26">
        <v>-1.446244E-2</v>
      </c>
      <c r="C26">
        <v>-3.5917410000000003E-3</v>
      </c>
      <c r="D26">
        <v>-1.557383E-2</v>
      </c>
    </row>
    <row r="27" spans="1:4" x14ac:dyDescent="0.2">
      <c r="A27" s="1">
        <v>37315</v>
      </c>
      <c r="B27">
        <v>-1.941882E-2</v>
      </c>
      <c r="C27">
        <v>-1.096805E-2</v>
      </c>
      <c r="D27">
        <v>-2.0766240000000002E-2</v>
      </c>
    </row>
    <row r="28" spans="1:4" x14ac:dyDescent="0.2">
      <c r="A28" s="1">
        <v>37343</v>
      </c>
      <c r="B28">
        <v>3.7572439999999999E-2</v>
      </c>
      <c r="C28">
        <v>6.7364809999999997E-2</v>
      </c>
      <c r="D28">
        <v>3.6738859999999998E-2</v>
      </c>
    </row>
    <row r="29" spans="1:4" x14ac:dyDescent="0.2">
      <c r="A29" s="1">
        <v>37376</v>
      </c>
      <c r="B29">
        <v>-6.1000800000000001E-2</v>
      </c>
      <c r="C29">
        <v>-3.634192E-2</v>
      </c>
      <c r="D29">
        <v>-6.1417650000000004E-2</v>
      </c>
    </row>
    <row r="30" spans="1:4" x14ac:dyDescent="0.2">
      <c r="A30" s="1">
        <v>37407</v>
      </c>
      <c r="B30">
        <v>-8.0744930000000003E-3</v>
      </c>
      <c r="C30">
        <v>-1.503959E-2</v>
      </c>
      <c r="D30">
        <v>-9.0814550000000004E-3</v>
      </c>
    </row>
    <row r="31" spans="1:4" x14ac:dyDescent="0.2">
      <c r="A31" s="1">
        <v>37435</v>
      </c>
      <c r="B31">
        <v>-7.1505150000000003E-2</v>
      </c>
      <c r="C31">
        <v>-8.1656309999999996E-2</v>
      </c>
      <c r="D31">
        <v>-7.2464719999999996E-2</v>
      </c>
    </row>
    <row r="32" spans="1:4" x14ac:dyDescent="0.2">
      <c r="A32" s="1">
        <v>37468</v>
      </c>
      <c r="B32">
        <v>-7.6294330000000007E-2</v>
      </c>
      <c r="C32">
        <v>-0.10937899999999999</v>
      </c>
      <c r="D32">
        <v>-7.8994960000000003E-2</v>
      </c>
    </row>
    <row r="33" spans="1:4" x14ac:dyDescent="0.2">
      <c r="A33" s="1">
        <v>37498</v>
      </c>
      <c r="B33">
        <v>6.9150400000000008E-3</v>
      </c>
      <c r="C33">
        <v>1.029308E-2</v>
      </c>
      <c r="D33">
        <v>4.88142E-3</v>
      </c>
    </row>
    <row r="34" spans="1:4" x14ac:dyDescent="0.2">
      <c r="A34" s="1">
        <v>37529</v>
      </c>
      <c r="B34">
        <v>-0.1088455</v>
      </c>
      <c r="C34">
        <v>-0.11494199999999999</v>
      </c>
      <c r="D34">
        <v>-0.1100134</v>
      </c>
    </row>
    <row r="35" spans="1:4" x14ac:dyDescent="0.2">
      <c r="A35" s="1">
        <v>37560</v>
      </c>
      <c r="B35">
        <v>8.8599270000000008E-2</v>
      </c>
      <c r="C35">
        <v>7.3063169999999997E-2</v>
      </c>
      <c r="D35">
        <v>8.6435499999999998E-2</v>
      </c>
    </row>
    <row r="36" spans="1:4" x14ac:dyDescent="0.2">
      <c r="A36" s="1">
        <v>37589</v>
      </c>
      <c r="B36">
        <v>5.9218770000000004E-2</v>
      </c>
      <c r="C36">
        <v>0.11045429999999999</v>
      </c>
      <c r="D36">
        <v>5.7069639999999998E-2</v>
      </c>
    </row>
    <row r="37" spans="1:4" x14ac:dyDescent="0.2">
      <c r="A37" s="1">
        <v>37621</v>
      </c>
      <c r="B37">
        <v>-5.8884829999999999E-2</v>
      </c>
      <c r="C37">
        <v>-5.1487049999999999E-2</v>
      </c>
      <c r="D37">
        <v>-6.0332580000000004E-2</v>
      </c>
    </row>
    <row r="38" spans="1:4" x14ac:dyDescent="0.2">
      <c r="A38" s="1">
        <v>37652</v>
      </c>
      <c r="B38">
        <v>-2.6579149999999999E-2</v>
      </c>
      <c r="C38">
        <v>-2.5524950000000001E-2</v>
      </c>
      <c r="D38">
        <v>-2.74147E-2</v>
      </c>
    </row>
    <row r="39" spans="1:4" x14ac:dyDescent="0.2">
      <c r="A39" s="1">
        <v>37680</v>
      </c>
      <c r="B39">
        <v>-1.530714E-2</v>
      </c>
      <c r="C39">
        <v>-2.25712E-2</v>
      </c>
      <c r="D39">
        <v>-1.7003620000000001E-2</v>
      </c>
    </row>
    <row r="40" spans="1:4" x14ac:dyDescent="0.2">
      <c r="A40" s="1">
        <v>37711</v>
      </c>
      <c r="B40">
        <v>1.0330860000000001E-2</v>
      </c>
      <c r="C40">
        <v>4.8919310000000004E-3</v>
      </c>
      <c r="D40">
        <v>8.3576060000000001E-3</v>
      </c>
    </row>
    <row r="41" spans="1:4" x14ac:dyDescent="0.2">
      <c r="A41" s="1">
        <v>37741</v>
      </c>
      <c r="B41">
        <v>8.2777500000000004E-2</v>
      </c>
      <c r="C41">
        <v>0.10357169999999999</v>
      </c>
      <c r="D41">
        <v>8.1044119999999997E-2</v>
      </c>
    </row>
    <row r="42" spans="1:4" x14ac:dyDescent="0.2">
      <c r="A42" s="1">
        <v>37771</v>
      </c>
      <c r="B42">
        <v>5.3250659999999998E-2</v>
      </c>
      <c r="C42">
        <v>9.60733E-2</v>
      </c>
      <c r="D42">
        <v>5.0898659999999998E-2</v>
      </c>
    </row>
    <row r="43" spans="1:4" x14ac:dyDescent="0.2">
      <c r="A43" s="1">
        <v>37802</v>
      </c>
      <c r="B43">
        <v>1.281586E-2</v>
      </c>
      <c r="C43">
        <v>7.6485060000000002E-3</v>
      </c>
      <c r="D43">
        <v>1.1322240000000001E-2</v>
      </c>
    </row>
    <row r="44" spans="1:4" x14ac:dyDescent="0.2">
      <c r="A44" s="1">
        <v>37833</v>
      </c>
      <c r="B44">
        <v>1.7936830000000001E-2</v>
      </c>
      <c r="C44">
        <v>2.8408760000000002E-2</v>
      </c>
      <c r="D44">
        <v>1.6223700000000001E-2</v>
      </c>
    </row>
    <row r="45" spans="1:4" x14ac:dyDescent="0.2">
      <c r="A45" s="1">
        <v>37862</v>
      </c>
      <c r="B45">
        <v>1.9589530000000001E-2</v>
      </c>
      <c r="C45">
        <v>4.422715E-2</v>
      </c>
      <c r="D45">
        <v>1.7873190000000001E-2</v>
      </c>
    </row>
    <row r="46" spans="1:4" x14ac:dyDescent="0.2">
      <c r="A46" s="1">
        <v>37894</v>
      </c>
      <c r="B46">
        <v>-1.0710890000000001E-2</v>
      </c>
      <c r="C46">
        <v>-1.648026E-2</v>
      </c>
      <c r="D46">
        <v>-1.194433E-2</v>
      </c>
    </row>
    <row r="47" spans="1:4" x14ac:dyDescent="0.2">
      <c r="A47" s="1">
        <v>37925</v>
      </c>
      <c r="B47">
        <v>5.5560350000000001E-2</v>
      </c>
      <c r="C47">
        <v>7.0988040000000002E-2</v>
      </c>
      <c r="D47">
        <v>5.4961500000000003E-2</v>
      </c>
    </row>
    <row r="48" spans="1:4" x14ac:dyDescent="0.2">
      <c r="A48" s="1">
        <v>37953</v>
      </c>
      <c r="B48">
        <v>9.2154009999999998E-3</v>
      </c>
      <c r="C48">
        <v>2.1135930000000001E-2</v>
      </c>
      <c r="D48">
        <v>7.1285130000000004E-3</v>
      </c>
    </row>
    <row r="49" spans="1:4" x14ac:dyDescent="0.2">
      <c r="A49" s="1">
        <v>37986</v>
      </c>
      <c r="B49">
        <v>5.1780369999999999E-2</v>
      </c>
      <c r="C49">
        <v>5.3166070000000003E-2</v>
      </c>
      <c r="D49">
        <v>5.0765450000000004E-2</v>
      </c>
    </row>
    <row r="50" spans="1:4" x14ac:dyDescent="0.2">
      <c r="A50" s="1">
        <v>38016</v>
      </c>
      <c r="B50">
        <v>1.907764E-2</v>
      </c>
      <c r="C50">
        <v>2.4211480000000001E-2</v>
      </c>
      <c r="D50">
        <v>1.7276420000000001E-2</v>
      </c>
    </row>
    <row r="51" spans="1:4" x14ac:dyDescent="0.2">
      <c r="A51" s="1">
        <v>38044</v>
      </c>
      <c r="B51">
        <v>1.434274E-2</v>
      </c>
      <c r="C51">
        <v>2.0799390000000001E-2</v>
      </c>
      <c r="D51">
        <v>1.2209030000000001E-2</v>
      </c>
    </row>
    <row r="52" spans="1:4" x14ac:dyDescent="0.2">
      <c r="A52" s="1">
        <v>38077</v>
      </c>
      <c r="B52">
        <v>-1.502391E-2</v>
      </c>
      <c r="C52">
        <v>-5.9832400000000008E-3</v>
      </c>
      <c r="D52">
        <v>-1.6358939999999999E-2</v>
      </c>
    </row>
    <row r="53" spans="1:4" x14ac:dyDescent="0.2">
      <c r="A53" s="1">
        <v>38107</v>
      </c>
      <c r="B53">
        <v>-1.556344E-2</v>
      </c>
      <c r="C53">
        <v>-2.445466E-2</v>
      </c>
      <c r="D53">
        <v>-1.679083E-2</v>
      </c>
    </row>
    <row r="54" spans="1:4" x14ac:dyDescent="0.2">
      <c r="A54" s="1">
        <v>38135</v>
      </c>
      <c r="B54">
        <v>1.3679419999999999E-2</v>
      </c>
      <c r="C54">
        <v>1.9620640000000002E-2</v>
      </c>
      <c r="D54">
        <v>1.2083450000000001E-2</v>
      </c>
    </row>
    <row r="55" spans="1:4" x14ac:dyDescent="0.2">
      <c r="A55" s="1">
        <v>38168</v>
      </c>
      <c r="B55">
        <v>1.9488450000000001E-2</v>
      </c>
      <c r="C55">
        <v>3.0319519999999999E-2</v>
      </c>
      <c r="D55">
        <v>1.7989080000000001E-2</v>
      </c>
    </row>
    <row r="56" spans="1:4" x14ac:dyDescent="0.2">
      <c r="A56" s="1">
        <v>38198</v>
      </c>
      <c r="B56">
        <v>-3.2963289999999999E-2</v>
      </c>
      <c r="C56">
        <v>-4.321974E-2</v>
      </c>
      <c r="D56">
        <v>-3.4290519999999998E-2</v>
      </c>
    </row>
    <row r="57" spans="1:4" x14ac:dyDescent="0.2">
      <c r="A57" s="1">
        <v>38230</v>
      </c>
      <c r="B57">
        <v>3.8061990000000001E-3</v>
      </c>
      <c r="C57">
        <v>-3.0354830000000003E-3</v>
      </c>
      <c r="D57">
        <v>2.287332E-3</v>
      </c>
    </row>
    <row r="58" spans="1:4" x14ac:dyDescent="0.2">
      <c r="A58" s="1">
        <v>38260</v>
      </c>
      <c r="B58">
        <v>1.081994E-2</v>
      </c>
      <c r="C58">
        <v>2.761278E-2</v>
      </c>
      <c r="D58">
        <v>9.363906E-3</v>
      </c>
    </row>
    <row r="59" spans="1:4" x14ac:dyDescent="0.2">
      <c r="A59" s="1">
        <v>38289</v>
      </c>
      <c r="B59">
        <v>1.492219E-2</v>
      </c>
      <c r="C59">
        <v>2.43944E-2</v>
      </c>
      <c r="D59">
        <v>1.4014250000000001E-2</v>
      </c>
    </row>
    <row r="60" spans="1:4" x14ac:dyDescent="0.2">
      <c r="A60" s="1">
        <v>38321</v>
      </c>
      <c r="B60">
        <v>4.0555220000000003E-2</v>
      </c>
      <c r="C60">
        <v>5.874016E-2</v>
      </c>
      <c r="D60">
        <v>3.8594940000000001E-2</v>
      </c>
    </row>
    <row r="61" spans="1:4" x14ac:dyDescent="0.2">
      <c r="A61" s="1">
        <v>38352</v>
      </c>
      <c r="B61">
        <v>3.3772089999999998E-2</v>
      </c>
      <c r="C61">
        <v>3.7547999999999998E-2</v>
      </c>
      <c r="D61">
        <v>3.2458130000000002E-2</v>
      </c>
    </row>
    <row r="62" spans="1:4" x14ac:dyDescent="0.2">
      <c r="A62" s="1">
        <v>38383</v>
      </c>
      <c r="B62">
        <v>-2.3824190000000002E-2</v>
      </c>
      <c r="C62">
        <v>-2.9473200000000001E-2</v>
      </c>
      <c r="D62">
        <v>-2.5290449999999999E-2</v>
      </c>
    </row>
    <row r="63" spans="1:4" x14ac:dyDescent="0.2">
      <c r="A63" s="1">
        <v>38411</v>
      </c>
      <c r="B63">
        <v>2.11521E-2</v>
      </c>
      <c r="C63">
        <v>2.0326520000000001E-2</v>
      </c>
      <c r="D63">
        <v>1.8903380000000001E-2</v>
      </c>
    </row>
    <row r="64" spans="1:4" x14ac:dyDescent="0.2">
      <c r="A64" s="1">
        <v>38442</v>
      </c>
      <c r="B64">
        <v>-1.758496E-2</v>
      </c>
      <c r="C64">
        <v>-1.3947660000000001E-2</v>
      </c>
      <c r="D64">
        <v>-1.911765E-2</v>
      </c>
    </row>
    <row r="65" spans="1:4" x14ac:dyDescent="0.2">
      <c r="A65" s="1">
        <v>38471</v>
      </c>
      <c r="B65">
        <v>-1.892568E-2</v>
      </c>
      <c r="C65">
        <v>-3.0961289999999999E-2</v>
      </c>
      <c r="D65">
        <v>-2.0108589999999999E-2</v>
      </c>
    </row>
    <row r="66" spans="1:4" x14ac:dyDescent="0.2">
      <c r="A66" s="1">
        <v>38503</v>
      </c>
      <c r="B66">
        <v>3.1994429999999997E-2</v>
      </c>
      <c r="C66">
        <v>4.8563389999999998E-2</v>
      </c>
      <c r="D66">
        <v>2.9952030000000001E-2</v>
      </c>
    </row>
    <row r="67" spans="1:4" x14ac:dyDescent="0.2">
      <c r="A67" s="1">
        <v>38533</v>
      </c>
      <c r="B67">
        <v>1.7168260000000001E-3</v>
      </c>
      <c r="C67">
        <v>1.4499390000000001E-2</v>
      </c>
      <c r="D67">
        <v>-1.4267730000000001E-4</v>
      </c>
    </row>
    <row r="68" spans="1:4" x14ac:dyDescent="0.2">
      <c r="A68" s="1">
        <v>38562</v>
      </c>
      <c r="B68">
        <v>3.7322670000000002E-2</v>
      </c>
      <c r="C68">
        <v>5.1467180000000001E-2</v>
      </c>
      <c r="D68">
        <v>3.5968199999999999E-2</v>
      </c>
    </row>
    <row r="69" spans="1:4" x14ac:dyDescent="0.2">
      <c r="A69" s="1">
        <v>38595</v>
      </c>
      <c r="B69">
        <v>-9.3011170000000011E-3</v>
      </c>
      <c r="C69">
        <v>-1.1316090000000001E-2</v>
      </c>
      <c r="D69">
        <v>-1.1222030000000001E-2</v>
      </c>
    </row>
    <row r="70" spans="1:4" x14ac:dyDescent="0.2">
      <c r="A70" s="1">
        <v>38625</v>
      </c>
      <c r="B70">
        <v>8.0666670000000013E-3</v>
      </c>
      <c r="C70">
        <v>8.2809900000000002E-3</v>
      </c>
      <c r="D70">
        <v>6.9489400000000007E-3</v>
      </c>
    </row>
    <row r="71" spans="1:4" x14ac:dyDescent="0.2">
      <c r="A71" s="1">
        <v>38656</v>
      </c>
      <c r="B71">
        <v>-1.5705030000000002E-2</v>
      </c>
      <c r="C71">
        <v>-2.3615150000000001E-2</v>
      </c>
      <c r="D71">
        <v>-1.7740740000000001E-2</v>
      </c>
    </row>
    <row r="72" spans="1:4" x14ac:dyDescent="0.2">
      <c r="A72" s="1">
        <v>38686</v>
      </c>
      <c r="B72">
        <v>3.8024790000000003E-2</v>
      </c>
      <c r="C72">
        <v>4.3399380000000001E-2</v>
      </c>
      <c r="D72">
        <v>3.5186120000000001E-2</v>
      </c>
    </row>
    <row r="73" spans="1:4" x14ac:dyDescent="0.2">
      <c r="A73" s="1">
        <v>38716</v>
      </c>
      <c r="B73">
        <v>-8.2783109999999991E-5</v>
      </c>
      <c r="C73">
        <v>7.9744680000000002E-3</v>
      </c>
      <c r="D73">
        <v>-9.5239620000000006E-4</v>
      </c>
    </row>
    <row r="74" spans="1:4" x14ac:dyDescent="0.2">
      <c r="A74" s="1">
        <v>38748</v>
      </c>
      <c r="B74">
        <v>2.649468E-2</v>
      </c>
      <c r="C74">
        <v>4.1060409999999999E-2</v>
      </c>
      <c r="D74">
        <v>2.5466840000000001E-2</v>
      </c>
    </row>
    <row r="75" spans="1:4" x14ac:dyDescent="0.2">
      <c r="A75" s="1">
        <v>38776</v>
      </c>
      <c r="B75">
        <v>2.4139090000000001E-3</v>
      </c>
      <c r="C75">
        <v>2.9209310000000003E-3</v>
      </c>
      <c r="D75">
        <v>4.5309670000000002E-4</v>
      </c>
    </row>
    <row r="76" spans="1:4" x14ac:dyDescent="0.2">
      <c r="A76" s="1">
        <v>38807</v>
      </c>
      <c r="B76">
        <v>1.286517E-2</v>
      </c>
      <c r="C76">
        <v>1.7831570000000001E-2</v>
      </c>
      <c r="D76">
        <v>1.1064610000000001E-2</v>
      </c>
    </row>
    <row r="77" spans="1:4" x14ac:dyDescent="0.2">
      <c r="A77" s="1">
        <v>38835</v>
      </c>
      <c r="B77">
        <v>1.177333E-2</v>
      </c>
      <c r="C77">
        <v>1.063589E-2</v>
      </c>
      <c r="D77">
        <v>1.218693E-2</v>
      </c>
    </row>
    <row r="78" spans="1:4" x14ac:dyDescent="0.2">
      <c r="A78" s="1">
        <v>38868</v>
      </c>
      <c r="B78">
        <v>-2.833447E-2</v>
      </c>
      <c r="C78">
        <v>-2.8645590000000002E-2</v>
      </c>
      <c r="D78">
        <v>-3.0916900000000001E-2</v>
      </c>
    </row>
    <row r="79" spans="1:4" x14ac:dyDescent="0.2">
      <c r="A79" s="1">
        <v>38898</v>
      </c>
      <c r="B79">
        <v>1.6022460000000001E-3</v>
      </c>
      <c r="C79">
        <v>-1.9189910000000001E-3</v>
      </c>
      <c r="D79">
        <v>8.6608039999999998E-5</v>
      </c>
    </row>
    <row r="80" spans="1:4" x14ac:dyDescent="0.2">
      <c r="A80" s="1">
        <v>38929</v>
      </c>
      <c r="B80">
        <v>5.5647730000000003E-3</v>
      </c>
      <c r="C80">
        <v>-1.447151E-2</v>
      </c>
      <c r="D80">
        <v>5.0858130000000007E-3</v>
      </c>
    </row>
    <row r="81" spans="1:4" x14ac:dyDescent="0.2">
      <c r="A81" s="1">
        <v>38960</v>
      </c>
      <c r="B81">
        <v>2.4161580000000002E-2</v>
      </c>
      <c r="C81">
        <v>3.12483E-2</v>
      </c>
      <c r="D81">
        <v>2.127426E-2</v>
      </c>
    </row>
    <row r="82" spans="1:4" x14ac:dyDescent="0.2">
      <c r="A82" s="1">
        <v>38989</v>
      </c>
      <c r="B82">
        <v>2.6486849999999999E-2</v>
      </c>
      <c r="C82">
        <v>2.6354430000000002E-2</v>
      </c>
      <c r="D82">
        <v>2.4566270000000001E-2</v>
      </c>
    </row>
    <row r="83" spans="1:4" x14ac:dyDescent="0.2">
      <c r="A83" s="1">
        <v>39021</v>
      </c>
      <c r="B83">
        <v>3.2389880000000003E-2</v>
      </c>
      <c r="C83">
        <v>3.6503149999999998E-2</v>
      </c>
      <c r="D83">
        <v>3.1508029999999999E-2</v>
      </c>
    </row>
    <row r="84" spans="1:4" x14ac:dyDescent="0.2">
      <c r="A84" s="1">
        <v>39051</v>
      </c>
      <c r="B84">
        <v>1.8234400000000001E-2</v>
      </c>
      <c r="C84">
        <v>2.5144300000000001E-2</v>
      </c>
      <c r="D84">
        <v>1.646661E-2</v>
      </c>
    </row>
    <row r="85" spans="1:4" x14ac:dyDescent="0.2">
      <c r="A85" s="1">
        <v>39080</v>
      </c>
      <c r="B85">
        <v>1.355861E-2</v>
      </c>
      <c r="C85">
        <v>7.9436260000000005E-3</v>
      </c>
      <c r="D85">
        <v>1.261575E-2</v>
      </c>
    </row>
    <row r="86" spans="1:4" x14ac:dyDescent="0.2">
      <c r="A86" s="1">
        <v>39113</v>
      </c>
      <c r="B86">
        <v>1.533146E-2</v>
      </c>
      <c r="C86">
        <v>2.392383E-2</v>
      </c>
      <c r="D86">
        <v>1.405908E-2</v>
      </c>
    </row>
    <row r="87" spans="1:4" x14ac:dyDescent="0.2">
      <c r="A87" s="1">
        <v>39141</v>
      </c>
      <c r="B87">
        <v>-1.9335129999999999E-2</v>
      </c>
      <c r="C87">
        <v>-3.2521900000000003E-3</v>
      </c>
      <c r="D87">
        <v>-2.1846150000000002E-2</v>
      </c>
    </row>
    <row r="88" spans="1:4" x14ac:dyDescent="0.2">
      <c r="A88" s="1">
        <v>39171</v>
      </c>
      <c r="B88">
        <v>1.100021E-2</v>
      </c>
      <c r="C88">
        <v>7.6827020000000005E-3</v>
      </c>
      <c r="D88">
        <v>9.9799550000000004E-3</v>
      </c>
    </row>
    <row r="89" spans="1:4" x14ac:dyDescent="0.2">
      <c r="A89" s="1">
        <v>39202</v>
      </c>
      <c r="B89">
        <v>4.3961310000000003E-2</v>
      </c>
      <c r="C89">
        <v>4.3207309999999999E-2</v>
      </c>
      <c r="D89">
        <v>4.3290679999999998E-2</v>
      </c>
    </row>
    <row r="90" spans="1:4" x14ac:dyDescent="0.2">
      <c r="A90" s="1">
        <v>39233</v>
      </c>
      <c r="B90">
        <v>3.439267E-2</v>
      </c>
      <c r="C90">
        <v>3.2399709999999998E-2</v>
      </c>
      <c r="D90">
        <v>3.2549229999999998E-2</v>
      </c>
    </row>
    <row r="91" spans="1:4" x14ac:dyDescent="0.2">
      <c r="A91" s="1">
        <v>39262</v>
      </c>
      <c r="B91">
        <v>-1.665809E-2</v>
      </c>
      <c r="C91">
        <v>-1.8535780000000002E-2</v>
      </c>
      <c r="D91">
        <v>-1.7816310000000002E-2</v>
      </c>
    </row>
    <row r="92" spans="1:4" x14ac:dyDescent="0.2">
      <c r="A92" s="1">
        <v>39294</v>
      </c>
      <c r="B92">
        <v>-3.0659260000000001E-2</v>
      </c>
      <c r="C92">
        <v>-4.385812E-2</v>
      </c>
      <c r="D92">
        <v>-3.1981910000000002E-2</v>
      </c>
    </row>
    <row r="93" spans="1:4" x14ac:dyDescent="0.2">
      <c r="A93" s="1">
        <v>39325</v>
      </c>
      <c r="B93">
        <v>1.499195E-2</v>
      </c>
      <c r="C93">
        <v>5.3512500000000001E-4</v>
      </c>
      <c r="D93">
        <v>1.2863590000000001E-2</v>
      </c>
    </row>
    <row r="94" spans="1:4" x14ac:dyDescent="0.2">
      <c r="A94" s="1">
        <v>39353</v>
      </c>
      <c r="B94">
        <v>3.7535499999999999E-2</v>
      </c>
      <c r="C94">
        <v>2.4528150000000002E-2</v>
      </c>
      <c r="D94">
        <v>3.5793999999999999E-2</v>
      </c>
    </row>
    <row r="95" spans="1:4" x14ac:dyDescent="0.2">
      <c r="A95" s="1">
        <v>39386</v>
      </c>
      <c r="B95">
        <v>1.6992150000000001E-2</v>
      </c>
      <c r="C95">
        <v>1.26696E-2</v>
      </c>
      <c r="D95">
        <v>1.482233E-2</v>
      </c>
    </row>
    <row r="96" spans="1:4" x14ac:dyDescent="0.2">
      <c r="A96" s="1">
        <v>39416</v>
      </c>
      <c r="B96">
        <v>-4.1452750000000003E-2</v>
      </c>
      <c r="C96">
        <v>-4.9866930000000004E-2</v>
      </c>
      <c r="D96">
        <v>-4.4043430000000001E-2</v>
      </c>
    </row>
    <row r="97" spans="1:4" x14ac:dyDescent="0.2">
      <c r="A97" s="1">
        <v>39447</v>
      </c>
      <c r="B97">
        <v>-6.3051640000000003E-3</v>
      </c>
      <c r="C97">
        <v>-1.751428E-2</v>
      </c>
      <c r="D97">
        <v>-8.6284890000000013E-3</v>
      </c>
    </row>
    <row r="98" spans="1:4" x14ac:dyDescent="0.2">
      <c r="A98" s="1">
        <v>39478</v>
      </c>
      <c r="B98">
        <v>-6.0867980000000002E-2</v>
      </c>
      <c r="C98">
        <v>-4.4017439999999998E-2</v>
      </c>
      <c r="D98">
        <v>-6.1163470000000005E-2</v>
      </c>
    </row>
    <row r="99" spans="1:4" x14ac:dyDescent="0.2">
      <c r="A99" s="1">
        <v>39507</v>
      </c>
      <c r="B99">
        <v>-3.1419370000000002E-2</v>
      </c>
      <c r="C99">
        <v>-2.9500740000000001E-2</v>
      </c>
      <c r="D99">
        <v>-3.4761159999999999E-2</v>
      </c>
    </row>
    <row r="100" spans="1:4" x14ac:dyDescent="0.2">
      <c r="A100" s="1">
        <v>39538</v>
      </c>
      <c r="B100">
        <v>-3.4918010000000001E-3</v>
      </c>
      <c r="C100">
        <v>-1.3228740000000001E-2</v>
      </c>
      <c r="D100">
        <v>-5.9595830000000001E-3</v>
      </c>
    </row>
    <row r="101" spans="1:4" x14ac:dyDescent="0.2">
      <c r="A101" s="1">
        <v>39568</v>
      </c>
      <c r="B101">
        <v>4.8629449999999998E-2</v>
      </c>
      <c r="C101">
        <v>5.2409379999999998E-2</v>
      </c>
      <c r="D101">
        <v>4.7546680000000001E-2</v>
      </c>
    </row>
    <row r="102" spans="1:4" x14ac:dyDescent="0.2">
      <c r="A102" s="1">
        <v>39598</v>
      </c>
      <c r="B102">
        <v>1.29862E-2</v>
      </c>
      <c r="C102">
        <v>2.567676E-2</v>
      </c>
      <c r="D102">
        <v>1.067415E-2</v>
      </c>
    </row>
    <row r="103" spans="1:4" x14ac:dyDescent="0.2">
      <c r="A103" s="1">
        <v>39629</v>
      </c>
      <c r="B103">
        <v>-8.3438220000000007E-2</v>
      </c>
      <c r="C103">
        <v>-0.1020083</v>
      </c>
      <c r="D103">
        <v>-8.5962380000000005E-2</v>
      </c>
    </row>
    <row r="104" spans="1:4" x14ac:dyDescent="0.2">
      <c r="A104" s="1">
        <v>39660</v>
      </c>
      <c r="B104">
        <v>-7.3776920000000008E-3</v>
      </c>
      <c r="C104">
        <v>-4.1360960000000006E-3</v>
      </c>
      <c r="D104">
        <v>-9.8593750000000001E-3</v>
      </c>
    </row>
    <row r="105" spans="1:4" x14ac:dyDescent="0.2">
      <c r="A105" s="1">
        <v>39689</v>
      </c>
      <c r="B105">
        <v>1.498743E-2</v>
      </c>
      <c r="C105">
        <v>2.8560930000000002E-2</v>
      </c>
      <c r="D105">
        <v>1.21905E-2</v>
      </c>
    </row>
    <row r="106" spans="1:4" x14ac:dyDescent="0.2">
      <c r="A106" s="1">
        <v>39721</v>
      </c>
      <c r="B106">
        <v>-8.5914920000000006E-2</v>
      </c>
      <c r="C106">
        <v>-0.10557269999999999</v>
      </c>
      <c r="D106">
        <v>-9.0791460000000004E-2</v>
      </c>
    </row>
    <row r="107" spans="1:4" x14ac:dyDescent="0.2">
      <c r="A107" s="1">
        <v>39752</v>
      </c>
      <c r="B107">
        <v>-0.16716229999999999</v>
      </c>
      <c r="C107">
        <v>-0.2094664</v>
      </c>
      <c r="D107">
        <v>-0.16942450000000001</v>
      </c>
    </row>
    <row r="108" spans="1:4" x14ac:dyDescent="0.2">
      <c r="A108" s="1">
        <v>39780</v>
      </c>
      <c r="B108">
        <v>-7.3708300000000004E-2</v>
      </c>
      <c r="C108">
        <v>-0.1072582</v>
      </c>
      <c r="D108">
        <v>-7.4849029999999997E-2</v>
      </c>
    </row>
    <row r="109" spans="1:4" x14ac:dyDescent="0.2">
      <c r="A109" s="1">
        <v>39813</v>
      </c>
      <c r="B109">
        <v>1.1118940000000001E-2</v>
      </c>
      <c r="C109">
        <v>4.3115020000000004E-2</v>
      </c>
      <c r="D109">
        <v>7.8215650000000008E-3</v>
      </c>
    </row>
    <row r="110" spans="1:4" x14ac:dyDescent="0.2">
      <c r="A110" s="1">
        <v>39843</v>
      </c>
      <c r="B110">
        <v>-8.2390130000000006E-2</v>
      </c>
      <c r="C110">
        <v>-7.7568819999999997E-2</v>
      </c>
      <c r="D110">
        <v>-8.5657350000000007E-2</v>
      </c>
    </row>
    <row r="111" spans="1:4" x14ac:dyDescent="0.2">
      <c r="A111" s="1">
        <v>39871</v>
      </c>
      <c r="B111">
        <v>-0.10367179999999999</v>
      </c>
      <c r="C111">
        <v>-0.11706409999999999</v>
      </c>
      <c r="D111">
        <v>-0.10993119999999999</v>
      </c>
    </row>
    <row r="112" spans="1:4" x14ac:dyDescent="0.2">
      <c r="A112" s="1">
        <v>39903</v>
      </c>
      <c r="B112">
        <v>8.7701589999999996E-2</v>
      </c>
      <c r="C112">
        <v>0.1105965</v>
      </c>
      <c r="D112">
        <v>8.5404510000000003E-2</v>
      </c>
    </row>
    <row r="113" spans="1:4" x14ac:dyDescent="0.2">
      <c r="A113" s="1">
        <v>39933</v>
      </c>
      <c r="B113">
        <v>9.4228969999999995E-2</v>
      </c>
      <c r="C113">
        <v>0.18503609999999998</v>
      </c>
      <c r="D113">
        <v>9.3925069999999999E-2</v>
      </c>
    </row>
    <row r="114" spans="1:4" x14ac:dyDescent="0.2">
      <c r="A114" s="1">
        <v>39962</v>
      </c>
      <c r="B114">
        <v>5.4640189999999998E-2</v>
      </c>
      <c r="C114">
        <v>6.2486650000000005E-2</v>
      </c>
      <c r="D114">
        <v>5.3081429999999999E-2</v>
      </c>
    </row>
    <row r="115" spans="1:4" x14ac:dyDescent="0.2">
      <c r="A115" s="1">
        <v>39994</v>
      </c>
      <c r="B115">
        <v>2.8098940000000003E-3</v>
      </c>
      <c r="C115">
        <v>-4.0832130000000005E-3</v>
      </c>
      <c r="D115">
        <v>1.9583520000000001E-4</v>
      </c>
    </row>
    <row r="116" spans="1:4" x14ac:dyDescent="0.2">
      <c r="A116" s="1">
        <v>40025</v>
      </c>
      <c r="B116">
        <v>7.4623270000000005E-2</v>
      </c>
      <c r="C116">
        <v>9.3120309999999998E-2</v>
      </c>
      <c r="D116">
        <v>7.4141760000000001E-2</v>
      </c>
    </row>
    <row r="117" spans="1:4" x14ac:dyDescent="0.2">
      <c r="A117" s="1">
        <v>40056</v>
      </c>
      <c r="B117">
        <v>3.4772620000000004E-2</v>
      </c>
      <c r="C117">
        <v>5.7983980000000004E-2</v>
      </c>
      <c r="D117">
        <v>3.356017E-2</v>
      </c>
    </row>
    <row r="118" spans="1:4" x14ac:dyDescent="0.2">
      <c r="A118" s="1">
        <v>40086</v>
      </c>
      <c r="B118">
        <v>3.6603290000000004E-2</v>
      </c>
      <c r="C118">
        <v>5.3385250000000002E-2</v>
      </c>
      <c r="D118">
        <v>3.5723379999999999E-2</v>
      </c>
    </row>
    <row r="119" spans="1:4" x14ac:dyDescent="0.2">
      <c r="A119" s="1">
        <v>40116</v>
      </c>
      <c r="B119">
        <v>-1.8009529999999999E-2</v>
      </c>
      <c r="C119">
        <v>-3.411177E-2</v>
      </c>
      <c r="D119">
        <v>-1.976199E-2</v>
      </c>
    </row>
    <row r="120" spans="1:4" x14ac:dyDescent="0.2">
      <c r="A120" s="1">
        <v>40147</v>
      </c>
      <c r="B120">
        <v>6.0039090000000003E-2</v>
      </c>
      <c r="C120">
        <v>5.3896140000000002E-2</v>
      </c>
      <c r="D120">
        <v>5.7363999999999998E-2</v>
      </c>
    </row>
    <row r="121" spans="1:4" x14ac:dyDescent="0.2">
      <c r="A121" s="1">
        <v>40178</v>
      </c>
      <c r="B121">
        <v>1.874106E-2</v>
      </c>
      <c r="C121">
        <v>4.8008759999999998E-2</v>
      </c>
      <c r="D121">
        <v>1.7770600000000001E-2</v>
      </c>
    </row>
    <row r="122" spans="1:4" x14ac:dyDescent="0.2">
      <c r="A122" s="1">
        <v>40207</v>
      </c>
      <c r="B122">
        <v>-3.5784879999999998E-2</v>
      </c>
      <c r="C122">
        <v>-3.1059369999999999E-2</v>
      </c>
      <c r="D122">
        <v>-3.6974260000000002E-2</v>
      </c>
    </row>
    <row r="123" spans="1:4" x14ac:dyDescent="0.2">
      <c r="A123" s="1">
        <v>40235</v>
      </c>
      <c r="B123">
        <v>3.0326080000000002E-2</v>
      </c>
      <c r="C123">
        <v>4.3402200000000002E-2</v>
      </c>
      <c r="D123">
        <v>2.8513690000000001E-2</v>
      </c>
    </row>
    <row r="124" spans="1:4" x14ac:dyDescent="0.2">
      <c r="A124" s="1">
        <v>40268</v>
      </c>
      <c r="B124">
        <v>6.1069600000000002E-2</v>
      </c>
      <c r="C124">
        <v>7.1333190000000005E-2</v>
      </c>
      <c r="D124">
        <v>5.8796370000000001E-2</v>
      </c>
    </row>
    <row r="125" spans="1:4" x14ac:dyDescent="0.2">
      <c r="A125" s="1">
        <v>40298</v>
      </c>
      <c r="B125">
        <v>1.5988370000000002E-2</v>
      </c>
      <c r="C125">
        <v>2.810884E-2</v>
      </c>
      <c r="D125">
        <v>1.4759330000000001E-2</v>
      </c>
    </row>
    <row r="126" spans="1:4" x14ac:dyDescent="0.2">
      <c r="A126" s="1">
        <v>40326</v>
      </c>
      <c r="B126">
        <v>-8.0111080000000001E-2</v>
      </c>
      <c r="C126">
        <v>-7.3485750000000002E-2</v>
      </c>
      <c r="D126">
        <v>-8.1975909999999999E-2</v>
      </c>
    </row>
    <row r="127" spans="1:4" x14ac:dyDescent="0.2">
      <c r="A127" s="1">
        <v>40359</v>
      </c>
      <c r="B127">
        <v>-5.3510309999999998E-2</v>
      </c>
      <c r="C127">
        <v>-6.1794309999999998E-2</v>
      </c>
      <c r="D127">
        <v>-5.3882380000000001E-2</v>
      </c>
    </row>
    <row r="128" spans="1:4" x14ac:dyDescent="0.2">
      <c r="A128" s="1">
        <v>40389</v>
      </c>
      <c r="B128">
        <v>7.0474889999999998E-2</v>
      </c>
      <c r="C128">
        <v>7.3569330000000002E-2</v>
      </c>
      <c r="D128">
        <v>6.8777829999999998E-2</v>
      </c>
    </row>
    <row r="129" spans="1:4" x14ac:dyDescent="0.2">
      <c r="A129" s="1">
        <v>40421</v>
      </c>
      <c r="B129">
        <v>-4.5470250000000004E-2</v>
      </c>
      <c r="C129">
        <v>-4.8330909999999998E-2</v>
      </c>
      <c r="D129">
        <v>-4.7449160000000004E-2</v>
      </c>
    </row>
    <row r="130" spans="1:4" x14ac:dyDescent="0.2">
      <c r="A130" s="1">
        <v>40451</v>
      </c>
      <c r="B130">
        <v>9.0383089999999999E-2</v>
      </c>
      <c r="C130">
        <v>0.10430729999999999</v>
      </c>
      <c r="D130">
        <v>8.7551100000000007E-2</v>
      </c>
    </row>
    <row r="131" spans="1:4" x14ac:dyDescent="0.2">
      <c r="A131" s="1">
        <v>40480</v>
      </c>
      <c r="B131">
        <v>3.8726030000000002E-2</v>
      </c>
      <c r="C131">
        <v>3.5945669999999999E-2</v>
      </c>
      <c r="D131">
        <v>3.6855940000000004E-2</v>
      </c>
    </row>
    <row r="132" spans="1:4" x14ac:dyDescent="0.2">
      <c r="A132" s="1">
        <v>40512</v>
      </c>
      <c r="B132">
        <v>-1.008993E-4</v>
      </c>
      <c r="C132">
        <v>8.1355720000000006E-3</v>
      </c>
      <c r="D132">
        <v>-2.2902830000000002E-3</v>
      </c>
    </row>
    <row r="133" spans="1:4" x14ac:dyDescent="0.2">
      <c r="A133" s="1">
        <v>40543</v>
      </c>
      <c r="B133">
        <v>6.7337900000000006E-2</v>
      </c>
      <c r="C133">
        <v>7.3083590000000004E-2</v>
      </c>
      <c r="D133">
        <v>6.5300070000000002E-2</v>
      </c>
    </row>
    <row r="134" spans="1:4" x14ac:dyDescent="0.2">
      <c r="A134" s="1">
        <v>40574</v>
      </c>
      <c r="B134">
        <v>2.335957E-2</v>
      </c>
      <c r="C134">
        <v>2.1918630000000001E-2</v>
      </c>
      <c r="D134">
        <v>2.264559E-2</v>
      </c>
    </row>
    <row r="135" spans="1:4" x14ac:dyDescent="0.2">
      <c r="A135" s="1">
        <v>40602</v>
      </c>
      <c r="B135">
        <v>3.2444010000000002E-2</v>
      </c>
      <c r="C135">
        <v>4.0956909999999999E-2</v>
      </c>
      <c r="D135">
        <v>3.1956579999999998E-2</v>
      </c>
    </row>
    <row r="136" spans="1:4" x14ac:dyDescent="0.2">
      <c r="A136" s="1">
        <v>40633</v>
      </c>
      <c r="B136">
        <v>6.0658659999999998E-4</v>
      </c>
      <c r="C136">
        <v>9.005705000000001E-3</v>
      </c>
      <c r="D136">
        <v>-1.0473020000000002E-3</v>
      </c>
    </row>
    <row r="137" spans="1:4" x14ac:dyDescent="0.2">
      <c r="A137" s="1">
        <v>40662</v>
      </c>
      <c r="B137">
        <v>2.9622320000000001E-2</v>
      </c>
      <c r="C137">
        <v>3.1923420000000001E-2</v>
      </c>
      <c r="D137">
        <v>2.8495360000000001E-2</v>
      </c>
    </row>
    <row r="138" spans="1:4" x14ac:dyDescent="0.2">
      <c r="A138" s="1">
        <v>40694</v>
      </c>
      <c r="B138">
        <v>-1.1312630000000001E-2</v>
      </c>
      <c r="C138">
        <v>-5.5788320000000006E-3</v>
      </c>
      <c r="D138">
        <v>-1.350093E-2</v>
      </c>
    </row>
    <row r="139" spans="1:4" x14ac:dyDescent="0.2">
      <c r="A139" s="1">
        <v>40724</v>
      </c>
      <c r="B139">
        <v>-1.6456020000000002E-2</v>
      </c>
      <c r="C139">
        <v>-1.876924E-2</v>
      </c>
      <c r="D139">
        <v>-1.8257510000000001E-2</v>
      </c>
    </row>
    <row r="140" spans="1:4" x14ac:dyDescent="0.2">
      <c r="A140" s="1">
        <v>40753</v>
      </c>
      <c r="B140">
        <v>-1.9909050000000001E-2</v>
      </c>
      <c r="C140">
        <v>-3.538504E-2</v>
      </c>
      <c r="D140">
        <v>-2.1474440000000001E-2</v>
      </c>
    </row>
    <row r="141" spans="1:4" x14ac:dyDescent="0.2">
      <c r="A141" s="1">
        <v>40786</v>
      </c>
      <c r="B141">
        <v>-5.432273E-2</v>
      </c>
      <c r="C141">
        <v>-6.3472029999999999E-2</v>
      </c>
      <c r="D141">
        <v>-5.6791100000000004E-2</v>
      </c>
    </row>
    <row r="142" spans="1:4" x14ac:dyDescent="0.2">
      <c r="A142" s="1">
        <v>40816</v>
      </c>
      <c r="B142">
        <v>-6.9821750000000002E-2</v>
      </c>
      <c r="C142">
        <v>-9.0251689999999996E-2</v>
      </c>
      <c r="D142">
        <v>-7.1762010000000001E-2</v>
      </c>
    </row>
    <row r="143" spans="1:4" x14ac:dyDescent="0.2">
      <c r="A143" s="1">
        <v>40847</v>
      </c>
      <c r="B143">
        <v>0.1088358</v>
      </c>
      <c r="C143">
        <v>0.13419159999999999</v>
      </c>
      <c r="D143">
        <v>0.107723</v>
      </c>
    </row>
    <row r="144" spans="1:4" x14ac:dyDescent="0.2">
      <c r="A144" s="1">
        <v>40877</v>
      </c>
      <c r="B144">
        <v>-2.6270220000000001E-3</v>
      </c>
      <c r="C144">
        <v>-6.2046390000000005E-3</v>
      </c>
      <c r="D144">
        <v>-5.0586450000000005E-3</v>
      </c>
    </row>
    <row r="145" spans="1:4" x14ac:dyDescent="0.2">
      <c r="A145" s="1">
        <v>40907</v>
      </c>
      <c r="B145">
        <v>9.4517100000000003E-3</v>
      </c>
      <c r="C145">
        <v>1.18447E-3</v>
      </c>
      <c r="D145">
        <v>8.5327509999999999E-3</v>
      </c>
    </row>
    <row r="146" spans="1:4" x14ac:dyDescent="0.2">
      <c r="A146" s="1">
        <v>40939</v>
      </c>
      <c r="B146">
        <v>4.5231640000000004E-2</v>
      </c>
      <c r="C146">
        <v>5.6468890000000001E-2</v>
      </c>
      <c r="D146">
        <v>4.358302E-2</v>
      </c>
    </row>
    <row r="147" spans="1:4" x14ac:dyDescent="0.2">
      <c r="A147" s="1">
        <v>40968</v>
      </c>
      <c r="B147">
        <v>4.3340500000000004E-2</v>
      </c>
      <c r="C147">
        <v>4.19654E-2</v>
      </c>
      <c r="D147">
        <v>4.0589449999999999E-2</v>
      </c>
    </row>
    <row r="148" spans="1:4" x14ac:dyDescent="0.2">
      <c r="A148" s="1">
        <v>40998</v>
      </c>
      <c r="B148">
        <v>3.2869530000000001E-2</v>
      </c>
      <c r="C148">
        <v>2.311819E-2</v>
      </c>
      <c r="D148">
        <v>3.133238E-2</v>
      </c>
    </row>
    <row r="149" spans="1:4" x14ac:dyDescent="0.2">
      <c r="A149" s="1">
        <v>41029</v>
      </c>
      <c r="B149">
        <v>-6.0314690000000002E-3</v>
      </c>
      <c r="C149">
        <v>-7.7994230000000006E-3</v>
      </c>
      <c r="D149">
        <v>-7.4974970000000005E-3</v>
      </c>
    </row>
    <row r="150" spans="1:4" x14ac:dyDescent="0.2">
      <c r="A150" s="1">
        <v>41060</v>
      </c>
      <c r="B150">
        <v>-5.9803660000000002E-2</v>
      </c>
      <c r="C150">
        <v>-7.1159410000000006E-2</v>
      </c>
      <c r="D150">
        <v>-6.2650670000000006E-2</v>
      </c>
    </row>
    <row r="151" spans="1:4" x14ac:dyDescent="0.2">
      <c r="A151" s="1">
        <v>41089</v>
      </c>
      <c r="B151">
        <v>4.1467290000000004E-2</v>
      </c>
      <c r="C151">
        <v>3.8328609999999999E-2</v>
      </c>
      <c r="D151">
        <v>3.955492E-2</v>
      </c>
    </row>
    <row r="152" spans="1:4" x14ac:dyDescent="0.2">
      <c r="A152" s="1">
        <v>41121</v>
      </c>
      <c r="B152">
        <v>1.408409E-2</v>
      </c>
      <c r="C152">
        <v>2.1334140000000001E-3</v>
      </c>
      <c r="D152">
        <v>1.259764E-2</v>
      </c>
    </row>
    <row r="153" spans="1:4" x14ac:dyDescent="0.2">
      <c r="A153" s="1">
        <v>41152</v>
      </c>
      <c r="B153">
        <v>2.2744090000000002E-2</v>
      </c>
      <c r="C153">
        <v>3.0790029999999999E-2</v>
      </c>
      <c r="D153">
        <v>1.9763360000000001E-2</v>
      </c>
    </row>
    <row r="154" spans="1:4" x14ac:dyDescent="0.2">
      <c r="A154" s="1">
        <v>41180</v>
      </c>
      <c r="B154">
        <v>2.5078619999999999E-2</v>
      </c>
      <c r="C154">
        <v>2.4078470000000001E-2</v>
      </c>
      <c r="D154">
        <v>2.4236090000000002E-2</v>
      </c>
    </row>
    <row r="155" spans="1:4" x14ac:dyDescent="0.2">
      <c r="A155" s="1">
        <v>41213</v>
      </c>
      <c r="B155">
        <v>-1.7939E-2</v>
      </c>
      <c r="C155">
        <v>-6.9495030000000001E-3</v>
      </c>
      <c r="D155">
        <v>-1.9789400000000002E-2</v>
      </c>
    </row>
    <row r="156" spans="1:4" x14ac:dyDescent="0.2">
      <c r="A156" s="1">
        <v>41243</v>
      </c>
      <c r="B156">
        <v>5.3262780000000003E-3</v>
      </c>
      <c r="C156">
        <v>1.3640050000000001E-2</v>
      </c>
      <c r="D156">
        <v>2.8467030000000003E-3</v>
      </c>
    </row>
    <row r="157" spans="1:4" x14ac:dyDescent="0.2">
      <c r="A157" s="1">
        <v>41274</v>
      </c>
      <c r="B157">
        <v>8.5297719999999997E-3</v>
      </c>
      <c r="C157">
        <v>2.431051E-2</v>
      </c>
      <c r="D157">
        <v>7.0683100000000004E-3</v>
      </c>
    </row>
    <row r="158" spans="1:4" x14ac:dyDescent="0.2">
      <c r="A158" s="1">
        <v>41305</v>
      </c>
      <c r="B158">
        <v>5.2242530000000002E-2</v>
      </c>
      <c r="C158">
        <v>6.5638719999999998E-2</v>
      </c>
      <c r="D158">
        <v>5.0428060000000004E-2</v>
      </c>
    </row>
    <row r="159" spans="1:4" x14ac:dyDescent="0.2">
      <c r="A159" s="1">
        <v>41333</v>
      </c>
      <c r="B159">
        <v>1.300802E-2</v>
      </c>
      <c r="C159">
        <v>1.2007480000000001E-2</v>
      </c>
      <c r="D159">
        <v>1.10606E-2</v>
      </c>
    </row>
    <row r="160" spans="1:4" x14ac:dyDescent="0.2">
      <c r="A160" s="1">
        <v>41361</v>
      </c>
      <c r="B160">
        <v>3.7584390000000002E-2</v>
      </c>
      <c r="C160">
        <v>4.2924850000000001E-2</v>
      </c>
      <c r="D160">
        <v>3.59878E-2</v>
      </c>
    </row>
    <row r="161" spans="1:4" x14ac:dyDescent="0.2">
      <c r="A161" s="1">
        <v>41394</v>
      </c>
      <c r="B161">
        <v>1.9621450000000002E-2</v>
      </c>
      <c r="C161">
        <v>1.5737060000000001E-2</v>
      </c>
      <c r="D161">
        <v>1.8085759999999999E-2</v>
      </c>
    </row>
    <row r="162" spans="1:4" x14ac:dyDescent="0.2">
      <c r="A162" s="1">
        <v>41425</v>
      </c>
      <c r="B162">
        <v>2.3142070000000001E-2</v>
      </c>
      <c r="C162">
        <v>2.9111850000000002E-2</v>
      </c>
      <c r="D162">
        <v>2.0762780000000002E-2</v>
      </c>
    </row>
    <row r="163" spans="1:4" x14ac:dyDescent="0.2">
      <c r="A163" s="1">
        <v>41453</v>
      </c>
      <c r="B163">
        <v>-1.3586930000000001E-2</v>
      </c>
      <c r="C163">
        <v>-1.045277E-2</v>
      </c>
      <c r="D163">
        <v>-1.499933E-2</v>
      </c>
    </row>
    <row r="164" spans="1:4" x14ac:dyDescent="0.2">
      <c r="A164" s="1">
        <v>41486</v>
      </c>
      <c r="B164">
        <v>5.0718970000000002E-2</v>
      </c>
      <c r="C164">
        <v>5.523202E-2</v>
      </c>
      <c r="D164">
        <v>4.9462110000000004E-2</v>
      </c>
    </row>
    <row r="165" spans="1:4" x14ac:dyDescent="0.2">
      <c r="A165" s="1">
        <v>41516</v>
      </c>
      <c r="B165">
        <v>-2.9207440000000001E-2</v>
      </c>
      <c r="C165">
        <v>-2.7829019999999999E-2</v>
      </c>
      <c r="D165">
        <v>-3.1298010000000001E-2</v>
      </c>
    </row>
    <row r="166" spans="1:4" x14ac:dyDescent="0.2">
      <c r="A166" s="1">
        <v>41547</v>
      </c>
      <c r="B166">
        <v>3.150758E-2</v>
      </c>
      <c r="C166">
        <v>4.0407200000000004E-2</v>
      </c>
      <c r="D166">
        <v>2.9749480000000002E-2</v>
      </c>
    </row>
    <row r="167" spans="1:4" x14ac:dyDescent="0.2">
      <c r="A167" s="1">
        <v>41578</v>
      </c>
      <c r="B167">
        <v>4.625605E-2</v>
      </c>
      <c r="C167">
        <v>4.2798000000000003E-2</v>
      </c>
      <c r="D167">
        <v>4.4595759999999998E-2</v>
      </c>
    </row>
    <row r="168" spans="1:4" x14ac:dyDescent="0.2">
      <c r="A168" s="1">
        <v>41607</v>
      </c>
      <c r="B168">
        <v>3.0788889999999999E-2</v>
      </c>
      <c r="C168">
        <v>2.366656E-2</v>
      </c>
      <c r="D168">
        <v>2.8049460000000002E-2</v>
      </c>
    </row>
    <row r="169" spans="1:4" x14ac:dyDescent="0.2">
      <c r="A169" s="1">
        <v>41639</v>
      </c>
      <c r="B169">
        <v>2.519215E-2</v>
      </c>
      <c r="C169">
        <v>2.9107009999999999E-2</v>
      </c>
      <c r="D169">
        <v>2.356283E-2</v>
      </c>
    </row>
    <row r="170" spans="1:4" x14ac:dyDescent="0.2">
      <c r="A170" s="1">
        <v>41670</v>
      </c>
      <c r="B170">
        <v>-3.4567529999999999E-2</v>
      </c>
      <c r="C170">
        <v>-2.9442900000000001E-2</v>
      </c>
      <c r="D170">
        <v>-3.5582900000000001E-2</v>
      </c>
    </row>
    <row r="171" spans="1:4" x14ac:dyDescent="0.2">
      <c r="A171" s="1">
        <v>41698</v>
      </c>
      <c r="B171">
        <v>4.5756789999999999E-2</v>
      </c>
      <c r="C171">
        <v>5.3917680000000003E-2</v>
      </c>
      <c r="D171">
        <v>4.3117040000000002E-2</v>
      </c>
    </row>
    <row r="172" spans="1:4" x14ac:dyDescent="0.2">
      <c r="A172" s="1">
        <v>41729</v>
      </c>
      <c r="B172">
        <v>8.1084680000000006E-3</v>
      </c>
      <c r="C172">
        <v>7.3693670000000008E-3</v>
      </c>
      <c r="D172">
        <v>6.9321580000000008E-3</v>
      </c>
    </row>
    <row r="173" spans="1:4" x14ac:dyDescent="0.2">
      <c r="A173" s="1">
        <v>41759</v>
      </c>
      <c r="B173">
        <v>7.1895030000000007E-3</v>
      </c>
      <c r="C173">
        <v>3.1684060000000003E-3</v>
      </c>
      <c r="D173">
        <v>6.2007970000000001E-3</v>
      </c>
    </row>
    <row r="174" spans="1:4" x14ac:dyDescent="0.2">
      <c r="A174" s="1">
        <v>41789</v>
      </c>
      <c r="B174">
        <v>2.3210379999999999E-2</v>
      </c>
      <c r="C174">
        <v>2.28831E-2</v>
      </c>
      <c r="D174">
        <v>2.1030280000000002E-2</v>
      </c>
    </row>
    <row r="175" spans="1:4" x14ac:dyDescent="0.2">
      <c r="A175" s="1">
        <v>41820</v>
      </c>
      <c r="B175">
        <v>2.0622850000000002E-2</v>
      </c>
      <c r="C175">
        <v>2.8643250000000002E-2</v>
      </c>
      <c r="D175">
        <v>1.9058310000000002E-2</v>
      </c>
    </row>
    <row r="176" spans="1:4" x14ac:dyDescent="0.2">
      <c r="A176" s="1">
        <v>41851</v>
      </c>
      <c r="B176">
        <v>-1.388557E-2</v>
      </c>
      <c r="C176">
        <v>-2.1818630000000002E-2</v>
      </c>
      <c r="D176">
        <v>-1.507986E-2</v>
      </c>
    </row>
    <row r="177" spans="1:4" x14ac:dyDescent="0.2">
      <c r="A177" s="1">
        <v>41880</v>
      </c>
      <c r="B177">
        <v>3.9743880000000002E-2</v>
      </c>
      <c r="C177">
        <v>4.2474900000000003E-2</v>
      </c>
      <c r="D177">
        <v>3.7655319999999999E-2</v>
      </c>
    </row>
    <row r="178" spans="1:4" x14ac:dyDescent="0.2">
      <c r="A178" s="1">
        <v>41912</v>
      </c>
      <c r="B178">
        <v>-1.3911710000000001E-2</v>
      </c>
      <c r="C178">
        <v>-2.550519E-2</v>
      </c>
      <c r="D178">
        <v>-1.5513860000000001E-2</v>
      </c>
    </row>
    <row r="179" spans="1:4" x14ac:dyDescent="0.2">
      <c r="A179" s="1">
        <v>41943</v>
      </c>
      <c r="B179">
        <v>2.3971820000000001E-2</v>
      </c>
      <c r="C179">
        <v>2.987445E-2</v>
      </c>
      <c r="D179">
        <v>2.320146E-2</v>
      </c>
    </row>
    <row r="180" spans="1:4" x14ac:dyDescent="0.2">
      <c r="A180" s="1">
        <v>41971</v>
      </c>
      <c r="B180">
        <v>2.7600650000000001E-2</v>
      </c>
      <c r="C180">
        <v>2.4103650000000001E-2</v>
      </c>
      <c r="D180">
        <v>2.4533579999999999E-2</v>
      </c>
    </row>
    <row r="181" spans="1:4" x14ac:dyDescent="0.2">
      <c r="A181" s="1">
        <v>42004</v>
      </c>
      <c r="B181">
        <v>-2.552931E-3</v>
      </c>
      <c r="C181">
        <v>3.489392E-3</v>
      </c>
      <c r="D181">
        <v>-4.1885120000000001E-3</v>
      </c>
    </row>
    <row r="182" spans="1:4" x14ac:dyDescent="0.2">
      <c r="A182" s="1">
        <v>42034</v>
      </c>
      <c r="B182">
        <v>-2.9498389999999999E-2</v>
      </c>
      <c r="C182">
        <v>-2.832805E-2</v>
      </c>
      <c r="D182">
        <v>-3.1040850000000002E-2</v>
      </c>
    </row>
    <row r="183" spans="1:4" x14ac:dyDescent="0.2">
      <c r="A183" s="1">
        <v>42062</v>
      </c>
      <c r="B183">
        <v>5.6975539999999998E-2</v>
      </c>
      <c r="C183">
        <v>5.8576679999999999E-2</v>
      </c>
      <c r="D183">
        <v>5.4892509999999999E-2</v>
      </c>
    </row>
    <row r="184" spans="1:4" x14ac:dyDescent="0.2">
      <c r="A184" s="1">
        <v>42094</v>
      </c>
      <c r="B184">
        <v>-1.543755E-2</v>
      </c>
      <c r="C184">
        <v>-9.4219190000000008E-3</v>
      </c>
      <c r="D184">
        <v>-1.7396060000000001E-2</v>
      </c>
    </row>
    <row r="185" spans="1:4" x14ac:dyDescent="0.2">
      <c r="A185" s="1">
        <v>42124</v>
      </c>
      <c r="B185">
        <v>9.1785640000000002E-3</v>
      </c>
      <c r="C185">
        <v>4.2995730000000001E-3</v>
      </c>
      <c r="D185">
        <v>8.5207620000000012E-3</v>
      </c>
    </row>
    <row r="186" spans="1:4" x14ac:dyDescent="0.2">
      <c r="A186" s="1">
        <v>42153</v>
      </c>
      <c r="B186">
        <v>1.252177E-2</v>
      </c>
      <c r="C186">
        <v>8.7561670000000005E-3</v>
      </c>
      <c r="D186">
        <v>1.0491439999999999E-2</v>
      </c>
    </row>
    <row r="187" spans="1:4" x14ac:dyDescent="0.2">
      <c r="A187" s="1">
        <v>42185</v>
      </c>
      <c r="B187">
        <v>-1.9340639999999999E-2</v>
      </c>
      <c r="C187">
        <v>-2.1921969999999999E-2</v>
      </c>
      <c r="D187">
        <v>-2.1011769999999999E-2</v>
      </c>
    </row>
    <row r="188" spans="1:4" x14ac:dyDescent="0.2">
      <c r="A188" s="1">
        <v>42216</v>
      </c>
      <c r="B188">
        <v>2.1138759999999999E-2</v>
      </c>
      <c r="C188">
        <v>7.7943490000000008E-3</v>
      </c>
      <c r="D188">
        <v>1.9742039999999999E-2</v>
      </c>
    </row>
    <row r="189" spans="1:4" x14ac:dyDescent="0.2">
      <c r="A189" s="1">
        <v>42247</v>
      </c>
      <c r="B189">
        <v>-6.0239550000000003E-2</v>
      </c>
      <c r="C189">
        <v>-5.4013980000000003E-2</v>
      </c>
      <c r="D189">
        <v>-6.2580800000000006E-2</v>
      </c>
    </row>
    <row r="190" spans="1:4" x14ac:dyDescent="0.2">
      <c r="A190" s="1">
        <v>42277</v>
      </c>
      <c r="B190">
        <v>-2.4527550000000002E-2</v>
      </c>
      <c r="C190">
        <v>-3.3561130000000002E-2</v>
      </c>
      <c r="D190">
        <v>-2.6442819999999999E-2</v>
      </c>
    </row>
    <row r="191" spans="1:4" x14ac:dyDescent="0.2">
      <c r="A191" s="1">
        <v>42307</v>
      </c>
      <c r="B191">
        <v>8.3536510000000008E-2</v>
      </c>
      <c r="C191">
        <v>7.3993920000000005E-2</v>
      </c>
      <c r="D191">
        <v>8.2983080000000001E-2</v>
      </c>
    </row>
    <row r="192" spans="1:4" x14ac:dyDescent="0.2">
      <c r="A192" s="1">
        <v>42338</v>
      </c>
      <c r="B192">
        <v>3.0203040000000001E-3</v>
      </c>
      <c r="C192">
        <v>2.4164210000000002E-3</v>
      </c>
      <c r="D192">
        <v>5.0496299999999998E-4</v>
      </c>
    </row>
    <row r="193" spans="1:4" x14ac:dyDescent="0.2">
      <c r="A193" s="1">
        <v>42369</v>
      </c>
      <c r="B193">
        <v>-1.5235800000000001E-2</v>
      </c>
      <c r="C193">
        <v>-2.5168059999999999E-2</v>
      </c>
      <c r="D193">
        <v>-1.7530199999999999E-2</v>
      </c>
    </row>
    <row r="194" spans="1:4" x14ac:dyDescent="0.2">
      <c r="A194" s="1">
        <v>42398</v>
      </c>
      <c r="B194">
        <v>-4.9122239999999998E-2</v>
      </c>
      <c r="C194">
        <v>-5.6126479999999999E-2</v>
      </c>
      <c r="D194">
        <v>-5.0735340000000004E-2</v>
      </c>
    </row>
    <row r="195" spans="1:4" x14ac:dyDescent="0.2">
      <c r="A195" s="1">
        <v>42429</v>
      </c>
      <c r="B195">
        <v>-1.640533E-3</v>
      </c>
      <c r="C195">
        <v>1.2222820000000001E-2</v>
      </c>
      <c r="D195">
        <v>-4.1283550000000002E-3</v>
      </c>
    </row>
    <row r="196" spans="1:4" x14ac:dyDescent="0.2">
      <c r="A196" s="1">
        <v>42460</v>
      </c>
      <c r="B196">
        <v>6.7391640000000003E-2</v>
      </c>
      <c r="C196">
        <v>8.1831050000000002E-2</v>
      </c>
      <c r="D196">
        <v>6.5991110000000006E-2</v>
      </c>
    </row>
    <row r="197" spans="1:4" x14ac:dyDescent="0.2">
      <c r="A197" s="1">
        <v>42489</v>
      </c>
      <c r="B197">
        <v>3.7088590000000001E-3</v>
      </c>
      <c r="C197">
        <v>1.289944E-2</v>
      </c>
      <c r="D197">
        <v>2.69937E-3</v>
      </c>
    </row>
    <row r="198" spans="1:4" x14ac:dyDescent="0.2">
      <c r="A198" s="1">
        <v>42521</v>
      </c>
      <c r="B198">
        <v>1.8428670000000001E-2</v>
      </c>
      <c r="C198">
        <v>1.427461E-2</v>
      </c>
      <c r="D198">
        <v>1.5329490000000001E-2</v>
      </c>
    </row>
    <row r="199" spans="1:4" x14ac:dyDescent="0.2">
      <c r="A199" s="1">
        <v>42551</v>
      </c>
      <c r="B199">
        <v>2.6832640000000003E-3</v>
      </c>
      <c r="C199">
        <v>-8.6021329999999991E-5</v>
      </c>
      <c r="D199">
        <v>9.0607350000000003E-4</v>
      </c>
    </row>
    <row r="200" spans="1:4" x14ac:dyDescent="0.2">
      <c r="A200" s="1">
        <v>42580</v>
      </c>
      <c r="B200">
        <v>3.6618930000000001E-2</v>
      </c>
      <c r="C200">
        <v>4.34656E-2</v>
      </c>
      <c r="D200">
        <v>3.5609809999999999E-2</v>
      </c>
    </row>
    <row r="201" spans="1:4" x14ac:dyDescent="0.2">
      <c r="A201" s="1">
        <v>42613</v>
      </c>
      <c r="B201">
        <v>1.2470620000000002E-3</v>
      </c>
      <c r="C201">
        <v>2.2489040000000004E-3</v>
      </c>
      <c r="D201">
        <v>-1.219176E-3</v>
      </c>
    </row>
    <row r="202" spans="1:4" x14ac:dyDescent="0.2">
      <c r="A202" s="1">
        <v>42643</v>
      </c>
      <c r="B202">
        <v>2.6349300000000001E-4</v>
      </c>
      <c r="C202">
        <v>5.1807090000000001E-4</v>
      </c>
      <c r="D202">
        <v>-1.234483E-3</v>
      </c>
    </row>
    <row r="203" spans="1:4" x14ac:dyDescent="0.2">
      <c r="A203" s="1">
        <v>42674</v>
      </c>
      <c r="B203">
        <v>-1.7949690000000001E-2</v>
      </c>
      <c r="C203">
        <v>-2.4238990000000002E-2</v>
      </c>
      <c r="D203">
        <v>-1.9425620000000001E-2</v>
      </c>
    </row>
    <row r="204" spans="1:4" x14ac:dyDescent="0.2">
      <c r="A204" s="1">
        <v>42704</v>
      </c>
      <c r="B204">
        <v>3.5843399999999997E-2</v>
      </c>
      <c r="C204">
        <v>5.1861000000000004E-2</v>
      </c>
      <c r="D204">
        <v>3.4174450000000002E-2</v>
      </c>
    </row>
    <row r="205" spans="1:4" x14ac:dyDescent="0.2">
      <c r="A205" s="1">
        <v>42734</v>
      </c>
      <c r="B205">
        <v>1.918023E-2</v>
      </c>
      <c r="C205">
        <v>1.0571230000000001E-2</v>
      </c>
      <c r="D205">
        <v>1.8200750000000002E-2</v>
      </c>
    </row>
    <row r="206" spans="1:4" x14ac:dyDescent="0.2">
      <c r="A206" s="1">
        <v>42766</v>
      </c>
      <c r="B206">
        <v>1.9372170000000001E-2</v>
      </c>
      <c r="C206">
        <v>2.1047679999999999E-2</v>
      </c>
      <c r="D206">
        <v>1.7884340000000002E-2</v>
      </c>
    </row>
    <row r="207" spans="1:4" x14ac:dyDescent="0.2">
      <c r="A207" s="1">
        <v>42794</v>
      </c>
      <c r="B207">
        <v>3.9392969999999999E-2</v>
      </c>
      <c r="C207">
        <v>3.1488559999999999E-2</v>
      </c>
      <c r="D207">
        <v>3.7198260000000004E-2</v>
      </c>
    </row>
    <row r="208" spans="1:4" x14ac:dyDescent="0.2">
      <c r="A208" s="1">
        <v>42825</v>
      </c>
      <c r="B208">
        <v>1.5722780000000001E-3</v>
      </c>
      <c r="C208">
        <v>-1.2594800000000001E-3</v>
      </c>
      <c r="D208">
        <v>-3.8923020000000003E-4</v>
      </c>
    </row>
    <row r="209" spans="1:4" x14ac:dyDescent="0.2">
      <c r="A209" s="1">
        <v>42853</v>
      </c>
      <c r="B209">
        <v>1.051681E-2</v>
      </c>
      <c r="C209">
        <v>6.4354160000000002E-3</v>
      </c>
      <c r="D209">
        <v>9.0912170000000004E-3</v>
      </c>
    </row>
    <row r="210" spans="1:4" x14ac:dyDescent="0.2">
      <c r="A210" s="1">
        <v>42886</v>
      </c>
      <c r="B210">
        <v>1.455208E-2</v>
      </c>
      <c r="C210">
        <v>4.4707950000000005E-3</v>
      </c>
      <c r="D210">
        <v>1.157621E-2</v>
      </c>
    </row>
    <row r="211" spans="1:4" x14ac:dyDescent="0.2">
      <c r="A211" s="1">
        <v>42916</v>
      </c>
      <c r="B211">
        <v>5.9398080000000004E-3</v>
      </c>
      <c r="C211">
        <v>1.3597680000000001E-2</v>
      </c>
      <c r="D211">
        <v>4.8138320000000005E-3</v>
      </c>
    </row>
    <row r="212" spans="1:4" x14ac:dyDescent="0.2">
      <c r="A212" s="1">
        <v>42947</v>
      </c>
      <c r="B212">
        <v>2.0729480000000002E-2</v>
      </c>
      <c r="C212">
        <v>1.5995519999999999E-2</v>
      </c>
      <c r="D212">
        <v>1.9348770000000001E-2</v>
      </c>
    </row>
    <row r="213" spans="1:4" x14ac:dyDescent="0.2">
      <c r="A213" s="1">
        <v>42978</v>
      </c>
      <c r="B213">
        <v>2.2394190000000003E-3</v>
      </c>
      <c r="C213">
        <v>-1.032394E-2</v>
      </c>
      <c r="D213">
        <v>5.4649229999999998E-4</v>
      </c>
    </row>
    <row r="214" spans="1:4" x14ac:dyDescent="0.2">
      <c r="A214" s="1">
        <v>43007</v>
      </c>
      <c r="B214">
        <v>2.012711E-2</v>
      </c>
      <c r="C214">
        <v>2.9596110000000002E-2</v>
      </c>
      <c r="D214">
        <v>1.9302900000000001E-2</v>
      </c>
    </row>
    <row r="215" spans="1:4" x14ac:dyDescent="0.2">
      <c r="A215" s="1">
        <v>43039</v>
      </c>
      <c r="B215">
        <v>2.4112919999999999E-2</v>
      </c>
      <c r="C215">
        <v>1.0301910000000001E-2</v>
      </c>
      <c r="D215">
        <v>2.2188180000000002E-2</v>
      </c>
    </row>
    <row r="216" spans="1:4" x14ac:dyDescent="0.2">
      <c r="A216" s="1">
        <v>43069</v>
      </c>
      <c r="B216">
        <v>3.1389159999999999E-2</v>
      </c>
      <c r="C216">
        <v>3.8785790000000001E-2</v>
      </c>
      <c r="D216">
        <v>2.8082599999999999E-2</v>
      </c>
    </row>
    <row r="217" spans="1:4" x14ac:dyDescent="0.2">
      <c r="A217" s="1">
        <v>43098</v>
      </c>
      <c r="B217">
        <v>1.114916E-2</v>
      </c>
      <c r="C217">
        <v>1.310152E-2</v>
      </c>
      <c r="D217">
        <v>9.8316189999999998E-3</v>
      </c>
    </row>
    <row r="218" spans="1:4" x14ac:dyDescent="0.2">
      <c r="A218" s="1">
        <v>43131</v>
      </c>
      <c r="B218">
        <v>5.8082720000000004E-2</v>
      </c>
      <c r="C218">
        <v>4.4780380000000002E-2</v>
      </c>
      <c r="D218">
        <v>5.6178730000000003E-2</v>
      </c>
    </row>
    <row r="219" spans="1:4" x14ac:dyDescent="0.2">
      <c r="A219" s="1">
        <v>43159</v>
      </c>
      <c r="B219">
        <v>-3.766079E-2</v>
      </c>
      <c r="C219">
        <v>-4.3354870000000004E-2</v>
      </c>
      <c r="D219">
        <v>-3.8947380000000004E-2</v>
      </c>
    </row>
    <row r="220" spans="1:4" x14ac:dyDescent="0.2">
      <c r="A220" s="1">
        <v>43188</v>
      </c>
      <c r="B220">
        <v>-2.5582500000000001E-2</v>
      </c>
      <c r="C220">
        <v>-9.5342770000000007E-3</v>
      </c>
      <c r="D220">
        <v>-2.688451E-2</v>
      </c>
    </row>
    <row r="221" spans="1:4" x14ac:dyDescent="0.2">
      <c r="A221" s="1">
        <v>43220</v>
      </c>
      <c r="B221">
        <v>3.7710920000000002E-3</v>
      </c>
      <c r="C221">
        <v>3.8871800000000001E-3</v>
      </c>
      <c r="D221">
        <v>2.7188010000000003E-3</v>
      </c>
    </row>
    <row r="222" spans="1:4" x14ac:dyDescent="0.2">
      <c r="A222" s="1">
        <v>43251</v>
      </c>
      <c r="B222">
        <v>2.362539E-2</v>
      </c>
      <c r="C222">
        <v>1.493617E-2</v>
      </c>
      <c r="D222">
        <v>2.1608350000000002E-2</v>
      </c>
    </row>
    <row r="223" spans="1:4" x14ac:dyDescent="0.2">
      <c r="A223" s="1">
        <v>43280</v>
      </c>
      <c r="B223">
        <v>6.5971700000000003E-3</v>
      </c>
      <c r="C223">
        <v>1.0843139999999999E-2</v>
      </c>
      <c r="D223">
        <v>4.8424000000000002E-3</v>
      </c>
    </row>
    <row r="224" spans="1:4" x14ac:dyDescent="0.2">
      <c r="A224" s="1">
        <v>43312</v>
      </c>
      <c r="B224">
        <v>3.7156620000000001E-2</v>
      </c>
      <c r="C224">
        <v>3.2330049999999999E-2</v>
      </c>
      <c r="D224">
        <v>3.6021589999999999E-2</v>
      </c>
    </row>
    <row r="225" spans="1:4" x14ac:dyDescent="0.2">
      <c r="A225" s="1">
        <v>43343</v>
      </c>
      <c r="B225">
        <v>3.2842580000000003E-2</v>
      </c>
      <c r="C225">
        <v>1.975621E-2</v>
      </c>
      <c r="D225">
        <v>3.026322E-2</v>
      </c>
    </row>
    <row r="226" spans="1:4" x14ac:dyDescent="0.2">
      <c r="A226" s="1">
        <v>43371</v>
      </c>
      <c r="B226">
        <v>5.1054400000000002E-3</v>
      </c>
      <c r="C226">
        <v>1.4822370000000002E-3</v>
      </c>
      <c r="D226">
        <v>4.2943010000000004E-3</v>
      </c>
    </row>
    <row r="227" spans="1:4" x14ac:dyDescent="0.2">
      <c r="A227" s="1">
        <v>43404</v>
      </c>
      <c r="B227">
        <v>-6.8406599999999998E-2</v>
      </c>
      <c r="C227">
        <v>-7.1397950000000002E-2</v>
      </c>
      <c r="D227">
        <v>-6.9403359999999997E-2</v>
      </c>
    </row>
    <row r="228" spans="1:4" x14ac:dyDescent="0.2">
      <c r="A228" s="1">
        <v>43434</v>
      </c>
      <c r="B228">
        <v>1.9775839999999999E-2</v>
      </c>
      <c r="C228">
        <v>2.7517719999999999E-2</v>
      </c>
      <c r="D228">
        <v>1.7859380000000001E-2</v>
      </c>
    </row>
    <row r="229" spans="1:4" x14ac:dyDescent="0.2">
      <c r="A229" s="1">
        <v>43465</v>
      </c>
      <c r="B229">
        <v>-9.0653380000000006E-2</v>
      </c>
      <c r="C229">
        <v>-0.1005865</v>
      </c>
      <c r="D229">
        <v>-9.1776949999999996E-2</v>
      </c>
    </row>
    <row r="230" spans="1:4" x14ac:dyDescent="0.2">
      <c r="A230" s="1">
        <v>43496</v>
      </c>
      <c r="B230">
        <v>8.1098589999999998E-2</v>
      </c>
      <c r="C230">
        <v>9.9979280000000004E-2</v>
      </c>
      <c r="D230">
        <v>7.8684400000000002E-2</v>
      </c>
    </row>
    <row r="231" spans="1:4" x14ac:dyDescent="0.2">
      <c r="A231" s="1">
        <v>43524</v>
      </c>
      <c r="B231">
        <v>3.1686010000000001E-2</v>
      </c>
      <c r="C231">
        <v>3.6475519999999997E-2</v>
      </c>
      <c r="D231">
        <v>2.9728930000000001E-2</v>
      </c>
    </row>
    <row r="232" spans="1:4" x14ac:dyDescent="0.2">
      <c r="A232" s="1">
        <v>43553</v>
      </c>
      <c r="B232">
        <v>1.953133E-2</v>
      </c>
      <c r="C232">
        <v>9.131386E-3</v>
      </c>
      <c r="D232">
        <v>1.7924289999999999E-2</v>
      </c>
    </row>
    <row r="233" spans="1:4" x14ac:dyDescent="0.2">
      <c r="A233" s="1">
        <v>43585</v>
      </c>
      <c r="B233">
        <v>4.0556889999999998E-2</v>
      </c>
      <c r="C233">
        <v>3.6782580000000002E-2</v>
      </c>
      <c r="D233">
        <v>3.9313439999999998E-2</v>
      </c>
    </row>
    <row r="234" spans="1:4" x14ac:dyDescent="0.2">
      <c r="A234" s="1">
        <v>43616</v>
      </c>
      <c r="B234">
        <v>-6.3187030000000005E-2</v>
      </c>
      <c r="C234">
        <v>-6.8450520000000001E-2</v>
      </c>
      <c r="D234">
        <v>-6.5777730000000006E-2</v>
      </c>
    </row>
    <row r="235" spans="1:4" x14ac:dyDescent="0.2">
      <c r="A235" s="1">
        <v>43644</v>
      </c>
      <c r="B235">
        <v>6.9571309999999997E-2</v>
      </c>
      <c r="C235">
        <v>7.6175590000000001E-2</v>
      </c>
      <c r="D235">
        <v>6.8930190000000002E-2</v>
      </c>
    </row>
    <row r="236" spans="1:4" x14ac:dyDescent="0.2">
      <c r="A236" s="1">
        <v>43677</v>
      </c>
      <c r="B236">
        <v>1.443439E-2</v>
      </c>
      <c r="C236">
        <v>8.6277120000000009E-3</v>
      </c>
      <c r="D236">
        <v>1.312819E-2</v>
      </c>
    </row>
    <row r="237" spans="1:4" x14ac:dyDescent="0.2">
      <c r="A237" s="1">
        <v>43707</v>
      </c>
      <c r="B237">
        <v>-1.6137450000000001E-2</v>
      </c>
      <c r="C237">
        <v>-3.1631340000000001E-2</v>
      </c>
      <c r="D237">
        <v>-1.8091650000000001E-2</v>
      </c>
    </row>
    <row r="238" spans="1:4" x14ac:dyDescent="0.2">
      <c r="A238" s="1">
        <v>43738</v>
      </c>
      <c r="B238">
        <v>1.876133E-2</v>
      </c>
      <c r="C238">
        <v>3.351606E-2</v>
      </c>
      <c r="D238">
        <v>1.7181169999999999E-2</v>
      </c>
    </row>
    <row r="239" spans="1:4" x14ac:dyDescent="0.2">
      <c r="A239" s="1">
        <v>43769</v>
      </c>
      <c r="B239">
        <v>2.1526159999999999E-2</v>
      </c>
      <c r="C239">
        <v>1.2903070000000001E-2</v>
      </c>
      <c r="D239">
        <v>2.0431750000000002E-2</v>
      </c>
    </row>
    <row r="240" spans="1:4" x14ac:dyDescent="0.2">
      <c r="A240" s="1">
        <v>43798</v>
      </c>
      <c r="B240">
        <v>3.6012389999999998E-2</v>
      </c>
      <c r="C240">
        <v>3.4299059999999999E-2</v>
      </c>
      <c r="D240">
        <v>3.4047060000000004E-2</v>
      </c>
    </row>
    <row r="241" spans="1:4" x14ac:dyDescent="0.2">
      <c r="A241" s="1">
        <v>43830</v>
      </c>
      <c r="B241">
        <v>2.9829930000000001E-2</v>
      </c>
      <c r="C241">
        <v>2.888574E-2</v>
      </c>
      <c r="D241">
        <v>2.8589800000000002E-2</v>
      </c>
    </row>
    <row r="242" spans="1:4" x14ac:dyDescent="0.2">
      <c r="A242" s="1">
        <v>43861</v>
      </c>
      <c r="B242">
        <v>-3.5107869999999998E-6</v>
      </c>
      <c r="C242">
        <v>-1.8023859999999999E-2</v>
      </c>
      <c r="D242">
        <v>-1.62809E-3</v>
      </c>
    </row>
    <row r="243" spans="1:4" x14ac:dyDescent="0.2">
      <c r="A243" s="1">
        <v>43889</v>
      </c>
      <c r="B243">
        <v>-8.1871920000000001E-2</v>
      </c>
      <c r="C243">
        <v>-9.0755669999999997E-2</v>
      </c>
      <c r="D243">
        <v>-8.4110470000000007E-2</v>
      </c>
    </row>
    <row r="244" spans="1:4" x14ac:dyDescent="0.2">
      <c r="A244" s="1">
        <v>43921</v>
      </c>
      <c r="B244">
        <v>-0.1220136</v>
      </c>
      <c r="C244">
        <v>-0.18849729999999998</v>
      </c>
      <c r="D244">
        <v>-0.12511929999999999</v>
      </c>
    </row>
    <row r="245" spans="1:4" x14ac:dyDescent="0.2">
      <c r="A245" s="1">
        <v>43951</v>
      </c>
      <c r="B245">
        <v>0.1290713</v>
      </c>
      <c r="C245">
        <v>0.1472774</v>
      </c>
      <c r="D245">
        <v>0.12684409999999999</v>
      </c>
    </row>
    <row r="246" spans="1:4" x14ac:dyDescent="0.2">
      <c r="A246" s="1">
        <v>43980</v>
      </c>
      <c r="B246">
        <v>4.7650700000000004E-2</v>
      </c>
      <c r="C246">
        <v>4.8092759999999998E-2</v>
      </c>
      <c r="D246">
        <v>4.5281780000000001E-2</v>
      </c>
    </row>
    <row r="247" spans="1:4" x14ac:dyDescent="0.2">
      <c r="A247" s="1">
        <v>44012</v>
      </c>
      <c r="B247">
        <v>2.0550330000000002E-2</v>
      </c>
      <c r="C247">
        <v>1.4260480000000001E-2</v>
      </c>
      <c r="D247">
        <v>1.8388399999999999E-2</v>
      </c>
    </row>
    <row r="248" spans="1:4" x14ac:dyDescent="0.2">
      <c r="A248" s="1">
        <v>44043</v>
      </c>
      <c r="B248">
        <v>5.6910260000000004E-2</v>
      </c>
      <c r="C248">
        <v>4.6927530000000002E-2</v>
      </c>
      <c r="D248">
        <v>5.5101299999999999E-2</v>
      </c>
    </row>
    <row r="249" spans="1:4" x14ac:dyDescent="0.2">
      <c r="A249" s="1">
        <v>44074</v>
      </c>
      <c r="B249">
        <v>7.2067790000000007E-2</v>
      </c>
      <c r="C249">
        <v>4.535674E-2</v>
      </c>
      <c r="D249">
        <v>7.0064689999999999E-2</v>
      </c>
    </row>
    <row r="250" spans="1:4" x14ac:dyDescent="0.2">
      <c r="A250" s="1">
        <v>44104</v>
      </c>
      <c r="B250">
        <v>-3.8159949999999998E-2</v>
      </c>
      <c r="C250">
        <v>-2.5426980000000002E-2</v>
      </c>
      <c r="D250">
        <v>-3.9227959999999999E-2</v>
      </c>
    </row>
    <row r="251" spans="1:4" x14ac:dyDescent="0.2">
      <c r="A251" s="1">
        <v>44134</v>
      </c>
      <c r="B251">
        <v>-2.6434309999999999E-2</v>
      </c>
      <c r="C251">
        <v>-6.1346890000000005E-3</v>
      </c>
      <c r="D251">
        <v>-2.7665780000000001E-2</v>
      </c>
    </row>
    <row r="252" spans="1:4" x14ac:dyDescent="0.2">
      <c r="A252" s="1">
        <v>44165</v>
      </c>
      <c r="B252">
        <v>0.1094039</v>
      </c>
      <c r="C252">
        <v>0.1466943</v>
      </c>
      <c r="D252">
        <v>0.10754569999999999</v>
      </c>
    </row>
    <row r="253" spans="1:4" x14ac:dyDescent="0.2">
      <c r="A253" s="1">
        <v>44196</v>
      </c>
      <c r="B253">
        <v>3.8139760000000002E-2</v>
      </c>
      <c r="C253">
        <v>4.1894439999999998E-2</v>
      </c>
      <c r="D253">
        <v>3.7121410000000001E-2</v>
      </c>
    </row>
    <row r="254" spans="1:4" x14ac:dyDescent="0.2">
      <c r="A254" s="1">
        <v>44225</v>
      </c>
      <c r="B254">
        <v>-1.0084539999999999E-2</v>
      </c>
      <c r="C254">
        <v>-6.4629180000000007E-3</v>
      </c>
      <c r="D254">
        <v>-1.113664E-2</v>
      </c>
    </row>
    <row r="255" spans="1:4" x14ac:dyDescent="0.2">
      <c r="A255" s="1">
        <v>44253</v>
      </c>
      <c r="B255">
        <v>2.6095420000000001E-2</v>
      </c>
      <c r="C255">
        <v>6.3454789999999997E-2</v>
      </c>
      <c r="D255">
        <v>2.609148E-2</v>
      </c>
    </row>
    <row r="256" spans="1:4" x14ac:dyDescent="0.2">
      <c r="A256" s="1">
        <v>44286</v>
      </c>
      <c r="B256">
        <v>4.3359550000000004E-2</v>
      </c>
      <c r="C256">
        <v>5.7259730000000002E-2</v>
      </c>
      <c r="D256">
        <v>4.2438629999999998E-2</v>
      </c>
    </row>
    <row r="257" spans="1:4" x14ac:dyDescent="0.2">
      <c r="A257" s="1">
        <v>44316</v>
      </c>
      <c r="B257">
        <v>5.3950539999999998E-2</v>
      </c>
      <c r="C257">
        <v>4.7290440000000003E-2</v>
      </c>
      <c r="D257">
        <v>5.2425310000000003E-2</v>
      </c>
    </row>
    <row r="258" spans="1:4" x14ac:dyDescent="0.2">
      <c r="A258" s="1">
        <v>44344</v>
      </c>
      <c r="B258">
        <v>6.2032470000000003E-3</v>
      </c>
      <c r="C258">
        <v>1.938608E-2</v>
      </c>
      <c r="D258">
        <v>5.4865030000000002E-3</v>
      </c>
    </row>
    <row r="259" spans="1:4" x14ac:dyDescent="0.2">
      <c r="A259" s="1">
        <v>44377</v>
      </c>
      <c r="B259">
        <v>2.3724100000000001E-2</v>
      </c>
      <c r="C259">
        <v>1.5228400000000001E-3</v>
      </c>
      <c r="D259">
        <v>2.2213980000000001E-2</v>
      </c>
    </row>
    <row r="260" spans="1:4" x14ac:dyDescent="0.2">
      <c r="A260" s="1">
        <v>44407</v>
      </c>
      <c r="B260">
        <v>2.3104550000000001E-2</v>
      </c>
      <c r="C260">
        <v>1.135854E-2</v>
      </c>
      <c r="D260">
        <v>2.2748110000000002E-2</v>
      </c>
    </row>
    <row r="261" spans="1:4" x14ac:dyDescent="0.2">
      <c r="A261" s="1">
        <v>44439</v>
      </c>
      <c r="B261">
        <v>3.0597269999999999E-2</v>
      </c>
      <c r="C261">
        <v>2.33329E-2</v>
      </c>
      <c r="D261">
        <v>2.899032E-2</v>
      </c>
    </row>
    <row r="262" spans="1:4" x14ac:dyDescent="0.2">
      <c r="A262" s="1">
        <v>44469</v>
      </c>
      <c r="B262">
        <v>-4.6244510000000003E-2</v>
      </c>
      <c r="C262">
        <v>-3.7593950000000001E-2</v>
      </c>
      <c r="D262">
        <v>-4.7569140000000003E-2</v>
      </c>
    </row>
    <row r="263" spans="1:4" x14ac:dyDescent="0.2">
      <c r="A263" s="1">
        <v>44498</v>
      </c>
      <c r="B263">
        <v>7.0509680000000005E-2</v>
      </c>
      <c r="C263">
        <v>5.2817420000000004E-2</v>
      </c>
      <c r="D263">
        <v>6.9143880000000005E-2</v>
      </c>
    </row>
    <row r="264" spans="1:4" x14ac:dyDescent="0.2">
      <c r="A264" s="1">
        <v>44530</v>
      </c>
      <c r="B264">
        <v>-7.2559970000000001E-3</v>
      </c>
      <c r="C264">
        <v>-2.5722760000000001E-2</v>
      </c>
      <c r="D264">
        <v>-8.3337310000000005E-3</v>
      </c>
    </row>
    <row r="265" spans="1:4" x14ac:dyDescent="0.2">
      <c r="A265" s="1">
        <v>44561</v>
      </c>
      <c r="B265">
        <v>4.3521219999999999E-2</v>
      </c>
      <c r="C265">
        <v>6.4046389999999995E-2</v>
      </c>
      <c r="D265">
        <v>4.361288E-2</v>
      </c>
    </row>
    <row r="266" spans="1:4" x14ac:dyDescent="0.2">
      <c r="A266" s="1">
        <v>44592</v>
      </c>
      <c r="B266">
        <v>-5.2243020000000001E-2</v>
      </c>
      <c r="C266">
        <v>-4.2680219999999998E-2</v>
      </c>
      <c r="D266">
        <v>-5.2585090000000001E-2</v>
      </c>
    </row>
    <row r="267" spans="1:4" x14ac:dyDescent="0.2">
      <c r="A267" s="1">
        <v>44620</v>
      </c>
      <c r="B267">
        <v>-2.931901E-2</v>
      </c>
      <c r="C267">
        <v>-1.0438070000000001E-2</v>
      </c>
      <c r="D267">
        <v>-3.1360520000000003E-2</v>
      </c>
    </row>
    <row r="268" spans="1:4" x14ac:dyDescent="0.2">
      <c r="A268" s="1">
        <v>44651</v>
      </c>
      <c r="B268">
        <v>3.7901999999999998E-2</v>
      </c>
      <c r="C268">
        <v>2.7023620000000002E-2</v>
      </c>
      <c r="D268">
        <v>3.5773239999999998E-2</v>
      </c>
    </row>
    <row r="269" spans="1:4" x14ac:dyDescent="0.2">
      <c r="A269" s="1">
        <v>44680</v>
      </c>
      <c r="B269">
        <v>-8.7590370000000001E-2</v>
      </c>
      <c r="C269">
        <v>-6.3210790000000003E-2</v>
      </c>
      <c r="D269">
        <v>-8.7956720000000002E-2</v>
      </c>
    </row>
    <row r="270" spans="1:4" x14ac:dyDescent="0.2">
      <c r="A270" s="1">
        <v>44712</v>
      </c>
      <c r="B270">
        <v>3.7372339999999999E-4</v>
      </c>
      <c r="C270">
        <v>9.982098E-3</v>
      </c>
      <c r="D270">
        <v>5.3243879999999999E-5</v>
      </c>
    </row>
    <row r="271" spans="1:4" x14ac:dyDescent="0.2">
      <c r="A271" s="1">
        <v>44742</v>
      </c>
      <c r="B271">
        <v>-8.1830369999999999E-2</v>
      </c>
      <c r="C271">
        <v>-9.3609620000000004E-2</v>
      </c>
      <c r="D271">
        <v>-8.391999E-2</v>
      </c>
    </row>
    <row r="272" spans="1:4" x14ac:dyDescent="0.2">
      <c r="A272" s="1">
        <v>44771</v>
      </c>
      <c r="B272">
        <v>9.3765910000000008E-2</v>
      </c>
      <c r="C272">
        <v>8.7937219999999997E-2</v>
      </c>
      <c r="D272">
        <v>9.1116349999999999E-2</v>
      </c>
    </row>
    <row r="273" spans="1:4" x14ac:dyDescent="0.2">
      <c r="A273" s="1">
        <v>44804</v>
      </c>
      <c r="B273">
        <v>-4.0295060000000001E-2</v>
      </c>
      <c r="C273">
        <v>-3.3775939999999997E-2</v>
      </c>
      <c r="D273">
        <v>-4.2440119999999998E-2</v>
      </c>
    </row>
    <row r="274" spans="1:4" x14ac:dyDescent="0.2">
      <c r="A274" s="1">
        <v>44834</v>
      </c>
      <c r="B274">
        <v>-9.1598140000000008E-2</v>
      </c>
      <c r="C274">
        <v>-9.3456910000000004E-2</v>
      </c>
      <c r="D274">
        <v>-9.3395699999999998E-2</v>
      </c>
    </row>
    <row r="275" spans="1:4" x14ac:dyDescent="0.2">
      <c r="A275" s="1">
        <v>44865</v>
      </c>
      <c r="B275">
        <v>8.0158229999999997E-2</v>
      </c>
      <c r="C275">
        <v>9.6486310000000006E-2</v>
      </c>
      <c r="D275">
        <v>7.9863450000000002E-2</v>
      </c>
    </row>
    <row r="276" spans="1:4" x14ac:dyDescent="0.2">
      <c r="A276" s="1">
        <v>44895</v>
      </c>
      <c r="B276">
        <v>5.4173100000000002E-2</v>
      </c>
      <c r="C276">
        <v>6.9063910000000006E-2</v>
      </c>
      <c r="D276">
        <v>5.375286E-2</v>
      </c>
    </row>
    <row r="277" spans="1:4" x14ac:dyDescent="0.2">
      <c r="A277" s="1">
        <v>44925</v>
      </c>
      <c r="B277">
        <v>-5.8735500000000003E-2</v>
      </c>
      <c r="C277">
        <v>-4.85149E-2</v>
      </c>
      <c r="D277">
        <v>-5.8971450000000002E-2</v>
      </c>
    </row>
    <row r="278" spans="1:4" x14ac:dyDescent="0.2">
      <c r="A278" s="1">
        <v>44957</v>
      </c>
      <c r="B278">
        <v>6.3724360000000008E-2</v>
      </c>
      <c r="C278">
        <v>7.5627230000000004E-2</v>
      </c>
      <c r="D278">
        <v>6.1752830000000002E-2</v>
      </c>
    </row>
    <row r="279" spans="1:4" x14ac:dyDescent="0.2">
      <c r="A279" s="1">
        <v>44985</v>
      </c>
      <c r="B279">
        <v>-2.426532E-2</v>
      </c>
      <c r="C279">
        <v>-3.3448829999999999E-2</v>
      </c>
      <c r="D279">
        <v>-2.6112449999999999E-2</v>
      </c>
    </row>
    <row r="280" spans="1:4" x14ac:dyDescent="0.2">
      <c r="A280" s="1">
        <v>45016</v>
      </c>
      <c r="B280">
        <v>3.7403579999999999E-2</v>
      </c>
      <c r="C280">
        <v>-3.5730190000000002E-3</v>
      </c>
      <c r="D280">
        <v>3.5051570000000004E-2</v>
      </c>
    </row>
    <row r="281" spans="1:4" x14ac:dyDescent="0.2">
      <c r="A281" s="1">
        <v>45044</v>
      </c>
      <c r="B281">
        <v>1.5014599999999999E-2</v>
      </c>
      <c r="C281">
        <v>2.116241E-3</v>
      </c>
      <c r="D281">
        <v>1.464236E-2</v>
      </c>
    </row>
    <row r="282" spans="1:4" x14ac:dyDescent="0.2">
      <c r="A282" s="1">
        <v>45077</v>
      </c>
      <c r="B282">
        <v>5.3449880000000002E-3</v>
      </c>
      <c r="C282">
        <v>-3.7746040000000002E-2</v>
      </c>
      <c r="D282">
        <v>2.4823240000000002E-3</v>
      </c>
    </row>
    <row r="283" spans="1:4" x14ac:dyDescent="0.2">
      <c r="A283" s="1">
        <v>45107</v>
      </c>
      <c r="B283">
        <v>6.6715549999999998E-2</v>
      </c>
      <c r="C283">
        <v>7.8325240000000004E-2</v>
      </c>
      <c r="D283">
        <v>6.4727510000000002E-2</v>
      </c>
    </row>
    <row r="284" spans="1:4" x14ac:dyDescent="0.2">
      <c r="A284" s="1">
        <v>45138</v>
      </c>
      <c r="B284">
        <v>3.1699999999999999E-2</v>
      </c>
      <c r="C284">
        <v>3.5298009999999998E-2</v>
      </c>
      <c r="D284">
        <v>3.1138910000000002E-2</v>
      </c>
    </row>
    <row r="285" spans="1:4" x14ac:dyDescent="0.2">
      <c r="A285" s="1">
        <v>45169</v>
      </c>
      <c r="B285">
        <v>-1.5427070000000001E-2</v>
      </c>
      <c r="C285">
        <v>-3.0957020000000002E-2</v>
      </c>
      <c r="D285">
        <v>-1.7716430000000002E-2</v>
      </c>
    </row>
    <row r="286" spans="1:4" x14ac:dyDescent="0.2">
      <c r="A286" s="1">
        <v>45198</v>
      </c>
      <c r="B286">
        <v>-4.7810709999999999E-2</v>
      </c>
      <c r="C286">
        <v>-5.0783679999999998E-2</v>
      </c>
      <c r="D286">
        <v>-4.8719289999999998E-2</v>
      </c>
    </row>
    <row r="287" spans="1:4" x14ac:dyDescent="0.2">
      <c r="A287" s="1">
        <v>45230</v>
      </c>
      <c r="B287">
        <v>-2.0964820000000002E-2</v>
      </c>
      <c r="C287">
        <v>-4.0677430000000001E-2</v>
      </c>
      <c r="D287">
        <v>-2.197969E-2</v>
      </c>
    </row>
    <row r="288" spans="1:4" x14ac:dyDescent="0.2">
      <c r="A288" s="1">
        <v>45260</v>
      </c>
      <c r="B288">
        <v>9.0804380000000004E-2</v>
      </c>
      <c r="C288">
        <v>9.2771670000000001E-2</v>
      </c>
      <c r="D288">
        <v>8.9179259999999996E-2</v>
      </c>
    </row>
    <row r="289" spans="1:4" x14ac:dyDescent="0.2">
      <c r="A289" s="1">
        <v>45289</v>
      </c>
      <c r="B289">
        <v>4.5076530000000004E-2</v>
      </c>
      <c r="C289">
        <v>7.0393029999999995E-2</v>
      </c>
      <c r="D289">
        <v>4.4229169999999998E-2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5570-FCD8-A842-AAA4-242A3F5F1B19}">
  <dimension ref="A1:K289"/>
  <sheetViews>
    <sheetView workbookViewId="0">
      <selection activeCell="B13" sqref="B13"/>
    </sheetView>
  </sheetViews>
  <sheetFormatPr baseColWidth="10" defaultRowHeight="15" x14ac:dyDescent="0.2"/>
  <cols>
    <col min="1" max="1" width="14" customWidth="1"/>
    <col min="2" max="4" width="21" customWidth="1"/>
    <col min="5" max="10" width="20" customWidth="1"/>
    <col min="11" max="11" width="29.332031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">
      <c r="A2" s="1">
        <v>36556</v>
      </c>
      <c r="B2">
        <v>4.4850000000000003E-3</v>
      </c>
      <c r="C2">
        <v>1.7035999999999999E-2</v>
      </c>
      <c r="D2">
        <v>-9.7970000000000002E-3</v>
      </c>
      <c r="E2">
        <v>-5.0520000000000001E-3</v>
      </c>
      <c r="F2">
        <v>-5.587E-3</v>
      </c>
      <c r="G2">
        <v>-1.4170000000000001E-3</v>
      </c>
      <c r="H2">
        <v>2.4760000000000003E-3</v>
      </c>
      <c r="I2">
        <v>4.339E-3</v>
      </c>
      <c r="J2">
        <v>4.3430000000000005E-3</v>
      </c>
      <c r="K2">
        <v>2.9710000000000001E-3</v>
      </c>
    </row>
    <row r="3" spans="1:11" x14ac:dyDescent="0.2">
      <c r="A3" s="1">
        <v>36585</v>
      </c>
      <c r="B3">
        <v>3.6776000000000003E-2</v>
      </c>
      <c r="C3">
        <v>3.0678E-2</v>
      </c>
      <c r="D3">
        <v>1.3598000000000001E-2</v>
      </c>
      <c r="E3">
        <v>9.5050000000000013E-3</v>
      </c>
      <c r="F3">
        <v>9.1690000000000001E-3</v>
      </c>
      <c r="G3">
        <v>6.8420000000000009E-3</v>
      </c>
      <c r="H3">
        <v>5.7970000000000001E-3</v>
      </c>
      <c r="I3">
        <v>4.2620000000000002E-3</v>
      </c>
      <c r="J3">
        <v>4.2950000000000002E-3</v>
      </c>
      <c r="K3">
        <v>5.9240000000000004E-3</v>
      </c>
    </row>
    <row r="4" spans="1:11" x14ac:dyDescent="0.2">
      <c r="A4" s="1">
        <v>36616</v>
      </c>
      <c r="B4">
        <v>4.7912000000000003E-2</v>
      </c>
      <c r="C4">
        <v>3.4984000000000001E-2</v>
      </c>
      <c r="D4">
        <v>3.4751999999999998E-2</v>
      </c>
      <c r="E4">
        <v>2.7026999999999999E-2</v>
      </c>
      <c r="F4">
        <v>1.7635000000000001E-2</v>
      </c>
      <c r="G4">
        <v>6.5930000000000008E-3</v>
      </c>
      <c r="H4">
        <v>5.3380000000000007E-3</v>
      </c>
      <c r="I4">
        <v>4.7930000000000004E-3</v>
      </c>
      <c r="J4">
        <v>4.3770000000000007E-3</v>
      </c>
      <c r="K4">
        <v>8.2450000000000006E-3</v>
      </c>
    </row>
    <row r="5" spans="1:11" x14ac:dyDescent="0.2">
      <c r="A5" s="1">
        <v>36644</v>
      </c>
      <c r="B5">
        <v>-1.3274000000000001E-2</v>
      </c>
      <c r="C5">
        <v>-7.8279999999999999E-3</v>
      </c>
      <c r="D5">
        <v>-1.0026E-2</v>
      </c>
      <c r="E5">
        <v>-6.7170000000000007E-3</v>
      </c>
      <c r="F5">
        <v>-4.274E-3</v>
      </c>
      <c r="G5">
        <v>1.4960000000000002E-3</v>
      </c>
      <c r="H5">
        <v>3.5490000000000001E-3</v>
      </c>
      <c r="I5">
        <v>4.9410000000000001E-3</v>
      </c>
      <c r="J5">
        <v>4.5950000000000001E-3</v>
      </c>
      <c r="K5">
        <v>5.8399999999999999E-4</v>
      </c>
    </row>
    <row r="6" spans="1:11" x14ac:dyDescent="0.2">
      <c r="A6" s="1">
        <v>36677</v>
      </c>
      <c r="B6">
        <v>-8.6700000000000004E-4</v>
      </c>
      <c r="C6">
        <v>-4.2460000000000006E-3</v>
      </c>
      <c r="D6">
        <v>1.771E-3</v>
      </c>
      <c r="E6">
        <v>5.836E-3</v>
      </c>
      <c r="F6">
        <v>4.9030000000000002E-3</v>
      </c>
      <c r="G6">
        <v>4.9250000000000006E-3</v>
      </c>
      <c r="H6">
        <v>4.3050000000000007E-3</v>
      </c>
      <c r="I6">
        <v>6.1640000000000002E-3</v>
      </c>
      <c r="J6">
        <v>4.7820000000000007E-3</v>
      </c>
      <c r="K6">
        <v>1.168E-3</v>
      </c>
    </row>
    <row r="7" spans="1:11" x14ac:dyDescent="0.2">
      <c r="A7" s="1">
        <v>36707</v>
      </c>
      <c r="B7">
        <v>2.0563000000000001E-2</v>
      </c>
      <c r="C7">
        <v>2.0999E-2</v>
      </c>
      <c r="D7">
        <v>2.2074E-2</v>
      </c>
      <c r="E7">
        <v>1.9042E-2</v>
      </c>
      <c r="F7">
        <v>1.8501E-2</v>
      </c>
      <c r="G7">
        <v>1.1403E-2</v>
      </c>
      <c r="H7">
        <v>7.7940000000000006E-3</v>
      </c>
      <c r="I7">
        <v>4.3480000000000003E-3</v>
      </c>
      <c r="J7">
        <v>3.7440000000000004E-3</v>
      </c>
      <c r="K7">
        <v>5.2480000000000001E-3</v>
      </c>
    </row>
    <row r="8" spans="1:11" x14ac:dyDescent="0.2">
      <c r="A8" s="1">
        <v>36738</v>
      </c>
      <c r="B8">
        <v>2.0272000000000002E-2</v>
      </c>
      <c r="C8">
        <v>1.8508E-2</v>
      </c>
      <c r="D8">
        <v>4.64E-3</v>
      </c>
      <c r="E8">
        <v>8.5909999999999997E-3</v>
      </c>
      <c r="F8">
        <v>7.2000000000000007E-3</v>
      </c>
      <c r="G8">
        <v>6.7520000000000002E-3</v>
      </c>
      <c r="H8">
        <v>5.483E-3</v>
      </c>
      <c r="I8">
        <v>4.4680000000000006E-3</v>
      </c>
      <c r="J8">
        <v>4.7720000000000002E-3</v>
      </c>
      <c r="K8">
        <v>2.32E-3</v>
      </c>
    </row>
    <row r="9" spans="1:11" x14ac:dyDescent="0.2">
      <c r="A9" s="1">
        <v>36769</v>
      </c>
      <c r="B9">
        <v>2.0774000000000001E-2</v>
      </c>
      <c r="C9">
        <v>2.2423000000000002E-2</v>
      </c>
      <c r="D9">
        <v>1.6603E-2</v>
      </c>
      <c r="E9">
        <v>1.5842999999999999E-2</v>
      </c>
      <c r="F9">
        <v>1.3304E-2</v>
      </c>
      <c r="G9">
        <v>7.7720000000000003E-3</v>
      </c>
      <c r="H9">
        <v>5.9760000000000004E-3</v>
      </c>
      <c r="I9">
        <v>5.156E-3</v>
      </c>
      <c r="J9">
        <v>5.0020000000000004E-3</v>
      </c>
      <c r="K9">
        <v>0</v>
      </c>
    </row>
    <row r="10" spans="1:11" x14ac:dyDescent="0.2">
      <c r="A10" s="1">
        <v>36798</v>
      </c>
      <c r="B10">
        <v>-2.4577000000000002E-2</v>
      </c>
      <c r="C10">
        <v>-1.3494000000000001E-2</v>
      </c>
      <c r="D10">
        <v>-1.3230000000000002E-3</v>
      </c>
      <c r="E10">
        <v>7.0170000000000007E-3</v>
      </c>
      <c r="F10">
        <v>1.0004000000000001E-2</v>
      </c>
      <c r="G10">
        <v>7.9830000000000005E-3</v>
      </c>
      <c r="H10">
        <v>5.3370000000000006E-3</v>
      </c>
      <c r="I10">
        <v>5.2810000000000001E-3</v>
      </c>
      <c r="J10">
        <v>5.0930000000000003E-3</v>
      </c>
      <c r="K10">
        <v>5.208E-3</v>
      </c>
    </row>
    <row r="11" spans="1:11" x14ac:dyDescent="0.2">
      <c r="A11" s="1">
        <v>36830</v>
      </c>
      <c r="B11">
        <v>1.8404E-2</v>
      </c>
      <c r="C11">
        <v>1.7417999999999999E-2</v>
      </c>
      <c r="D11">
        <v>8.6470000000000002E-3</v>
      </c>
      <c r="E11">
        <v>9.3390000000000001E-3</v>
      </c>
      <c r="F11">
        <v>8.0940000000000005E-3</v>
      </c>
      <c r="G11">
        <v>6.0540000000000004E-3</v>
      </c>
      <c r="H11">
        <v>4.9560000000000003E-3</v>
      </c>
      <c r="I11">
        <v>5.1530000000000005E-3</v>
      </c>
      <c r="J11">
        <v>5.2170000000000003E-3</v>
      </c>
      <c r="K11">
        <v>1.727E-3</v>
      </c>
    </row>
    <row r="12" spans="1:11" x14ac:dyDescent="0.2">
      <c r="A12" s="1">
        <v>36860</v>
      </c>
      <c r="B12">
        <v>2.9118999999999999E-2</v>
      </c>
      <c r="C12">
        <v>3.0494E-2</v>
      </c>
      <c r="D12">
        <v>2.5641000000000001E-2</v>
      </c>
      <c r="E12">
        <v>2.4855000000000002E-2</v>
      </c>
      <c r="F12">
        <v>1.6327000000000001E-2</v>
      </c>
      <c r="G12">
        <v>1.0289E-2</v>
      </c>
      <c r="H12">
        <v>6.7880000000000006E-3</v>
      </c>
      <c r="I12">
        <v>5.437E-3</v>
      </c>
      <c r="J12">
        <v>4.9659999999999999E-3</v>
      </c>
      <c r="K12">
        <v>5.7499999999999999E-4</v>
      </c>
    </row>
    <row r="13" spans="1:11" x14ac:dyDescent="0.2">
      <c r="A13" s="1">
        <v>36889</v>
      </c>
      <c r="B13">
        <v>2.6450000000000001E-2</v>
      </c>
      <c r="C13">
        <v>2.6133E-2</v>
      </c>
      <c r="D13">
        <v>3.0723E-2</v>
      </c>
      <c r="E13">
        <v>2.3028E-2</v>
      </c>
      <c r="F13">
        <v>2.3355000000000001E-2</v>
      </c>
      <c r="G13">
        <v>1.2919E-2</v>
      </c>
      <c r="H13">
        <v>9.9960000000000014E-3</v>
      </c>
      <c r="I13">
        <v>5.5120000000000004E-3</v>
      </c>
      <c r="J13">
        <v>4.9090000000000002E-3</v>
      </c>
      <c r="K13">
        <v>-5.7400000000000007E-4</v>
      </c>
    </row>
    <row r="14" spans="1:11" x14ac:dyDescent="0.2">
      <c r="A14" s="1">
        <v>36922</v>
      </c>
      <c r="B14">
        <v>-1.9170000000000001E-3</v>
      </c>
      <c r="C14">
        <v>2.5110000000000002E-3</v>
      </c>
      <c r="D14">
        <v>4.1640000000000002E-3</v>
      </c>
      <c r="E14">
        <v>1.1923E-2</v>
      </c>
      <c r="F14">
        <v>1.3509999999999999E-2</v>
      </c>
      <c r="G14">
        <v>1.3519E-2</v>
      </c>
      <c r="H14">
        <v>1.2048E-2</v>
      </c>
      <c r="I14">
        <v>6.9000000000000008E-3</v>
      </c>
      <c r="J14">
        <v>5.2430000000000003E-3</v>
      </c>
      <c r="K14">
        <v>6.3220000000000004E-3</v>
      </c>
    </row>
    <row r="15" spans="1:11" x14ac:dyDescent="0.2">
      <c r="A15" s="1">
        <v>36950</v>
      </c>
      <c r="B15">
        <v>1.4203E-2</v>
      </c>
      <c r="C15">
        <v>1.8638999999999999E-2</v>
      </c>
      <c r="D15">
        <v>1.1636000000000001E-2</v>
      </c>
      <c r="E15">
        <v>1.2849000000000001E-2</v>
      </c>
      <c r="F15">
        <v>1.1310000000000001E-2</v>
      </c>
      <c r="G15">
        <v>6.8730000000000006E-3</v>
      </c>
      <c r="H15">
        <v>4.7320000000000001E-3</v>
      </c>
      <c r="I15">
        <v>3.967E-3</v>
      </c>
      <c r="J15">
        <v>3.6530000000000004E-3</v>
      </c>
      <c r="K15">
        <v>3.9979999999999998E-3</v>
      </c>
    </row>
    <row r="16" spans="1:11" x14ac:dyDescent="0.2">
      <c r="A16" s="1">
        <v>36980</v>
      </c>
      <c r="B16">
        <v>-1.4758E-2</v>
      </c>
      <c r="C16">
        <v>-7.3160000000000005E-3</v>
      </c>
      <c r="D16">
        <v>2.7500000000000003E-3</v>
      </c>
      <c r="E16">
        <v>6.7630000000000008E-3</v>
      </c>
      <c r="F16">
        <v>8.2590000000000007E-3</v>
      </c>
      <c r="G16">
        <v>7.1930000000000006E-3</v>
      </c>
      <c r="H16">
        <v>7.3670000000000003E-3</v>
      </c>
      <c r="I16">
        <v>4.6779999999999999E-3</v>
      </c>
      <c r="J16">
        <v>4.3200000000000001E-3</v>
      </c>
      <c r="K16">
        <v>2.2750000000000001E-3</v>
      </c>
    </row>
    <row r="17" spans="1:11" x14ac:dyDescent="0.2">
      <c r="A17" s="1">
        <v>37011</v>
      </c>
      <c r="B17">
        <v>-4.3104999999999997E-2</v>
      </c>
      <c r="C17">
        <v>-3.1123000000000001E-2</v>
      </c>
      <c r="D17">
        <v>-2.7449000000000001E-2</v>
      </c>
      <c r="E17">
        <v>-1.5447000000000001E-2</v>
      </c>
      <c r="F17">
        <v>-8.2370000000000013E-3</v>
      </c>
      <c r="G17">
        <v>2.1540000000000001E-3</v>
      </c>
      <c r="H17">
        <v>4.7210000000000004E-3</v>
      </c>
      <c r="I17">
        <v>4.47E-3</v>
      </c>
      <c r="J17">
        <v>3.8640000000000002E-3</v>
      </c>
      <c r="K17">
        <v>3.973E-3</v>
      </c>
    </row>
    <row r="18" spans="1:11" x14ac:dyDescent="0.2">
      <c r="A18" s="1">
        <v>37042</v>
      </c>
      <c r="B18">
        <v>8.8050000000000003E-3</v>
      </c>
      <c r="C18">
        <v>3.7030000000000001E-3</v>
      </c>
      <c r="D18">
        <v>1.3730000000000001E-3</v>
      </c>
      <c r="E18">
        <v>3.1360000000000003E-3</v>
      </c>
      <c r="F18">
        <v>2.0110000000000002E-3</v>
      </c>
      <c r="G18">
        <v>5.3810000000000004E-3</v>
      </c>
      <c r="H18">
        <v>6.0940000000000005E-3</v>
      </c>
      <c r="I18">
        <v>3.8530000000000001E-3</v>
      </c>
      <c r="J18">
        <v>3.1830000000000001E-3</v>
      </c>
      <c r="K18">
        <v>4.522E-3</v>
      </c>
    </row>
    <row r="19" spans="1:11" x14ac:dyDescent="0.2">
      <c r="A19" s="1">
        <v>37071</v>
      </c>
      <c r="B19">
        <v>4.1530000000000004E-3</v>
      </c>
      <c r="C19">
        <v>5.339E-3</v>
      </c>
      <c r="D19">
        <v>2.1610000000000002E-3</v>
      </c>
      <c r="E19">
        <v>1.5810000000000002E-3</v>
      </c>
      <c r="F19">
        <v>2.2300000000000002E-3</v>
      </c>
      <c r="G19">
        <v>3.2270000000000003E-3</v>
      </c>
      <c r="H19">
        <v>2.7730000000000003E-3</v>
      </c>
      <c r="I19">
        <v>3.0010000000000002E-3</v>
      </c>
      <c r="J19">
        <v>2.7780000000000001E-3</v>
      </c>
      <c r="K19">
        <v>1.688E-3</v>
      </c>
    </row>
    <row r="20" spans="1:11" x14ac:dyDescent="0.2">
      <c r="A20" s="1">
        <v>37103</v>
      </c>
      <c r="B20">
        <v>3.8581999999999998E-2</v>
      </c>
      <c r="C20">
        <v>3.8934999999999997E-2</v>
      </c>
      <c r="D20">
        <v>3.0526000000000001E-2</v>
      </c>
      <c r="E20">
        <v>2.8164000000000002E-2</v>
      </c>
      <c r="F20">
        <v>2.2405999999999999E-2</v>
      </c>
      <c r="G20">
        <v>1.311E-2</v>
      </c>
      <c r="H20">
        <v>7.7540000000000005E-3</v>
      </c>
      <c r="I20">
        <v>3.3050000000000002E-3</v>
      </c>
      <c r="J20">
        <v>2.9990000000000004E-3</v>
      </c>
      <c r="K20">
        <v>-2.8090000000000003E-3</v>
      </c>
    </row>
    <row r="21" spans="1:11" x14ac:dyDescent="0.2">
      <c r="A21" s="1">
        <v>37134</v>
      </c>
      <c r="B21">
        <v>2.6988999999999999E-2</v>
      </c>
      <c r="C21">
        <v>2.3599999999999999E-2</v>
      </c>
      <c r="D21">
        <v>1.5065E-2</v>
      </c>
      <c r="E21">
        <v>1.4633999999999999E-2</v>
      </c>
      <c r="F21">
        <v>1.1976000000000001E-2</v>
      </c>
      <c r="G21">
        <v>7.1290000000000008E-3</v>
      </c>
      <c r="H21">
        <v>4.8450000000000003E-3</v>
      </c>
      <c r="I21">
        <v>3.284E-3</v>
      </c>
      <c r="J21">
        <v>2.9960000000000004E-3</v>
      </c>
      <c r="K21">
        <v>0</v>
      </c>
    </row>
    <row r="22" spans="1:11" x14ac:dyDescent="0.2">
      <c r="A22" s="1">
        <v>37162</v>
      </c>
      <c r="B22">
        <v>-2.66E-3</v>
      </c>
      <c r="C22">
        <v>4.8980000000000004E-3</v>
      </c>
      <c r="D22">
        <v>2.2599000000000001E-2</v>
      </c>
      <c r="E22">
        <v>2.5211000000000001E-2</v>
      </c>
      <c r="F22">
        <v>2.3823E-2</v>
      </c>
      <c r="G22">
        <v>1.7807E-2</v>
      </c>
      <c r="H22">
        <v>1.0444E-2</v>
      </c>
      <c r="I22">
        <v>4.2240000000000003E-3</v>
      </c>
      <c r="J22">
        <v>2.7300000000000002E-3</v>
      </c>
      <c r="K22">
        <v>4.5070000000000006E-3</v>
      </c>
    </row>
    <row r="23" spans="1:11" x14ac:dyDescent="0.2">
      <c r="A23" s="1">
        <v>37195</v>
      </c>
      <c r="B23">
        <v>8.8895000000000002E-2</v>
      </c>
      <c r="C23">
        <v>5.1979999999999998E-2</v>
      </c>
      <c r="D23">
        <v>3.1821000000000002E-2</v>
      </c>
      <c r="E23">
        <v>2.8631E-2</v>
      </c>
      <c r="F23">
        <v>2.0708000000000001E-2</v>
      </c>
      <c r="G23">
        <v>1.2043E-2</v>
      </c>
      <c r="H23">
        <v>7.9030000000000003E-3</v>
      </c>
      <c r="I23">
        <v>2.545E-3</v>
      </c>
      <c r="J23">
        <v>2.1540000000000001E-3</v>
      </c>
      <c r="K23">
        <v>-3.3650000000000004E-3</v>
      </c>
    </row>
    <row r="24" spans="1:11" x14ac:dyDescent="0.2">
      <c r="A24" s="1">
        <v>37225</v>
      </c>
      <c r="B24">
        <v>-5.5365999999999999E-2</v>
      </c>
      <c r="C24">
        <v>-5.1658000000000003E-2</v>
      </c>
      <c r="D24">
        <v>-3.5210999999999999E-2</v>
      </c>
      <c r="E24">
        <v>-2.9732999999999999E-2</v>
      </c>
      <c r="F24">
        <v>-1.8298999999999999E-2</v>
      </c>
      <c r="G24">
        <v>-5.2760000000000003E-3</v>
      </c>
      <c r="H24">
        <v>1.2360000000000001E-3</v>
      </c>
      <c r="I24">
        <v>2.1060000000000002E-3</v>
      </c>
      <c r="J24">
        <v>1.7490000000000001E-3</v>
      </c>
      <c r="K24">
        <v>-1.688E-3</v>
      </c>
    </row>
    <row r="25" spans="1:11" x14ac:dyDescent="0.2">
      <c r="A25" s="1">
        <v>37256</v>
      </c>
      <c r="B25">
        <v>-2.2782E-2</v>
      </c>
      <c r="C25">
        <v>-1.4911000000000001E-2</v>
      </c>
      <c r="D25">
        <v>-1.7354000000000001E-2</v>
      </c>
      <c r="E25">
        <v>-1.24E-2</v>
      </c>
      <c r="F25">
        <v>-9.0270000000000003E-3</v>
      </c>
      <c r="G25">
        <v>2.5000000000000001E-4</v>
      </c>
      <c r="H25">
        <v>2.0730000000000002E-3</v>
      </c>
      <c r="I25">
        <v>1.5920000000000001E-3</v>
      </c>
      <c r="J25">
        <v>1.4840000000000001E-3</v>
      </c>
      <c r="K25">
        <v>-3.9459999999999999E-3</v>
      </c>
    </row>
    <row r="26" spans="1:11" x14ac:dyDescent="0.2">
      <c r="A26" s="1">
        <v>37287</v>
      </c>
      <c r="B26">
        <v>1.0098000000000001E-2</v>
      </c>
      <c r="C26">
        <v>1.1488E-2</v>
      </c>
      <c r="D26">
        <v>4.6090000000000002E-3</v>
      </c>
      <c r="E26">
        <v>5.7790000000000003E-3</v>
      </c>
      <c r="F26">
        <v>3.9230000000000003E-3</v>
      </c>
      <c r="G26">
        <v>2.6360000000000003E-3</v>
      </c>
      <c r="H26">
        <v>6.87E-4</v>
      </c>
      <c r="I26">
        <v>1.4880000000000002E-3</v>
      </c>
      <c r="J26">
        <v>1.3900000000000002E-3</v>
      </c>
      <c r="K26">
        <v>2.264E-3</v>
      </c>
    </row>
    <row r="27" spans="1:11" x14ac:dyDescent="0.2">
      <c r="A27" s="1">
        <v>37315</v>
      </c>
      <c r="B27">
        <v>6.8270000000000006E-3</v>
      </c>
      <c r="C27">
        <v>1.2538000000000001E-2</v>
      </c>
      <c r="D27">
        <v>1.2026999999999999E-2</v>
      </c>
      <c r="E27">
        <v>1.298E-2</v>
      </c>
      <c r="F27">
        <v>1.1665E-2</v>
      </c>
      <c r="G27">
        <v>5.4000000000000003E-3</v>
      </c>
      <c r="H27">
        <v>3.1390000000000003E-3</v>
      </c>
      <c r="I27">
        <v>1.3730000000000001E-3</v>
      </c>
      <c r="J27">
        <v>1.2850000000000001E-3</v>
      </c>
      <c r="K27">
        <v>3.9529999999999999E-3</v>
      </c>
    </row>
    <row r="28" spans="1:11" x14ac:dyDescent="0.2">
      <c r="A28" s="1">
        <v>37343</v>
      </c>
      <c r="B28">
        <v>-5.0435000000000001E-2</v>
      </c>
      <c r="C28">
        <v>-4.0447000000000004E-2</v>
      </c>
      <c r="D28">
        <v>-3.6790000000000003E-2</v>
      </c>
      <c r="E28">
        <v>-2.9495E-2</v>
      </c>
      <c r="F28">
        <v>-2.3252999999999999E-2</v>
      </c>
      <c r="G28">
        <v>-8.5079999999999999E-3</v>
      </c>
      <c r="H28">
        <v>-2.6480000000000002E-3</v>
      </c>
      <c r="I28">
        <v>1.3760000000000001E-3</v>
      </c>
      <c r="J28">
        <v>1.3410000000000002E-3</v>
      </c>
      <c r="K28">
        <v>5.6240000000000005E-3</v>
      </c>
    </row>
    <row r="29" spans="1:11" x14ac:dyDescent="0.2">
      <c r="A29" s="1">
        <v>37376</v>
      </c>
      <c r="B29">
        <v>3.6252E-2</v>
      </c>
      <c r="C29">
        <v>4.0135000000000004E-2</v>
      </c>
      <c r="D29">
        <v>2.9382000000000002E-2</v>
      </c>
      <c r="E29">
        <v>2.8622000000000002E-2</v>
      </c>
      <c r="F29">
        <v>2.3723000000000001E-2</v>
      </c>
      <c r="G29">
        <v>1.3578E-2</v>
      </c>
      <c r="H29">
        <v>7.7080000000000004E-3</v>
      </c>
      <c r="I29">
        <v>1.6690000000000001E-3</v>
      </c>
      <c r="J29">
        <v>1.5460000000000001E-3</v>
      </c>
      <c r="K29">
        <v>5.5930000000000007E-3</v>
      </c>
    </row>
    <row r="30" spans="1:11" x14ac:dyDescent="0.2">
      <c r="A30" s="1">
        <v>37407</v>
      </c>
      <c r="B30">
        <v>2.1460000000000003E-3</v>
      </c>
      <c r="C30">
        <v>1.5330000000000001E-3</v>
      </c>
      <c r="D30">
        <v>8.1360000000000009E-3</v>
      </c>
      <c r="E30">
        <v>1.1315E-2</v>
      </c>
      <c r="F30">
        <v>1.0847000000000001E-2</v>
      </c>
      <c r="G30">
        <v>4.4140000000000004E-3</v>
      </c>
      <c r="H30">
        <v>2.2140000000000003E-3</v>
      </c>
      <c r="I30">
        <v>1.6070000000000001E-3</v>
      </c>
      <c r="J30">
        <v>1.4420000000000001E-3</v>
      </c>
      <c r="K30">
        <v>0</v>
      </c>
    </row>
    <row r="31" spans="1:11" x14ac:dyDescent="0.2">
      <c r="A31" s="1">
        <v>37435</v>
      </c>
      <c r="B31">
        <v>1.8716E-2</v>
      </c>
      <c r="C31">
        <v>1.8251E-2</v>
      </c>
      <c r="D31">
        <v>2.1555000000000001E-2</v>
      </c>
      <c r="E31">
        <v>1.8485000000000001E-2</v>
      </c>
      <c r="F31">
        <v>1.6331999999999999E-2</v>
      </c>
      <c r="G31">
        <v>9.4300000000000009E-3</v>
      </c>
      <c r="H31">
        <v>5.7959999999999999E-3</v>
      </c>
      <c r="I31">
        <v>1.4320000000000001E-3</v>
      </c>
      <c r="J31">
        <v>1.312E-3</v>
      </c>
      <c r="K31">
        <v>5.5600000000000007E-4</v>
      </c>
    </row>
    <row r="32" spans="1:11" x14ac:dyDescent="0.2">
      <c r="A32" s="1">
        <v>37468</v>
      </c>
      <c r="B32">
        <v>3.5049000000000004E-2</v>
      </c>
      <c r="C32">
        <v>3.0020999999999999E-2</v>
      </c>
      <c r="D32">
        <v>3.0770000000000002E-2</v>
      </c>
      <c r="E32">
        <v>3.0141000000000001E-2</v>
      </c>
      <c r="F32">
        <v>2.8036999999999999E-2</v>
      </c>
      <c r="G32">
        <v>1.5878E-2</v>
      </c>
      <c r="H32">
        <v>5.0720000000000001E-3</v>
      </c>
      <c r="I32">
        <v>1.5560000000000001E-3</v>
      </c>
      <c r="J32">
        <v>1.5070000000000001E-3</v>
      </c>
      <c r="K32">
        <v>1.1120000000000001E-3</v>
      </c>
    </row>
    <row r="33" spans="1:11" x14ac:dyDescent="0.2">
      <c r="A33" s="1">
        <v>37498</v>
      </c>
      <c r="B33">
        <v>6.0110000000000004E-2</v>
      </c>
      <c r="C33">
        <v>4.5547000000000004E-2</v>
      </c>
      <c r="D33">
        <v>3.0178E-2</v>
      </c>
      <c r="E33">
        <v>2.2089000000000001E-2</v>
      </c>
      <c r="F33">
        <v>1.6825E-2</v>
      </c>
      <c r="G33">
        <v>4.5720000000000005E-3</v>
      </c>
      <c r="H33">
        <v>9.68E-4</v>
      </c>
      <c r="I33">
        <v>1.467E-3</v>
      </c>
      <c r="J33">
        <v>1.402E-3</v>
      </c>
      <c r="K33">
        <v>3.3310000000000002E-3</v>
      </c>
    </row>
    <row r="34" spans="1:11" x14ac:dyDescent="0.2">
      <c r="A34" s="1">
        <v>37529</v>
      </c>
      <c r="B34">
        <v>4.2903999999999998E-2</v>
      </c>
      <c r="C34">
        <v>4.1488999999999998E-2</v>
      </c>
      <c r="D34">
        <v>4.6890000000000001E-2</v>
      </c>
      <c r="E34">
        <v>3.6019000000000002E-2</v>
      </c>
      <c r="F34">
        <v>3.0206E-2</v>
      </c>
      <c r="G34">
        <v>1.0277E-2</v>
      </c>
      <c r="H34">
        <v>4.0350000000000004E-3</v>
      </c>
      <c r="I34">
        <v>1.606E-3</v>
      </c>
      <c r="J34">
        <v>1.4140000000000001E-3</v>
      </c>
      <c r="K34">
        <v>1.66E-3</v>
      </c>
    </row>
    <row r="35" spans="1:11" x14ac:dyDescent="0.2">
      <c r="A35" s="1">
        <v>37560</v>
      </c>
      <c r="B35">
        <v>-4.1985000000000001E-2</v>
      </c>
      <c r="C35">
        <v>-2.8103E-2</v>
      </c>
      <c r="D35">
        <v>-2.0220999999999999E-2</v>
      </c>
      <c r="E35">
        <v>-8.4349999999999998E-3</v>
      </c>
      <c r="F35">
        <v>-3.4780000000000002E-3</v>
      </c>
      <c r="G35">
        <v>2.3580000000000003E-3</v>
      </c>
      <c r="H35">
        <v>2.565E-3</v>
      </c>
      <c r="I35">
        <v>1.4750000000000002E-3</v>
      </c>
      <c r="J35">
        <v>1.3340000000000001E-3</v>
      </c>
      <c r="K35">
        <v>1.6570000000000001E-3</v>
      </c>
    </row>
    <row r="36" spans="1:11" x14ac:dyDescent="0.2">
      <c r="A36" s="1">
        <v>37589</v>
      </c>
      <c r="B36">
        <v>-3.3440000000000002E-3</v>
      </c>
      <c r="C36">
        <v>-1.1966000000000001E-2</v>
      </c>
      <c r="D36">
        <v>-2.1163000000000001E-2</v>
      </c>
      <c r="E36">
        <v>-1.9251000000000001E-2</v>
      </c>
      <c r="F36">
        <v>-1.7077000000000002E-2</v>
      </c>
      <c r="G36">
        <v>-5.0490000000000005E-3</v>
      </c>
      <c r="H36">
        <v>-3.4700000000000003E-4</v>
      </c>
      <c r="I36">
        <v>1.557E-3</v>
      </c>
      <c r="J36">
        <v>1.1660000000000002E-3</v>
      </c>
      <c r="K36">
        <v>0</v>
      </c>
    </row>
    <row r="37" spans="1:11" x14ac:dyDescent="0.2">
      <c r="A37" s="1">
        <v>37621</v>
      </c>
      <c r="B37">
        <v>4.2637000000000001E-2</v>
      </c>
      <c r="C37">
        <v>4.4020999999999998E-2</v>
      </c>
      <c r="D37">
        <v>3.5968E-2</v>
      </c>
      <c r="E37">
        <v>3.4456000000000001E-2</v>
      </c>
      <c r="F37">
        <v>2.8048E-2</v>
      </c>
      <c r="G37">
        <v>1.1089E-2</v>
      </c>
      <c r="H37">
        <v>4.4800000000000005E-3</v>
      </c>
      <c r="I37">
        <v>1.199E-3</v>
      </c>
      <c r="J37">
        <v>1.0790000000000001E-3</v>
      </c>
      <c r="K37">
        <v>-2.2060000000000001E-3</v>
      </c>
    </row>
    <row r="38" spans="1:11" x14ac:dyDescent="0.2">
      <c r="A38" s="1">
        <v>37652</v>
      </c>
      <c r="B38">
        <v>-4.7820000000000007E-3</v>
      </c>
      <c r="C38">
        <v>-4.3430000000000005E-3</v>
      </c>
      <c r="D38">
        <v>-8.2850000000000007E-3</v>
      </c>
      <c r="E38">
        <v>-7.1640000000000002E-3</v>
      </c>
      <c r="F38">
        <v>-6.1670000000000006E-3</v>
      </c>
      <c r="G38">
        <v>8.7500000000000002E-4</v>
      </c>
      <c r="H38">
        <v>4.4300000000000003E-4</v>
      </c>
      <c r="I38">
        <v>1.0840000000000001E-3</v>
      </c>
      <c r="J38">
        <v>9.3400000000000004E-4</v>
      </c>
      <c r="K38">
        <v>4.4220000000000006E-3</v>
      </c>
    </row>
    <row r="39" spans="1:11" x14ac:dyDescent="0.2">
      <c r="A39" s="1">
        <v>37680</v>
      </c>
      <c r="B39">
        <v>2.9007999999999999E-2</v>
      </c>
      <c r="C39">
        <v>3.0870999999999999E-2</v>
      </c>
      <c r="D39">
        <v>2.623E-2</v>
      </c>
      <c r="E39">
        <v>2.1521000000000002E-2</v>
      </c>
      <c r="F39">
        <v>1.6693E-2</v>
      </c>
      <c r="G39">
        <v>5.2030000000000002E-3</v>
      </c>
      <c r="H39">
        <v>1.683E-3</v>
      </c>
      <c r="I39">
        <v>8.5000000000000006E-4</v>
      </c>
      <c r="J39">
        <v>8.7100000000000003E-4</v>
      </c>
      <c r="K39">
        <v>7.7050000000000009E-3</v>
      </c>
    </row>
    <row r="40" spans="1:11" x14ac:dyDescent="0.2">
      <c r="A40" s="1">
        <v>37711</v>
      </c>
      <c r="B40">
        <v>-1.7930000000000001E-2</v>
      </c>
      <c r="C40">
        <v>-1.1278E-2</v>
      </c>
      <c r="D40">
        <v>-5.6510000000000006E-3</v>
      </c>
      <c r="E40">
        <v>-2.2530000000000002E-3</v>
      </c>
      <c r="F40">
        <v>1.9999999999999998E-5</v>
      </c>
      <c r="G40">
        <v>1.9000000000000002E-3</v>
      </c>
      <c r="H40">
        <v>2.1410000000000001E-3</v>
      </c>
      <c r="I40">
        <v>1.1980000000000001E-3</v>
      </c>
      <c r="J40">
        <v>1.0200000000000001E-3</v>
      </c>
      <c r="K40">
        <v>6.0080000000000003E-3</v>
      </c>
    </row>
    <row r="41" spans="1:11" x14ac:dyDescent="0.2">
      <c r="A41" s="1">
        <v>37741</v>
      </c>
      <c r="B41">
        <v>1.1381E-2</v>
      </c>
      <c r="C41">
        <v>9.5849999999999998E-3</v>
      </c>
      <c r="D41">
        <v>-6.8999999999999997E-5</v>
      </c>
      <c r="E41">
        <v>2.4000000000000002E-3</v>
      </c>
      <c r="F41">
        <v>1.737E-3</v>
      </c>
      <c r="G41">
        <v>1.6260000000000001E-3</v>
      </c>
      <c r="H41">
        <v>1.039E-3</v>
      </c>
      <c r="I41">
        <v>9.3000000000000005E-4</v>
      </c>
      <c r="J41">
        <v>9.3900000000000006E-4</v>
      </c>
      <c r="K41">
        <v>-2.1720000000000003E-3</v>
      </c>
    </row>
    <row r="42" spans="1:11" x14ac:dyDescent="0.2">
      <c r="A42" s="1">
        <v>37771</v>
      </c>
      <c r="B42">
        <v>6.4187999999999995E-2</v>
      </c>
      <c r="C42">
        <v>5.7640999999999998E-2</v>
      </c>
      <c r="D42">
        <v>4.2443000000000002E-2</v>
      </c>
      <c r="E42">
        <v>3.3750000000000002E-2</v>
      </c>
      <c r="F42">
        <v>2.5215000000000001E-2</v>
      </c>
      <c r="G42">
        <v>4.6090000000000002E-3</v>
      </c>
      <c r="H42">
        <v>1.078E-3</v>
      </c>
      <c r="I42">
        <v>9.5800000000000008E-4</v>
      </c>
      <c r="J42">
        <v>9.0300000000000005E-4</v>
      </c>
      <c r="K42">
        <v>-1.6320000000000002E-3</v>
      </c>
    </row>
    <row r="43" spans="1:11" x14ac:dyDescent="0.2">
      <c r="A43" s="1">
        <v>37802</v>
      </c>
      <c r="B43">
        <v>-2.3214000000000002E-2</v>
      </c>
      <c r="C43">
        <v>-1.4019999999999999E-2</v>
      </c>
      <c r="D43">
        <v>-9.0819999999999998E-3</v>
      </c>
      <c r="E43">
        <v>-4.8860000000000006E-3</v>
      </c>
      <c r="F43">
        <v>-2.7910000000000001E-3</v>
      </c>
      <c r="G43">
        <v>2.2000000000000001E-3</v>
      </c>
      <c r="H43">
        <v>2.1620000000000003E-3</v>
      </c>
      <c r="I43">
        <v>1.4390000000000002E-3</v>
      </c>
      <c r="J43">
        <v>9.8400000000000007E-4</v>
      </c>
      <c r="K43">
        <v>1.09E-3</v>
      </c>
    </row>
    <row r="44" spans="1:11" x14ac:dyDescent="0.2">
      <c r="A44" s="1">
        <v>37833</v>
      </c>
      <c r="B44">
        <v>-0.104917</v>
      </c>
      <c r="C44">
        <v>-9.3603000000000006E-2</v>
      </c>
      <c r="D44">
        <v>-6.6819000000000003E-2</v>
      </c>
      <c r="E44">
        <v>-4.6952000000000001E-2</v>
      </c>
      <c r="F44">
        <v>-3.0690000000000002E-2</v>
      </c>
      <c r="G44">
        <v>-6.8110000000000002E-3</v>
      </c>
      <c r="H44">
        <v>-9.0499999999999999E-4</v>
      </c>
      <c r="I44">
        <v>7.4600000000000003E-4</v>
      </c>
      <c r="J44">
        <v>6.7400000000000001E-4</v>
      </c>
      <c r="K44">
        <v>1.0890000000000001E-3</v>
      </c>
    </row>
    <row r="45" spans="1:11" x14ac:dyDescent="0.2">
      <c r="A45" s="1">
        <v>37862</v>
      </c>
      <c r="B45">
        <v>2.3022000000000001E-2</v>
      </c>
      <c r="C45">
        <v>9.9020000000000011E-3</v>
      </c>
      <c r="D45">
        <v>4.6719999999999999E-3</v>
      </c>
      <c r="E45">
        <v>-6.5300000000000004E-4</v>
      </c>
      <c r="F45">
        <v>-2.624E-3</v>
      </c>
      <c r="G45">
        <v>-2.2830000000000003E-3</v>
      </c>
      <c r="H45">
        <v>5.3200000000000003E-4</v>
      </c>
      <c r="I45">
        <v>7.1699999999999997E-4</v>
      </c>
      <c r="J45">
        <v>6.8900000000000005E-4</v>
      </c>
      <c r="K45">
        <v>3.8060000000000004E-3</v>
      </c>
    </row>
    <row r="46" spans="1:11" x14ac:dyDescent="0.2">
      <c r="A46" s="1">
        <v>37894</v>
      </c>
      <c r="B46">
        <v>5.5227999999999999E-2</v>
      </c>
      <c r="C46">
        <v>5.8097000000000003E-2</v>
      </c>
      <c r="D46">
        <v>4.6768000000000004E-2</v>
      </c>
      <c r="E46">
        <v>4.0350000000000004E-2</v>
      </c>
      <c r="F46">
        <v>3.3420999999999999E-2</v>
      </c>
      <c r="G46">
        <v>1.2150000000000001E-2</v>
      </c>
      <c r="H46">
        <v>3.8140000000000001E-3</v>
      </c>
      <c r="I46">
        <v>1.072E-3</v>
      </c>
      <c r="J46">
        <v>8.6499999999999999E-4</v>
      </c>
      <c r="K46">
        <v>3.2500000000000003E-3</v>
      </c>
    </row>
    <row r="47" spans="1:11" x14ac:dyDescent="0.2">
      <c r="A47" s="1">
        <v>37925</v>
      </c>
      <c r="B47">
        <v>-3.1384000000000002E-2</v>
      </c>
      <c r="C47">
        <v>-2.9366E-2</v>
      </c>
      <c r="D47">
        <v>-2.4426E-2</v>
      </c>
      <c r="E47">
        <v>-1.8579000000000002E-2</v>
      </c>
      <c r="F47">
        <v>-1.4593E-2</v>
      </c>
      <c r="G47">
        <v>-5.1000000000000004E-3</v>
      </c>
      <c r="H47">
        <v>-7.7200000000000001E-4</v>
      </c>
      <c r="I47">
        <v>7.7400000000000006E-4</v>
      </c>
      <c r="J47">
        <v>6.9999999999999999E-4</v>
      </c>
      <c r="K47">
        <v>-1.08E-3</v>
      </c>
    </row>
    <row r="48" spans="1:11" x14ac:dyDescent="0.2">
      <c r="A48" s="1">
        <v>37953</v>
      </c>
      <c r="B48">
        <v>4.0569999999999998E-3</v>
      </c>
      <c r="C48">
        <v>3.8870000000000003E-3</v>
      </c>
      <c r="D48">
        <v>1.6620000000000001E-3</v>
      </c>
      <c r="E48">
        <v>-9.3999999999999994E-5</v>
      </c>
      <c r="F48">
        <v>-6.8100000000000007E-4</v>
      </c>
      <c r="G48">
        <v>-1.446E-3</v>
      </c>
      <c r="H48">
        <v>-4.55E-4</v>
      </c>
      <c r="I48">
        <v>8.0400000000000003E-4</v>
      </c>
      <c r="J48">
        <v>7.2500000000000006E-4</v>
      </c>
      <c r="K48">
        <v>-2.7030000000000001E-3</v>
      </c>
    </row>
    <row r="49" spans="1:11" x14ac:dyDescent="0.2">
      <c r="A49" s="1">
        <v>37986</v>
      </c>
      <c r="B49">
        <v>1.3211000000000001E-2</v>
      </c>
      <c r="C49">
        <v>1.6052E-2</v>
      </c>
      <c r="D49">
        <v>1.0311000000000001E-2</v>
      </c>
      <c r="E49">
        <v>1.1372999999999999E-2</v>
      </c>
      <c r="F49">
        <v>1.0045999999999999E-2</v>
      </c>
      <c r="G49">
        <v>6.8850000000000005E-3</v>
      </c>
      <c r="H49">
        <v>3.8360000000000004E-3</v>
      </c>
      <c r="I49">
        <v>9.7100000000000007E-4</v>
      </c>
      <c r="J49">
        <v>8.3100000000000003E-4</v>
      </c>
      <c r="K49">
        <v>-1.0840000000000001E-3</v>
      </c>
    </row>
    <row r="50" spans="1:11" x14ac:dyDescent="0.2">
      <c r="A50" s="1">
        <v>38016</v>
      </c>
      <c r="B50">
        <v>1.9525000000000001E-2</v>
      </c>
      <c r="C50">
        <v>1.5762999999999999E-2</v>
      </c>
      <c r="D50">
        <v>1.2966E-2</v>
      </c>
      <c r="E50">
        <v>9.444000000000001E-3</v>
      </c>
      <c r="F50">
        <v>5.5840000000000004E-3</v>
      </c>
      <c r="G50">
        <v>2.9650000000000002E-3</v>
      </c>
      <c r="H50">
        <v>1.2330000000000002E-3</v>
      </c>
      <c r="I50">
        <v>8.6800000000000006E-4</v>
      </c>
      <c r="J50">
        <v>6.96E-4</v>
      </c>
      <c r="K50">
        <v>4.8830000000000002E-3</v>
      </c>
    </row>
    <row r="51" spans="1:11" x14ac:dyDescent="0.2">
      <c r="A51" s="1">
        <v>38044</v>
      </c>
      <c r="B51">
        <v>2.1635000000000001E-2</v>
      </c>
      <c r="C51">
        <v>2.3563000000000001E-2</v>
      </c>
      <c r="D51">
        <v>1.7481E-2</v>
      </c>
      <c r="E51">
        <v>1.592E-2</v>
      </c>
      <c r="F51">
        <v>1.2425E-2</v>
      </c>
      <c r="G51">
        <v>5.3200000000000001E-3</v>
      </c>
      <c r="H51">
        <v>1.5920000000000001E-3</v>
      </c>
      <c r="I51">
        <v>6.6300000000000007E-4</v>
      </c>
      <c r="J51">
        <v>6.2300000000000007E-4</v>
      </c>
      <c r="K51">
        <v>5.4000000000000003E-3</v>
      </c>
    </row>
    <row r="52" spans="1:11" x14ac:dyDescent="0.2">
      <c r="A52" s="1">
        <v>38077</v>
      </c>
      <c r="B52">
        <v>1.4178E-2</v>
      </c>
      <c r="C52">
        <v>1.3929E-2</v>
      </c>
      <c r="D52">
        <v>1.4352999999999999E-2</v>
      </c>
      <c r="E52">
        <v>1.2258E-2</v>
      </c>
      <c r="F52">
        <v>1.1272000000000001E-2</v>
      </c>
      <c r="G52">
        <v>3.441E-3</v>
      </c>
      <c r="H52">
        <v>1.41E-3</v>
      </c>
      <c r="I52">
        <v>9.1800000000000009E-4</v>
      </c>
      <c r="J52">
        <v>8.4400000000000002E-4</v>
      </c>
      <c r="K52">
        <v>6.4450000000000002E-3</v>
      </c>
    </row>
    <row r="53" spans="1:11" x14ac:dyDescent="0.2">
      <c r="A53" s="1">
        <v>38107</v>
      </c>
      <c r="B53">
        <v>-6.7295000000000008E-2</v>
      </c>
      <c r="C53">
        <v>-5.9583999999999998E-2</v>
      </c>
      <c r="D53">
        <v>-4.9090000000000002E-2</v>
      </c>
      <c r="E53">
        <v>-4.0496000000000004E-2</v>
      </c>
      <c r="F53">
        <v>-3.3808999999999999E-2</v>
      </c>
      <c r="G53">
        <v>-1.2968E-2</v>
      </c>
      <c r="H53">
        <v>-3.31E-3</v>
      </c>
      <c r="I53">
        <v>8.1599999999999999E-4</v>
      </c>
      <c r="J53">
        <v>7.9500000000000003E-4</v>
      </c>
      <c r="K53">
        <v>3.202E-3</v>
      </c>
    </row>
    <row r="54" spans="1:11" x14ac:dyDescent="0.2">
      <c r="A54" s="1">
        <v>38135</v>
      </c>
      <c r="B54">
        <v>-3.441E-3</v>
      </c>
      <c r="C54">
        <v>-4.1000000000000003E-3</v>
      </c>
      <c r="D54">
        <v>-6.6660000000000001E-3</v>
      </c>
      <c r="E54">
        <v>-4.9160000000000002E-3</v>
      </c>
      <c r="F54">
        <v>-4.927E-3</v>
      </c>
      <c r="G54">
        <v>-1.4390000000000002E-3</v>
      </c>
      <c r="H54">
        <v>-3.7100000000000002E-4</v>
      </c>
      <c r="I54">
        <v>7.4899999999999999E-4</v>
      </c>
      <c r="J54">
        <v>6.0300000000000002E-4</v>
      </c>
      <c r="K54">
        <v>5.8510000000000003E-3</v>
      </c>
    </row>
    <row r="55" spans="1:11" x14ac:dyDescent="0.2">
      <c r="A55" s="1">
        <v>38168</v>
      </c>
      <c r="B55">
        <v>1.1977E-2</v>
      </c>
      <c r="C55">
        <v>1.3616E-2</v>
      </c>
      <c r="D55">
        <v>1.0107E-2</v>
      </c>
      <c r="E55">
        <v>8.7330000000000012E-3</v>
      </c>
      <c r="F55">
        <v>5.5700000000000003E-3</v>
      </c>
      <c r="G55">
        <v>6.4599999999999998E-4</v>
      </c>
      <c r="H55">
        <v>2.0000000000000001E-4</v>
      </c>
      <c r="I55">
        <v>8.1900000000000007E-4</v>
      </c>
      <c r="J55">
        <v>8.1700000000000002E-4</v>
      </c>
      <c r="K55">
        <v>3.173E-3</v>
      </c>
    </row>
    <row r="56" spans="1:11" x14ac:dyDescent="0.2">
      <c r="A56" s="1">
        <v>38198</v>
      </c>
      <c r="B56">
        <v>1.6702999999999999E-2</v>
      </c>
      <c r="C56">
        <v>1.4664E-2</v>
      </c>
      <c r="D56">
        <v>1.208E-2</v>
      </c>
      <c r="E56">
        <v>9.5900000000000013E-3</v>
      </c>
      <c r="F56">
        <v>7.6030000000000004E-3</v>
      </c>
      <c r="G56">
        <v>3.1810000000000002E-3</v>
      </c>
      <c r="H56">
        <v>1.789E-3</v>
      </c>
      <c r="I56">
        <v>8.9599999999999999E-4</v>
      </c>
      <c r="J56">
        <v>9.19E-4</v>
      </c>
      <c r="K56">
        <v>-1.5810000000000002E-3</v>
      </c>
    </row>
    <row r="57" spans="1:11" x14ac:dyDescent="0.2">
      <c r="A57" s="1">
        <v>38230</v>
      </c>
      <c r="B57">
        <v>4.3186000000000002E-2</v>
      </c>
      <c r="C57">
        <v>3.9549000000000001E-2</v>
      </c>
      <c r="D57">
        <v>3.2183000000000003E-2</v>
      </c>
      <c r="E57">
        <v>2.6443000000000001E-2</v>
      </c>
      <c r="F57">
        <v>2.0376999999999999E-2</v>
      </c>
      <c r="G57">
        <v>8.3660000000000002E-3</v>
      </c>
      <c r="H57">
        <v>3.5120000000000004E-3</v>
      </c>
      <c r="I57">
        <v>1.258E-3</v>
      </c>
      <c r="J57">
        <v>1.116E-3</v>
      </c>
      <c r="K57">
        <v>5.2800000000000004E-4</v>
      </c>
    </row>
    <row r="58" spans="1:11" x14ac:dyDescent="0.2">
      <c r="A58" s="1">
        <v>38260</v>
      </c>
      <c r="B58">
        <v>9.077E-3</v>
      </c>
      <c r="C58">
        <v>8.6950000000000013E-3</v>
      </c>
      <c r="D58">
        <v>2.8040000000000001E-3</v>
      </c>
      <c r="E58">
        <v>2.0400000000000001E-3</v>
      </c>
      <c r="F58">
        <v>5.9800000000000001E-4</v>
      </c>
      <c r="G58">
        <v>-1.3960000000000001E-3</v>
      </c>
      <c r="H58">
        <v>-2.6900000000000003E-4</v>
      </c>
      <c r="I58">
        <v>1.3270000000000001E-3</v>
      </c>
      <c r="J58">
        <v>1.1850000000000001E-3</v>
      </c>
      <c r="K58">
        <v>2.111E-3</v>
      </c>
    </row>
    <row r="59" spans="1:11" x14ac:dyDescent="0.2">
      <c r="A59" s="1">
        <v>38289</v>
      </c>
      <c r="B59">
        <v>1.8720000000000001E-2</v>
      </c>
      <c r="C59">
        <v>1.5813000000000001E-2</v>
      </c>
      <c r="D59">
        <v>1.1143999999999999E-2</v>
      </c>
      <c r="E59">
        <v>8.9940000000000003E-3</v>
      </c>
      <c r="F59">
        <v>6.9110000000000005E-3</v>
      </c>
      <c r="G59">
        <v>3.467E-3</v>
      </c>
      <c r="H59">
        <v>1.5530000000000001E-3</v>
      </c>
      <c r="I59">
        <v>1.111E-3</v>
      </c>
      <c r="J59">
        <v>1.129E-3</v>
      </c>
      <c r="K59">
        <v>5.2660000000000007E-3</v>
      </c>
    </row>
    <row r="60" spans="1:11" x14ac:dyDescent="0.2">
      <c r="A60" s="1">
        <v>38321</v>
      </c>
      <c r="B60">
        <v>-2.5773000000000001E-2</v>
      </c>
      <c r="C60">
        <v>-2.2468999999999999E-2</v>
      </c>
      <c r="D60">
        <v>-1.7663000000000002E-2</v>
      </c>
      <c r="E60">
        <v>-1.8027999999999999E-2</v>
      </c>
      <c r="F60">
        <v>-1.4843E-2</v>
      </c>
      <c r="G60">
        <v>-5.7200000000000003E-3</v>
      </c>
      <c r="H60">
        <v>-2.0250000000000003E-3</v>
      </c>
      <c r="I60">
        <v>1.474E-3</v>
      </c>
      <c r="J60">
        <v>1.5410000000000001E-3</v>
      </c>
      <c r="K60">
        <v>5.2400000000000005E-4</v>
      </c>
    </row>
    <row r="61" spans="1:11" x14ac:dyDescent="0.2">
      <c r="A61" s="1">
        <v>38352</v>
      </c>
      <c r="B61">
        <v>2.9946E-2</v>
      </c>
      <c r="C61">
        <v>2.4136000000000001E-2</v>
      </c>
      <c r="D61">
        <v>1.3398E-2</v>
      </c>
      <c r="E61">
        <v>1.1803000000000001E-2</v>
      </c>
      <c r="F61">
        <v>7.4900000000000001E-3</v>
      </c>
      <c r="G61">
        <v>1.8280000000000002E-3</v>
      </c>
      <c r="H61">
        <v>1.464E-3</v>
      </c>
      <c r="I61">
        <v>2.104E-3</v>
      </c>
      <c r="J61">
        <v>1.6720000000000001E-3</v>
      </c>
      <c r="K61">
        <v>-3.6650000000000003E-3</v>
      </c>
    </row>
    <row r="62" spans="1:11" x14ac:dyDescent="0.2">
      <c r="A62" s="1">
        <v>38383</v>
      </c>
      <c r="B62">
        <v>3.8436999999999999E-2</v>
      </c>
      <c r="C62">
        <v>2.8471E-2</v>
      </c>
      <c r="D62">
        <v>9.3509999999999999E-3</v>
      </c>
      <c r="E62">
        <v>4.6910000000000007E-3</v>
      </c>
      <c r="F62">
        <v>4.1100000000000002E-4</v>
      </c>
      <c r="G62">
        <v>-9.0499999999999999E-4</v>
      </c>
      <c r="H62">
        <v>6.0400000000000004E-4</v>
      </c>
      <c r="I62">
        <v>1.6900000000000001E-3</v>
      </c>
      <c r="J62">
        <v>1.6610000000000001E-3</v>
      </c>
      <c r="K62">
        <v>2.1020000000000001E-3</v>
      </c>
    </row>
    <row r="63" spans="1:11" x14ac:dyDescent="0.2">
      <c r="A63" s="1">
        <v>38411</v>
      </c>
      <c r="B63">
        <v>-1.5657000000000001E-2</v>
      </c>
      <c r="C63">
        <v>-1.4668E-2</v>
      </c>
      <c r="D63">
        <v>-1.3112E-2</v>
      </c>
      <c r="E63">
        <v>-1.2305E-2</v>
      </c>
      <c r="F63">
        <v>-1.0545000000000001E-2</v>
      </c>
      <c r="G63">
        <v>-2.7070000000000002E-3</v>
      </c>
      <c r="H63">
        <v>-3.8700000000000003E-4</v>
      </c>
      <c r="I63">
        <v>1.6130000000000001E-3</v>
      </c>
      <c r="J63">
        <v>1.6410000000000001E-3</v>
      </c>
      <c r="K63">
        <v>5.7680000000000006E-3</v>
      </c>
    </row>
    <row r="64" spans="1:11" x14ac:dyDescent="0.2">
      <c r="A64" s="1">
        <v>38442</v>
      </c>
      <c r="B64">
        <v>-9.3000000000000005E-4</v>
      </c>
      <c r="C64">
        <v>-4.3770000000000007E-3</v>
      </c>
      <c r="D64">
        <v>-4.5180000000000003E-3</v>
      </c>
      <c r="E64">
        <v>-3.4890000000000003E-3</v>
      </c>
      <c r="F64">
        <v>-2.8610000000000003E-3</v>
      </c>
      <c r="G64">
        <v>1.0900000000000001E-4</v>
      </c>
      <c r="H64">
        <v>1.544E-3</v>
      </c>
      <c r="I64">
        <v>2.385E-3</v>
      </c>
      <c r="J64">
        <v>2.1230000000000003E-3</v>
      </c>
      <c r="K64">
        <v>7.8209999999999998E-3</v>
      </c>
    </row>
    <row r="65" spans="1:11" x14ac:dyDescent="0.2">
      <c r="A65" s="1">
        <v>38471</v>
      </c>
      <c r="B65">
        <v>3.9066999999999998E-2</v>
      </c>
      <c r="C65">
        <v>3.5333000000000003E-2</v>
      </c>
      <c r="D65">
        <v>2.6104000000000002E-2</v>
      </c>
      <c r="E65">
        <v>2.0601000000000001E-2</v>
      </c>
      <c r="F65">
        <v>1.5349E-2</v>
      </c>
      <c r="G65">
        <v>6.0620000000000005E-3</v>
      </c>
      <c r="H65">
        <v>3.6910000000000003E-3</v>
      </c>
      <c r="I65">
        <v>2.189E-3</v>
      </c>
      <c r="J65">
        <v>2.0720000000000001E-3</v>
      </c>
      <c r="K65">
        <v>6.7250000000000001E-3</v>
      </c>
    </row>
    <row r="66" spans="1:11" x14ac:dyDescent="0.2">
      <c r="A66" s="1">
        <v>38503</v>
      </c>
      <c r="B66">
        <v>3.2510999999999998E-2</v>
      </c>
      <c r="C66">
        <v>3.2169999999999997E-2</v>
      </c>
      <c r="D66">
        <v>1.8363000000000001E-2</v>
      </c>
      <c r="E66">
        <v>2.0712000000000001E-2</v>
      </c>
      <c r="F66">
        <v>1.0154E-2</v>
      </c>
      <c r="G66">
        <v>4.7629999999999999E-3</v>
      </c>
      <c r="H66">
        <v>3.2510000000000004E-3</v>
      </c>
      <c r="I66">
        <v>2.6720000000000003E-3</v>
      </c>
      <c r="J66">
        <v>2.395E-3</v>
      </c>
      <c r="K66">
        <v>-1.0280000000000001E-3</v>
      </c>
    </row>
    <row r="67" spans="1:11" x14ac:dyDescent="0.2">
      <c r="A67" s="1">
        <v>38533</v>
      </c>
      <c r="B67">
        <v>2.2747E-2</v>
      </c>
      <c r="C67">
        <v>1.7606E-2</v>
      </c>
      <c r="D67">
        <v>9.0460000000000002E-3</v>
      </c>
      <c r="E67">
        <v>2.2560000000000002E-3</v>
      </c>
      <c r="F67">
        <v>4.5730000000000007E-3</v>
      </c>
      <c r="G67">
        <v>1.7780000000000001E-3</v>
      </c>
      <c r="H67">
        <v>1.8020000000000002E-3</v>
      </c>
      <c r="I67">
        <v>2.2560000000000002E-3</v>
      </c>
      <c r="J67">
        <v>2.2630000000000003E-3</v>
      </c>
      <c r="K67">
        <v>5.1400000000000003E-4</v>
      </c>
    </row>
    <row r="68" spans="1:11" x14ac:dyDescent="0.2">
      <c r="A68" s="1">
        <v>38562</v>
      </c>
      <c r="B68">
        <v>-3.6367999999999998E-2</v>
      </c>
      <c r="C68">
        <v>-3.1633000000000001E-2</v>
      </c>
      <c r="D68">
        <v>-2.1346E-2</v>
      </c>
      <c r="E68">
        <v>-2.0219000000000001E-2</v>
      </c>
      <c r="F68">
        <v>-1.506E-2</v>
      </c>
      <c r="G68">
        <v>-4.3070000000000001E-3</v>
      </c>
      <c r="H68">
        <v>-6.0800000000000003E-4</v>
      </c>
      <c r="I68">
        <v>2.114E-3</v>
      </c>
      <c r="J68">
        <v>2.3830000000000001E-3</v>
      </c>
      <c r="K68">
        <v>4.627E-3</v>
      </c>
    </row>
    <row r="69" spans="1:11" x14ac:dyDescent="0.2">
      <c r="A69" s="1">
        <v>38595</v>
      </c>
      <c r="B69">
        <v>3.5542999999999998E-2</v>
      </c>
      <c r="C69">
        <v>3.2787999999999998E-2</v>
      </c>
      <c r="D69">
        <v>2.0806000000000002E-2</v>
      </c>
      <c r="E69">
        <v>1.8484E-2</v>
      </c>
      <c r="F69">
        <v>1.5682999999999999E-2</v>
      </c>
      <c r="G69">
        <v>7.228E-3</v>
      </c>
      <c r="H69">
        <v>4.8960000000000002E-3</v>
      </c>
      <c r="I69">
        <v>3.0810000000000004E-3</v>
      </c>
      <c r="J69">
        <v>2.9200000000000003E-3</v>
      </c>
      <c r="K69">
        <v>5.1180000000000002E-3</v>
      </c>
    </row>
    <row r="70" spans="1:11" x14ac:dyDescent="0.2">
      <c r="A70" s="1">
        <v>38625</v>
      </c>
      <c r="B70">
        <v>-4.1069000000000001E-2</v>
      </c>
      <c r="C70">
        <v>-3.3298000000000001E-2</v>
      </c>
      <c r="D70">
        <v>-1.8281000000000002E-2</v>
      </c>
      <c r="E70">
        <v>-1.7388000000000001E-2</v>
      </c>
      <c r="F70">
        <v>-1.2071999999999999E-2</v>
      </c>
      <c r="G70">
        <v>-3.3140000000000001E-3</v>
      </c>
      <c r="H70">
        <v>-5.9999999999999995E-5</v>
      </c>
      <c r="I70">
        <v>3.1360000000000003E-3</v>
      </c>
      <c r="J70">
        <v>2.8480000000000003E-3</v>
      </c>
      <c r="K70">
        <v>1.222E-2</v>
      </c>
    </row>
    <row r="71" spans="1:11" x14ac:dyDescent="0.2">
      <c r="A71" s="1">
        <v>38656</v>
      </c>
      <c r="B71">
        <v>-2.2459E-2</v>
      </c>
      <c r="C71">
        <v>-1.9975E-2</v>
      </c>
      <c r="D71">
        <v>-1.1898000000000001E-2</v>
      </c>
      <c r="E71">
        <v>-1.1174E-2</v>
      </c>
      <c r="F71">
        <v>-8.7430000000000008E-3</v>
      </c>
      <c r="G71">
        <v>-7.6300000000000001E-4</v>
      </c>
      <c r="H71">
        <v>1.098E-3</v>
      </c>
      <c r="I71">
        <v>2.6670000000000001E-3</v>
      </c>
      <c r="J71">
        <v>2.728E-3</v>
      </c>
      <c r="K71">
        <v>2.0120000000000003E-3</v>
      </c>
    </row>
    <row r="72" spans="1:11" x14ac:dyDescent="0.2">
      <c r="A72" s="1">
        <v>38686</v>
      </c>
      <c r="B72">
        <v>1.2485E-2</v>
      </c>
      <c r="C72">
        <v>7.9719999999999999E-3</v>
      </c>
      <c r="D72">
        <v>6.2950000000000002E-3</v>
      </c>
      <c r="E72">
        <v>6.0180000000000008E-3</v>
      </c>
      <c r="F72">
        <v>4.313E-3</v>
      </c>
      <c r="G72">
        <v>3.2890000000000003E-3</v>
      </c>
      <c r="H72">
        <v>2.993E-3</v>
      </c>
      <c r="I72">
        <v>3.3930000000000002E-3</v>
      </c>
      <c r="J72">
        <v>3.0450000000000004E-3</v>
      </c>
      <c r="K72">
        <v>-8.0320000000000009E-3</v>
      </c>
    </row>
    <row r="73" spans="1:11" x14ac:dyDescent="0.2">
      <c r="A73" s="1">
        <v>38716</v>
      </c>
      <c r="B73">
        <v>2.6477000000000001E-2</v>
      </c>
      <c r="C73">
        <v>2.7379000000000001E-2</v>
      </c>
      <c r="D73">
        <v>1.1198E-2</v>
      </c>
      <c r="E73">
        <v>1.0786E-2</v>
      </c>
      <c r="F73">
        <v>5.8060000000000004E-3</v>
      </c>
      <c r="G73">
        <v>3.9830000000000004E-3</v>
      </c>
      <c r="H73">
        <v>3.6660000000000004E-3</v>
      </c>
      <c r="I73">
        <v>3.1700000000000001E-3</v>
      </c>
      <c r="J73">
        <v>3.16E-3</v>
      </c>
      <c r="K73">
        <v>-4.0490000000000005E-3</v>
      </c>
    </row>
    <row r="74" spans="1:11" x14ac:dyDescent="0.2">
      <c r="A74" s="1">
        <v>38748</v>
      </c>
      <c r="B74">
        <v>-1.5976000000000001E-2</v>
      </c>
      <c r="C74">
        <v>-1.1112E-2</v>
      </c>
      <c r="D74">
        <v>-4.5630000000000002E-3</v>
      </c>
      <c r="E74">
        <v>-4.9910000000000006E-3</v>
      </c>
      <c r="F74">
        <v>-2.261E-3</v>
      </c>
      <c r="G74">
        <v>1.6640000000000001E-3</v>
      </c>
      <c r="H74">
        <v>1.9370000000000001E-3</v>
      </c>
      <c r="I74">
        <v>3.212E-3</v>
      </c>
      <c r="J74">
        <v>3.4880000000000002E-3</v>
      </c>
      <c r="K74">
        <v>7.6220000000000003E-3</v>
      </c>
    </row>
    <row r="75" spans="1:11" x14ac:dyDescent="0.2">
      <c r="A75" s="1">
        <v>38776</v>
      </c>
      <c r="B75">
        <v>1.2809000000000001E-2</v>
      </c>
      <c r="C75">
        <v>8.7210000000000013E-3</v>
      </c>
      <c r="D75">
        <v>1.5300000000000001E-4</v>
      </c>
      <c r="E75">
        <v>-2.0720000000000001E-3</v>
      </c>
      <c r="F75">
        <v>-1.7120000000000002E-3</v>
      </c>
      <c r="G75">
        <v>5.9699999999999998E-4</v>
      </c>
      <c r="H75">
        <v>2.1380000000000001E-3</v>
      </c>
      <c r="I75">
        <v>3.2700000000000003E-3</v>
      </c>
      <c r="J75">
        <v>3.3220000000000003E-3</v>
      </c>
      <c r="K75">
        <v>2.0170000000000001E-3</v>
      </c>
    </row>
    <row r="76" spans="1:11" x14ac:dyDescent="0.2">
      <c r="A76" s="1">
        <v>38807</v>
      </c>
      <c r="B76">
        <v>-5.5517999999999998E-2</v>
      </c>
      <c r="C76">
        <v>-4.0187E-2</v>
      </c>
      <c r="D76">
        <v>-1.9782000000000001E-2</v>
      </c>
      <c r="E76">
        <v>-1.0402E-2</v>
      </c>
      <c r="F76">
        <v>-6.1590000000000004E-3</v>
      </c>
      <c r="G76">
        <v>1.0060000000000002E-3</v>
      </c>
      <c r="H76">
        <v>2.6330000000000004E-3</v>
      </c>
      <c r="I76">
        <v>3.9230000000000003E-3</v>
      </c>
      <c r="J76">
        <v>3.6420000000000003E-3</v>
      </c>
      <c r="K76">
        <v>5.5360000000000001E-3</v>
      </c>
    </row>
    <row r="77" spans="1:11" x14ac:dyDescent="0.2">
      <c r="A77" s="1">
        <v>38835</v>
      </c>
      <c r="B77">
        <v>-3.8002000000000001E-2</v>
      </c>
      <c r="C77">
        <v>-2.4514000000000001E-2</v>
      </c>
      <c r="D77">
        <v>-8.7950000000000007E-3</v>
      </c>
      <c r="E77">
        <v>-4.4940000000000006E-3</v>
      </c>
      <c r="F77">
        <v>-1.2920000000000002E-3</v>
      </c>
      <c r="G77">
        <v>2.9150000000000001E-3</v>
      </c>
      <c r="H77">
        <v>3.1090000000000002E-3</v>
      </c>
      <c r="I77">
        <v>3.3400000000000001E-3</v>
      </c>
      <c r="J77">
        <v>3.5590000000000001E-3</v>
      </c>
      <c r="K77">
        <v>8.5090000000000009E-3</v>
      </c>
    </row>
    <row r="78" spans="1:11" x14ac:dyDescent="0.2">
      <c r="A78" s="1">
        <v>38868</v>
      </c>
      <c r="B78">
        <v>-5.6310000000000006E-3</v>
      </c>
      <c r="C78">
        <v>-1.5250000000000001E-3</v>
      </c>
      <c r="D78">
        <v>-1.047E-3</v>
      </c>
      <c r="E78">
        <v>-1.838E-3</v>
      </c>
      <c r="F78">
        <v>-1.6770000000000001E-3</v>
      </c>
      <c r="G78">
        <v>1.361E-3</v>
      </c>
      <c r="H78">
        <v>2.6280000000000001E-3</v>
      </c>
      <c r="I78">
        <v>4.2940000000000001E-3</v>
      </c>
      <c r="J78">
        <v>4.1949999999999999E-3</v>
      </c>
      <c r="K78">
        <v>4.9630000000000004E-3</v>
      </c>
    </row>
    <row r="79" spans="1:11" x14ac:dyDescent="0.2">
      <c r="A79" s="1">
        <v>38898</v>
      </c>
      <c r="B79">
        <v>1.0872E-2</v>
      </c>
      <c r="C79">
        <v>1.0620000000000001E-2</v>
      </c>
      <c r="D79">
        <v>3.0770000000000003E-3</v>
      </c>
      <c r="E79">
        <v>3.1750000000000003E-3</v>
      </c>
      <c r="F79">
        <v>9.5600000000000004E-4</v>
      </c>
      <c r="G79">
        <v>1.5E-3</v>
      </c>
      <c r="H79">
        <v>2.4580000000000001E-3</v>
      </c>
      <c r="I79">
        <v>3.8420000000000004E-3</v>
      </c>
      <c r="J79">
        <v>3.9700000000000004E-3</v>
      </c>
      <c r="K79">
        <v>1.9750000000000002E-3</v>
      </c>
    </row>
    <row r="80" spans="1:11" x14ac:dyDescent="0.2">
      <c r="A80" s="1">
        <v>38929</v>
      </c>
      <c r="B80">
        <v>2.3037000000000002E-2</v>
      </c>
      <c r="C80">
        <v>2.1198000000000002E-2</v>
      </c>
      <c r="D80">
        <v>1.6418000000000002E-2</v>
      </c>
      <c r="E80">
        <v>1.5436E-2</v>
      </c>
      <c r="F80">
        <v>1.3136E-2</v>
      </c>
      <c r="G80">
        <v>8.2529999999999999E-3</v>
      </c>
      <c r="H80">
        <v>5.8090000000000008E-3</v>
      </c>
      <c r="I80">
        <v>4.2070000000000007E-3</v>
      </c>
      <c r="J80">
        <v>3.9760000000000004E-3</v>
      </c>
      <c r="K80">
        <v>2.957E-3</v>
      </c>
    </row>
    <row r="81" spans="1:11" x14ac:dyDescent="0.2">
      <c r="A81" s="1">
        <v>38960</v>
      </c>
      <c r="B81">
        <v>3.3521000000000002E-2</v>
      </c>
      <c r="C81">
        <v>2.8996000000000001E-2</v>
      </c>
      <c r="D81">
        <v>2.1575E-2</v>
      </c>
      <c r="E81">
        <v>1.6605999999999999E-2</v>
      </c>
      <c r="F81">
        <v>1.3386E-2</v>
      </c>
      <c r="G81">
        <v>7.3000000000000001E-3</v>
      </c>
      <c r="H81">
        <v>5.2170000000000003E-3</v>
      </c>
      <c r="I81">
        <v>4.4770000000000001E-3</v>
      </c>
      <c r="J81">
        <v>4.2830000000000003E-3</v>
      </c>
      <c r="K81">
        <v>1.9660000000000003E-3</v>
      </c>
    </row>
    <row r="82" spans="1:11" x14ac:dyDescent="0.2">
      <c r="A82" s="1">
        <v>38989</v>
      </c>
      <c r="B82">
        <v>2.2313E-2</v>
      </c>
      <c r="C82">
        <v>1.7554E-2</v>
      </c>
      <c r="D82">
        <v>1.1343000000000001E-2</v>
      </c>
      <c r="E82">
        <v>1.0170999999999999E-2</v>
      </c>
      <c r="F82">
        <v>7.9459999999999999E-3</v>
      </c>
      <c r="G82">
        <v>4.9890000000000004E-3</v>
      </c>
      <c r="H82">
        <v>4.3909999999999999E-3</v>
      </c>
      <c r="I82">
        <v>4.4180000000000001E-3</v>
      </c>
      <c r="J82">
        <v>4.0470000000000002E-3</v>
      </c>
      <c r="K82">
        <v>-4.9040000000000004E-3</v>
      </c>
    </row>
    <row r="83" spans="1:11" x14ac:dyDescent="0.2">
      <c r="A83" s="1">
        <v>39021</v>
      </c>
      <c r="B83">
        <v>1.1512E-2</v>
      </c>
      <c r="C83">
        <v>8.1100000000000009E-3</v>
      </c>
      <c r="D83">
        <v>7.0740000000000004E-3</v>
      </c>
      <c r="E83">
        <v>5.7600000000000004E-3</v>
      </c>
      <c r="F83">
        <v>4.2380000000000004E-3</v>
      </c>
      <c r="G83">
        <v>3.8940000000000003E-3</v>
      </c>
      <c r="H83">
        <v>3.9650000000000006E-3</v>
      </c>
      <c r="I83">
        <v>3.9320000000000006E-3</v>
      </c>
      <c r="J83">
        <v>4.0760000000000006E-3</v>
      </c>
      <c r="K83">
        <v>-5.4210000000000005E-3</v>
      </c>
    </row>
    <row r="84" spans="1:11" x14ac:dyDescent="0.2">
      <c r="A84" s="1">
        <v>39051</v>
      </c>
      <c r="B84">
        <v>2.8752E-2</v>
      </c>
      <c r="C84">
        <v>2.0206999999999999E-2</v>
      </c>
      <c r="D84">
        <v>1.3674E-2</v>
      </c>
      <c r="E84">
        <v>1.1619000000000001E-2</v>
      </c>
      <c r="F84">
        <v>8.574E-3</v>
      </c>
      <c r="G84">
        <v>5.3440000000000007E-3</v>
      </c>
      <c r="H84">
        <v>4.2180000000000004E-3</v>
      </c>
      <c r="I84">
        <v>4.3119999999999999E-3</v>
      </c>
      <c r="J84">
        <v>4.2430000000000002E-3</v>
      </c>
      <c r="K84">
        <v>-1.487E-3</v>
      </c>
    </row>
    <row r="85" spans="1:11" x14ac:dyDescent="0.2">
      <c r="A85" s="1">
        <v>39080</v>
      </c>
      <c r="B85">
        <v>-3.5084999999999998E-2</v>
      </c>
      <c r="C85">
        <v>-2.4170000000000001E-2</v>
      </c>
      <c r="D85">
        <v>-1.5746E-2</v>
      </c>
      <c r="E85">
        <v>-1.155E-2</v>
      </c>
      <c r="F85">
        <v>-7.4900000000000001E-3</v>
      </c>
      <c r="G85">
        <v>-6.0500000000000007E-4</v>
      </c>
      <c r="H85">
        <v>2.2850000000000001E-3</v>
      </c>
      <c r="I85">
        <v>4.0880000000000005E-3</v>
      </c>
      <c r="J85">
        <v>4.0360000000000005E-3</v>
      </c>
      <c r="K85">
        <v>1.4890000000000001E-3</v>
      </c>
    </row>
    <row r="86" spans="1:11" x14ac:dyDescent="0.2">
      <c r="A86" s="1">
        <v>39113</v>
      </c>
      <c r="B86">
        <v>-1.0679000000000001E-2</v>
      </c>
      <c r="C86">
        <v>-7.5340000000000008E-3</v>
      </c>
      <c r="D86">
        <v>-3.6000000000000003E-3</v>
      </c>
      <c r="E86">
        <v>-1.7750000000000001E-3</v>
      </c>
      <c r="F86">
        <v>-7.6300000000000001E-4</v>
      </c>
      <c r="G86">
        <v>1.951E-3</v>
      </c>
      <c r="H86">
        <v>3.9950000000000003E-3</v>
      </c>
      <c r="I86">
        <v>4.4099999999999999E-3</v>
      </c>
      <c r="J86">
        <v>4.3280000000000002E-3</v>
      </c>
      <c r="K86">
        <v>3.0530000000000002E-3</v>
      </c>
    </row>
    <row r="87" spans="1:11" x14ac:dyDescent="0.2">
      <c r="A87" s="1">
        <v>39141</v>
      </c>
      <c r="B87">
        <v>3.5901000000000002E-2</v>
      </c>
      <c r="C87">
        <v>2.8796000000000002E-2</v>
      </c>
      <c r="D87">
        <v>1.9998999999999999E-2</v>
      </c>
      <c r="E87">
        <v>1.8779000000000001E-2</v>
      </c>
      <c r="F87">
        <v>1.5508000000000001E-2</v>
      </c>
      <c r="G87">
        <v>8.3440000000000007E-3</v>
      </c>
      <c r="H87">
        <v>5.0630000000000007E-3</v>
      </c>
      <c r="I87">
        <v>3.8070000000000001E-3</v>
      </c>
      <c r="J87">
        <v>3.8370000000000001E-3</v>
      </c>
      <c r="K87">
        <v>5.3500000000000006E-3</v>
      </c>
    </row>
    <row r="88" spans="1:11" x14ac:dyDescent="0.2">
      <c r="A88" s="1">
        <v>39171</v>
      </c>
      <c r="B88">
        <v>-2.1418E-2</v>
      </c>
      <c r="C88">
        <v>-1.2110000000000001E-2</v>
      </c>
      <c r="D88">
        <v>-2.2470000000000003E-3</v>
      </c>
      <c r="E88">
        <v>1.1640000000000001E-3</v>
      </c>
      <c r="F88">
        <v>3.0530000000000002E-3</v>
      </c>
      <c r="G88">
        <v>4.3820000000000005E-3</v>
      </c>
      <c r="H88">
        <v>3.9040000000000004E-3</v>
      </c>
      <c r="I88">
        <v>4.365E-3</v>
      </c>
      <c r="J88">
        <v>4.2570000000000004E-3</v>
      </c>
      <c r="K88">
        <v>9.1060000000000012E-3</v>
      </c>
    </row>
    <row r="89" spans="1:11" x14ac:dyDescent="0.2">
      <c r="A89" s="1">
        <v>39202</v>
      </c>
      <c r="B89">
        <v>8.6770000000000007E-3</v>
      </c>
      <c r="C89">
        <v>8.0949999999999998E-3</v>
      </c>
      <c r="D89">
        <v>6.7990000000000004E-3</v>
      </c>
      <c r="E89">
        <v>5.6340000000000001E-3</v>
      </c>
      <c r="F89">
        <v>4.633E-3</v>
      </c>
      <c r="G89">
        <v>3.7230000000000002E-3</v>
      </c>
      <c r="H89">
        <v>3.4030000000000002E-3</v>
      </c>
      <c r="I89">
        <v>4.529E-3</v>
      </c>
      <c r="J89">
        <v>4.3480000000000003E-3</v>
      </c>
      <c r="K89">
        <v>6.496E-3</v>
      </c>
    </row>
    <row r="90" spans="1:11" x14ac:dyDescent="0.2">
      <c r="A90" s="1">
        <v>39233</v>
      </c>
      <c r="B90">
        <v>-2.5944000000000002E-2</v>
      </c>
      <c r="C90">
        <v>-2.0529000000000002E-2</v>
      </c>
      <c r="D90">
        <v>-1.4483000000000001E-2</v>
      </c>
      <c r="E90">
        <v>-1.3946E-2</v>
      </c>
      <c r="F90">
        <v>-1.1058999999999999E-2</v>
      </c>
      <c r="G90">
        <v>-1.8890000000000001E-3</v>
      </c>
      <c r="H90">
        <v>2.5380000000000003E-3</v>
      </c>
      <c r="I90">
        <v>4.4870000000000005E-3</v>
      </c>
      <c r="J90">
        <v>4.0460000000000001E-3</v>
      </c>
      <c r="K90">
        <v>6.1110000000000001E-3</v>
      </c>
    </row>
    <row r="91" spans="1:11" x14ac:dyDescent="0.2">
      <c r="A91" s="1">
        <v>39262</v>
      </c>
      <c r="B91">
        <v>-1.3263E-2</v>
      </c>
      <c r="C91">
        <v>-8.9259999999999999E-3</v>
      </c>
      <c r="D91">
        <v>-6.8040000000000002E-3</v>
      </c>
      <c r="E91">
        <v>-1.106E-3</v>
      </c>
      <c r="F91">
        <v>7.9900000000000001E-4</v>
      </c>
      <c r="G91">
        <v>4.189E-3</v>
      </c>
      <c r="H91">
        <v>4.2460000000000006E-3</v>
      </c>
      <c r="I91">
        <v>3.8010000000000001E-3</v>
      </c>
      <c r="J91">
        <v>3.9180000000000005E-3</v>
      </c>
      <c r="K91">
        <v>1.9380000000000001E-3</v>
      </c>
    </row>
    <row r="92" spans="1:11" x14ac:dyDescent="0.2">
      <c r="A92" s="1">
        <v>39294</v>
      </c>
      <c r="B92">
        <v>3.9012999999999999E-2</v>
      </c>
      <c r="C92">
        <v>3.0381000000000002E-2</v>
      </c>
      <c r="D92">
        <v>2.3883999999999999E-2</v>
      </c>
      <c r="E92">
        <v>2.1694999999999999E-2</v>
      </c>
      <c r="F92">
        <v>1.8827E-2</v>
      </c>
      <c r="G92">
        <v>1.0287000000000001E-2</v>
      </c>
      <c r="H92">
        <v>6.3210000000000002E-3</v>
      </c>
      <c r="I92">
        <v>4.0370000000000007E-3</v>
      </c>
      <c r="J92">
        <v>3.9620000000000002E-3</v>
      </c>
      <c r="K92">
        <v>-2.5399999999999999E-4</v>
      </c>
    </row>
    <row r="93" spans="1:11" x14ac:dyDescent="0.2">
      <c r="A93" s="1">
        <v>39325</v>
      </c>
      <c r="B93">
        <v>1.4998000000000001E-2</v>
      </c>
      <c r="C93">
        <v>1.7484E-2</v>
      </c>
      <c r="D93">
        <v>1.7129999999999999E-2</v>
      </c>
      <c r="E93">
        <v>2.2029E-2</v>
      </c>
      <c r="F93">
        <v>1.7403000000000002E-2</v>
      </c>
      <c r="G93">
        <v>1.0008E-2</v>
      </c>
      <c r="H93">
        <v>7.0020000000000004E-3</v>
      </c>
      <c r="I93">
        <v>5.6940000000000003E-3</v>
      </c>
      <c r="J93">
        <v>4.2050000000000004E-3</v>
      </c>
      <c r="K93">
        <v>-1.8340000000000001E-3</v>
      </c>
    </row>
    <row r="94" spans="1:11" x14ac:dyDescent="0.2">
      <c r="A94" s="1">
        <v>39353</v>
      </c>
      <c r="B94">
        <v>2.33E-3</v>
      </c>
      <c r="C94">
        <v>1.4470000000000002E-3</v>
      </c>
      <c r="D94">
        <v>-4.4000000000000002E-4</v>
      </c>
      <c r="E94">
        <v>2.7810000000000001E-3</v>
      </c>
      <c r="F94">
        <v>4.2940000000000001E-3</v>
      </c>
      <c r="G94">
        <v>6.8780000000000004E-3</v>
      </c>
      <c r="H94">
        <v>5.4470000000000005E-3</v>
      </c>
      <c r="I94">
        <v>3.9050000000000001E-3</v>
      </c>
      <c r="J94">
        <v>3.3470000000000001E-3</v>
      </c>
      <c r="K94">
        <v>2.7560000000000002E-3</v>
      </c>
    </row>
    <row r="95" spans="1:11" x14ac:dyDescent="0.2">
      <c r="A95" s="1">
        <v>39386</v>
      </c>
      <c r="B95">
        <v>1.8432E-2</v>
      </c>
      <c r="C95">
        <v>1.5779999999999999E-2</v>
      </c>
      <c r="D95">
        <v>1.3082E-2</v>
      </c>
      <c r="E95">
        <v>9.8460000000000006E-3</v>
      </c>
      <c r="F95">
        <v>7.2960000000000004E-3</v>
      </c>
      <c r="G95">
        <v>4.2780000000000006E-3</v>
      </c>
      <c r="H95">
        <v>3.5670000000000003E-3</v>
      </c>
      <c r="I95">
        <v>3.1450000000000002E-3</v>
      </c>
      <c r="J95">
        <v>3.212E-3</v>
      </c>
      <c r="K95">
        <v>2.1390000000000003E-3</v>
      </c>
    </row>
    <row r="96" spans="1:11" x14ac:dyDescent="0.2">
      <c r="A96" s="1">
        <v>39416</v>
      </c>
      <c r="B96">
        <v>6.2646000000000007E-2</v>
      </c>
      <c r="C96">
        <v>4.8778000000000002E-2</v>
      </c>
      <c r="D96">
        <v>4.4192000000000002E-2</v>
      </c>
      <c r="E96">
        <v>3.9725999999999997E-2</v>
      </c>
      <c r="F96">
        <v>3.7483000000000002E-2</v>
      </c>
      <c r="G96">
        <v>2.0657999999999999E-2</v>
      </c>
      <c r="H96">
        <v>1.1388000000000001E-2</v>
      </c>
      <c r="I96">
        <v>4.6580000000000007E-3</v>
      </c>
      <c r="J96">
        <v>3.395E-3</v>
      </c>
      <c r="K96">
        <v>5.94E-3</v>
      </c>
    </row>
    <row r="97" spans="1:11" x14ac:dyDescent="0.2">
      <c r="A97" s="1">
        <v>39447</v>
      </c>
      <c r="B97">
        <v>-8.7400000000000012E-3</v>
      </c>
      <c r="C97">
        <v>-6.0670000000000003E-3</v>
      </c>
      <c r="D97">
        <v>-3.627E-3</v>
      </c>
      <c r="E97">
        <v>1.302E-3</v>
      </c>
      <c r="F97">
        <v>6.7200000000000007E-4</v>
      </c>
      <c r="G97">
        <v>1.8240000000000001E-3</v>
      </c>
      <c r="H97">
        <v>1.147E-3</v>
      </c>
      <c r="I97">
        <v>2.879E-3</v>
      </c>
      <c r="J97">
        <v>2.921E-3</v>
      </c>
      <c r="K97">
        <v>-6.7100000000000005E-4</v>
      </c>
    </row>
    <row r="98" spans="1:11" x14ac:dyDescent="0.2">
      <c r="A98" s="1">
        <v>39478</v>
      </c>
      <c r="B98">
        <v>2.5451999999999999E-2</v>
      </c>
      <c r="C98">
        <v>2.5689E-2</v>
      </c>
      <c r="D98">
        <v>3.8355E-2</v>
      </c>
      <c r="E98">
        <v>3.6982000000000001E-2</v>
      </c>
      <c r="F98">
        <v>3.3951000000000002E-2</v>
      </c>
      <c r="G98">
        <v>2.0303999999999999E-2</v>
      </c>
      <c r="H98">
        <v>1.3061E-2</v>
      </c>
      <c r="I98">
        <v>5.0080000000000003E-3</v>
      </c>
      <c r="J98">
        <v>2.4300000000000003E-3</v>
      </c>
      <c r="K98">
        <v>4.9710000000000006E-3</v>
      </c>
    </row>
    <row r="99" spans="1:11" x14ac:dyDescent="0.2">
      <c r="A99" s="1">
        <v>39507</v>
      </c>
      <c r="B99">
        <v>-7.5900000000000004E-3</v>
      </c>
      <c r="C99">
        <v>4.0400000000000001E-4</v>
      </c>
      <c r="D99">
        <v>9.2650000000000007E-3</v>
      </c>
      <c r="E99">
        <v>1.4976E-2</v>
      </c>
      <c r="F99">
        <v>1.4841E-2</v>
      </c>
      <c r="G99">
        <v>9.9260000000000008E-3</v>
      </c>
      <c r="H99">
        <v>5.3990000000000002E-3</v>
      </c>
      <c r="I99">
        <v>1.6760000000000002E-3</v>
      </c>
      <c r="J99">
        <v>1.325E-3</v>
      </c>
      <c r="K99">
        <v>2.9040000000000003E-3</v>
      </c>
    </row>
    <row r="100" spans="1:11" x14ac:dyDescent="0.2">
      <c r="A100" s="1">
        <v>39538</v>
      </c>
      <c r="B100">
        <v>2.2067E-2</v>
      </c>
      <c r="C100">
        <v>1.2042000000000001E-2</v>
      </c>
      <c r="D100">
        <v>1.1256E-2</v>
      </c>
      <c r="E100">
        <v>1.7594000000000002E-2</v>
      </c>
      <c r="F100">
        <v>4.5230000000000001E-3</v>
      </c>
      <c r="G100">
        <v>3.0370000000000002E-3</v>
      </c>
      <c r="H100">
        <v>2.8870000000000002E-3</v>
      </c>
      <c r="I100">
        <v>2.4300000000000003E-3</v>
      </c>
      <c r="J100">
        <v>1.8690000000000002E-3</v>
      </c>
      <c r="K100">
        <v>8.6680000000000004E-3</v>
      </c>
    </row>
    <row r="101" spans="1:11" x14ac:dyDescent="0.2">
      <c r="A101" s="1">
        <v>39568</v>
      </c>
      <c r="B101">
        <v>-2.5128000000000001E-2</v>
      </c>
      <c r="C101">
        <v>-1.8873000000000001E-2</v>
      </c>
      <c r="D101">
        <v>-1.6442000000000002E-2</v>
      </c>
      <c r="E101">
        <v>-2.9068E-2</v>
      </c>
      <c r="F101">
        <v>-2.3902E-2</v>
      </c>
      <c r="G101">
        <v>-1.2267999999999999E-2</v>
      </c>
      <c r="H101">
        <v>-2.9380000000000001E-3</v>
      </c>
      <c r="I101">
        <v>1.126E-3</v>
      </c>
      <c r="J101">
        <v>1.0250000000000001E-3</v>
      </c>
      <c r="K101">
        <v>6.0650000000000001E-3</v>
      </c>
    </row>
    <row r="102" spans="1:11" x14ac:dyDescent="0.2">
      <c r="A102" s="1">
        <v>39598</v>
      </c>
      <c r="B102">
        <v>-3.6624999999999998E-2</v>
      </c>
      <c r="C102">
        <v>-2.9604999999999999E-2</v>
      </c>
      <c r="D102">
        <v>-1.8756000000000002E-2</v>
      </c>
      <c r="E102">
        <v>-1.8669000000000002E-2</v>
      </c>
      <c r="F102">
        <v>-1.5239000000000001E-2</v>
      </c>
      <c r="G102">
        <v>-5.9920000000000008E-3</v>
      </c>
      <c r="H102">
        <v>-1.1040000000000002E-3</v>
      </c>
      <c r="I102">
        <v>2.2100000000000001E-4</v>
      </c>
      <c r="J102">
        <v>9.4600000000000001E-4</v>
      </c>
      <c r="K102">
        <v>8.4209999999999997E-3</v>
      </c>
    </row>
    <row r="103" spans="1:11" x14ac:dyDescent="0.2">
      <c r="A103" s="1">
        <v>39629</v>
      </c>
      <c r="B103">
        <v>3.6208999999999998E-2</v>
      </c>
      <c r="C103">
        <v>2.3758000000000001E-2</v>
      </c>
      <c r="D103">
        <v>1.0754E-2</v>
      </c>
      <c r="E103">
        <v>1.4134000000000001E-2</v>
      </c>
      <c r="F103">
        <v>7.2180000000000005E-3</v>
      </c>
      <c r="G103">
        <v>3.5510000000000003E-3</v>
      </c>
      <c r="H103">
        <v>1.2780000000000001E-3</v>
      </c>
      <c r="I103">
        <v>1.8310000000000002E-3</v>
      </c>
      <c r="J103">
        <v>1.75E-3</v>
      </c>
      <c r="K103">
        <v>1.0077000000000001E-2</v>
      </c>
    </row>
    <row r="104" spans="1:11" x14ac:dyDescent="0.2">
      <c r="A104" s="1">
        <v>39660</v>
      </c>
      <c r="B104">
        <v>-4.1200000000000004E-3</v>
      </c>
      <c r="C104">
        <v>-8.2700000000000004E-4</v>
      </c>
      <c r="D104">
        <v>5.1550000000000007E-3</v>
      </c>
      <c r="E104">
        <v>9.3490000000000014E-3</v>
      </c>
      <c r="F104">
        <v>7.2490000000000002E-3</v>
      </c>
      <c r="G104">
        <v>5.2300000000000003E-3</v>
      </c>
      <c r="H104">
        <v>3.1770000000000001E-3</v>
      </c>
      <c r="I104">
        <v>1.7200000000000002E-3</v>
      </c>
      <c r="J104">
        <v>1.4400000000000001E-3</v>
      </c>
      <c r="K104">
        <v>5.2510000000000005E-3</v>
      </c>
    </row>
    <row r="105" spans="1:11" x14ac:dyDescent="0.2">
      <c r="A105" s="1">
        <v>39689</v>
      </c>
      <c r="B105">
        <v>2.8500000000000001E-2</v>
      </c>
      <c r="C105">
        <v>2.3764E-2</v>
      </c>
      <c r="D105">
        <v>1.5313E-2</v>
      </c>
      <c r="E105">
        <v>1.2839E-2</v>
      </c>
      <c r="F105">
        <v>8.8640000000000004E-3</v>
      </c>
      <c r="G105">
        <v>4.5340000000000007E-3</v>
      </c>
      <c r="H105">
        <v>2.366E-3</v>
      </c>
      <c r="I105">
        <v>1.4130000000000002E-3</v>
      </c>
      <c r="J105">
        <v>1.2820000000000002E-3</v>
      </c>
      <c r="K105">
        <v>-3.9919999999999999E-3</v>
      </c>
    </row>
    <row r="106" spans="1:11" x14ac:dyDescent="0.2">
      <c r="A106" s="1">
        <v>39721</v>
      </c>
      <c r="B106">
        <v>2.2100000000000002E-2</v>
      </c>
      <c r="C106">
        <v>7.7840000000000001E-3</v>
      </c>
      <c r="D106">
        <v>8.7500000000000002E-4</v>
      </c>
      <c r="E106">
        <v>3.4650000000000002E-3</v>
      </c>
      <c r="F106">
        <v>9.3710000000000009E-3</v>
      </c>
      <c r="G106">
        <v>1.0026E-2</v>
      </c>
      <c r="H106">
        <v>5.1130000000000004E-3</v>
      </c>
      <c r="I106">
        <v>2.5460000000000001E-3</v>
      </c>
      <c r="J106">
        <v>1.5300000000000001E-3</v>
      </c>
      <c r="K106">
        <v>-1.3830000000000001E-3</v>
      </c>
    </row>
    <row r="107" spans="1:11" x14ac:dyDescent="0.2">
      <c r="A107" s="1">
        <v>39752</v>
      </c>
      <c r="B107">
        <v>-6.9680000000000002E-3</v>
      </c>
      <c r="C107">
        <v>-3.6296000000000002E-2</v>
      </c>
      <c r="D107">
        <v>-2.8591999999999999E-2</v>
      </c>
      <c r="E107">
        <v>-7.1440000000000002E-3</v>
      </c>
      <c r="F107">
        <v>1.0843999999999999E-2</v>
      </c>
      <c r="G107">
        <v>1.2592000000000001E-2</v>
      </c>
      <c r="H107">
        <v>5.2180000000000004E-3</v>
      </c>
      <c r="I107">
        <v>1.2080000000000001E-3</v>
      </c>
      <c r="J107">
        <v>7.9200000000000006E-4</v>
      </c>
      <c r="K107">
        <v>-1.0101000000000001E-2</v>
      </c>
    </row>
    <row r="108" spans="1:11" x14ac:dyDescent="0.2">
      <c r="A108" s="1">
        <v>39780</v>
      </c>
      <c r="B108">
        <v>0.17220199999999999</v>
      </c>
      <c r="C108">
        <v>0.14446100000000001</v>
      </c>
      <c r="D108">
        <v>8.5377999999999996E-2</v>
      </c>
      <c r="E108">
        <v>8.1894999999999996E-2</v>
      </c>
      <c r="F108">
        <v>4.5233000000000002E-2</v>
      </c>
      <c r="G108">
        <v>1.2121E-2</v>
      </c>
      <c r="H108">
        <v>7.1700000000000002E-3</v>
      </c>
      <c r="I108">
        <v>1.0240000000000002E-3</v>
      </c>
      <c r="J108">
        <v>2.2800000000000001E-4</v>
      </c>
      <c r="K108">
        <v>-1.9153E-2</v>
      </c>
    </row>
    <row r="109" spans="1:11" x14ac:dyDescent="0.2">
      <c r="A109" s="1">
        <v>39813</v>
      </c>
      <c r="B109">
        <v>0.14655599999999999</v>
      </c>
      <c r="C109">
        <v>9.1421000000000002E-2</v>
      </c>
      <c r="D109">
        <v>5.6871999999999999E-2</v>
      </c>
      <c r="E109">
        <v>3.6706000000000003E-2</v>
      </c>
      <c r="F109">
        <v>2.3094E-2</v>
      </c>
      <c r="G109">
        <v>6.5170000000000002E-3</v>
      </c>
      <c r="H109">
        <v>3.8900000000000002E-3</v>
      </c>
      <c r="I109">
        <v>6.3E-5</v>
      </c>
      <c r="J109">
        <v>2.8999999999999997E-5</v>
      </c>
      <c r="K109">
        <v>-1.0342E-2</v>
      </c>
    </row>
    <row r="110" spans="1:11" x14ac:dyDescent="0.2">
      <c r="A110" s="1">
        <v>39843</v>
      </c>
      <c r="B110">
        <v>-0.14738199999999999</v>
      </c>
      <c r="C110">
        <v>-0.105931</v>
      </c>
      <c r="D110">
        <v>-4.4454E-2</v>
      </c>
      <c r="E110">
        <v>-2.9484E-2</v>
      </c>
      <c r="F110">
        <v>-1.6891E-2</v>
      </c>
      <c r="G110">
        <v>-4.0860000000000002E-3</v>
      </c>
      <c r="H110">
        <v>-1.5450000000000001E-3</v>
      </c>
      <c r="I110">
        <v>-3.7999999999999995E-5</v>
      </c>
      <c r="J110">
        <v>2.3E-5</v>
      </c>
      <c r="K110">
        <v>4.352E-3</v>
      </c>
    </row>
    <row r="111" spans="1:11" x14ac:dyDescent="0.2">
      <c r="A111" s="1">
        <v>39871</v>
      </c>
      <c r="B111">
        <v>-1.6445999999999999E-2</v>
      </c>
      <c r="C111">
        <v>-4.1780000000000003E-3</v>
      </c>
      <c r="D111">
        <v>-1.92E-3</v>
      </c>
      <c r="E111">
        <v>-1.1374E-2</v>
      </c>
      <c r="F111">
        <v>-5.0360000000000005E-3</v>
      </c>
      <c r="G111">
        <v>-7.1100000000000004E-4</v>
      </c>
      <c r="H111">
        <v>-1.389E-3</v>
      </c>
      <c r="I111">
        <v>2.8000000000000003E-4</v>
      </c>
      <c r="J111">
        <v>1.47E-4</v>
      </c>
      <c r="K111">
        <v>4.973E-3</v>
      </c>
    </row>
    <row r="112" spans="1:11" x14ac:dyDescent="0.2">
      <c r="A112" s="1">
        <v>39903</v>
      </c>
      <c r="B112">
        <v>3.5140999999999999E-2</v>
      </c>
      <c r="C112">
        <v>5.7347000000000002E-2</v>
      </c>
      <c r="D112">
        <v>3.2910000000000002E-2</v>
      </c>
      <c r="E112">
        <v>3.2325E-2</v>
      </c>
      <c r="F112">
        <v>1.8825999999999999E-2</v>
      </c>
      <c r="G112">
        <v>5.1590000000000004E-3</v>
      </c>
      <c r="H112">
        <v>1.4340000000000002E-3</v>
      </c>
      <c r="I112">
        <v>3.5100000000000002E-4</v>
      </c>
      <c r="J112">
        <v>1.5900000000000002E-4</v>
      </c>
      <c r="K112">
        <v>2.4320000000000001E-3</v>
      </c>
    </row>
    <row r="113" spans="1:11" x14ac:dyDescent="0.2">
      <c r="A113" s="1">
        <v>39933</v>
      </c>
      <c r="B113">
        <v>-8.4469000000000002E-2</v>
      </c>
      <c r="C113">
        <v>-6.1338000000000004E-2</v>
      </c>
      <c r="D113">
        <v>-3.5782000000000001E-2</v>
      </c>
      <c r="E113">
        <v>-2.4371E-2</v>
      </c>
      <c r="F113">
        <v>-1.6750000000000001E-2</v>
      </c>
      <c r="G113">
        <v>-1.1170000000000002E-3</v>
      </c>
      <c r="H113">
        <v>1.9080000000000002E-3</v>
      </c>
      <c r="I113">
        <v>3.59E-4</v>
      </c>
      <c r="J113">
        <v>1.25E-4</v>
      </c>
      <c r="K113">
        <v>2.496E-3</v>
      </c>
    </row>
    <row r="114" spans="1:11" x14ac:dyDescent="0.2">
      <c r="A114" s="1">
        <v>39962</v>
      </c>
      <c r="B114">
        <v>-4.5676000000000001E-2</v>
      </c>
      <c r="C114">
        <v>-2.5809000000000002E-2</v>
      </c>
      <c r="D114">
        <v>-1.6442000000000002E-2</v>
      </c>
      <c r="E114">
        <v>-1.9651000000000002E-2</v>
      </c>
      <c r="F114">
        <v>-1.3248000000000001E-2</v>
      </c>
      <c r="G114">
        <v>8.3100000000000003E-4</v>
      </c>
      <c r="H114">
        <v>3.6099999999999999E-4</v>
      </c>
      <c r="I114">
        <v>1.1800000000000001E-4</v>
      </c>
      <c r="J114">
        <v>1.7E-5</v>
      </c>
      <c r="K114">
        <v>2.8890000000000001E-3</v>
      </c>
    </row>
    <row r="115" spans="1:11" x14ac:dyDescent="0.2">
      <c r="A115" s="1">
        <v>39994</v>
      </c>
      <c r="B115">
        <v>4.9320000000000006E-3</v>
      </c>
      <c r="C115">
        <v>6.7950000000000007E-3</v>
      </c>
      <c r="D115">
        <v>2.8510000000000002E-3</v>
      </c>
      <c r="E115">
        <v>-5.4740000000000006E-3</v>
      </c>
      <c r="F115">
        <v>-7.2500000000000004E-3</v>
      </c>
      <c r="G115">
        <v>-2.294E-3</v>
      </c>
      <c r="H115">
        <v>5.6700000000000001E-4</v>
      </c>
      <c r="I115">
        <v>1.0800000000000001E-4</v>
      </c>
      <c r="J115">
        <v>7.4999999999999993E-5</v>
      </c>
      <c r="K115">
        <v>8.5900000000000004E-3</v>
      </c>
    </row>
    <row r="116" spans="1:11" x14ac:dyDescent="0.2">
      <c r="A116" s="1">
        <v>40025</v>
      </c>
      <c r="B116">
        <v>8.8090000000000009E-3</v>
      </c>
      <c r="C116">
        <v>7.2320000000000006E-3</v>
      </c>
      <c r="D116">
        <v>8.2630000000000012E-3</v>
      </c>
      <c r="E116">
        <v>8.5120000000000005E-3</v>
      </c>
      <c r="F116">
        <v>6.0350000000000004E-3</v>
      </c>
      <c r="G116">
        <v>1.92E-3</v>
      </c>
      <c r="H116">
        <v>1.1050000000000001E-3</v>
      </c>
      <c r="I116">
        <v>1.9599999999999999E-4</v>
      </c>
      <c r="J116">
        <v>1.1900000000000001E-4</v>
      </c>
      <c r="K116">
        <v>-1.5860000000000002E-3</v>
      </c>
    </row>
    <row r="117" spans="1:11" x14ac:dyDescent="0.2">
      <c r="A117" s="1">
        <v>40056</v>
      </c>
      <c r="B117">
        <v>2.4428000000000002E-2</v>
      </c>
      <c r="C117">
        <v>2.0938000000000002E-2</v>
      </c>
      <c r="D117">
        <v>1.0147E-2</v>
      </c>
      <c r="E117">
        <v>1.0546E-2</v>
      </c>
      <c r="F117">
        <v>9.5170000000000012E-3</v>
      </c>
      <c r="G117">
        <v>4.4330000000000003E-3</v>
      </c>
      <c r="H117">
        <v>1.4880000000000002E-3</v>
      </c>
      <c r="I117">
        <v>2.41E-4</v>
      </c>
      <c r="J117">
        <v>1.16E-4</v>
      </c>
      <c r="K117">
        <v>2.2430000000000002E-3</v>
      </c>
    </row>
    <row r="118" spans="1:11" x14ac:dyDescent="0.2">
      <c r="A118" s="1">
        <v>40086</v>
      </c>
      <c r="B118">
        <v>2.4697E-2</v>
      </c>
      <c r="C118">
        <v>1.6535000000000001E-2</v>
      </c>
      <c r="D118">
        <v>1.0322E-2</v>
      </c>
      <c r="E118">
        <v>1.0792E-2</v>
      </c>
      <c r="F118">
        <v>6.463E-3</v>
      </c>
      <c r="G118">
        <v>2.4160000000000002E-3</v>
      </c>
      <c r="H118">
        <v>7.9900000000000001E-4</v>
      </c>
      <c r="I118">
        <v>2.5000000000000001E-4</v>
      </c>
      <c r="J118">
        <v>7.8999999999999996E-5</v>
      </c>
      <c r="K118">
        <v>6.2500000000000001E-4</v>
      </c>
    </row>
    <row r="119" spans="1:11" x14ac:dyDescent="0.2">
      <c r="A119" s="1">
        <v>40116</v>
      </c>
      <c r="B119">
        <v>-2.4902000000000001E-2</v>
      </c>
      <c r="C119">
        <v>-1.4160000000000001E-2</v>
      </c>
      <c r="D119">
        <v>-3.5750000000000001E-3</v>
      </c>
      <c r="E119">
        <v>2.101E-3</v>
      </c>
      <c r="F119">
        <v>3.6210000000000001E-3</v>
      </c>
      <c r="G119">
        <v>2.9460000000000003E-3</v>
      </c>
      <c r="H119">
        <v>-2.0999999999999999E-5</v>
      </c>
      <c r="I119">
        <v>1.95E-4</v>
      </c>
      <c r="J119">
        <v>3.9999999999999996E-5</v>
      </c>
      <c r="K119">
        <v>9.6299999999999999E-4</v>
      </c>
    </row>
    <row r="120" spans="1:11" x14ac:dyDescent="0.2">
      <c r="A120" s="1">
        <v>40147</v>
      </c>
      <c r="B120">
        <v>7.0700000000000008E-3</v>
      </c>
      <c r="C120">
        <v>1.8409999999999999E-2</v>
      </c>
      <c r="D120">
        <v>1.8977000000000001E-2</v>
      </c>
      <c r="E120">
        <v>2.2120000000000001E-2</v>
      </c>
      <c r="F120">
        <v>1.8421E-2</v>
      </c>
      <c r="G120">
        <v>6.7430000000000007E-3</v>
      </c>
      <c r="H120">
        <v>1.892E-3</v>
      </c>
      <c r="I120">
        <v>1.0400000000000001E-4</v>
      </c>
      <c r="J120">
        <v>3.9999999999999998E-6</v>
      </c>
      <c r="K120">
        <v>7.0800000000000008E-4</v>
      </c>
    </row>
    <row r="121" spans="1:11" x14ac:dyDescent="0.2">
      <c r="A121" s="1">
        <v>40178</v>
      </c>
      <c r="B121">
        <v>-6.5856999999999999E-2</v>
      </c>
      <c r="C121">
        <v>-5.4419000000000002E-2</v>
      </c>
      <c r="D121">
        <v>-3.7936999999999999E-2</v>
      </c>
      <c r="E121">
        <v>-3.8514E-2</v>
      </c>
      <c r="F121">
        <v>-2.7479E-2</v>
      </c>
      <c r="G121">
        <v>-6.9700000000000005E-3</v>
      </c>
      <c r="H121">
        <v>-1.1660000000000002E-3</v>
      </c>
      <c r="I121">
        <v>6.5999999999999992E-5</v>
      </c>
      <c r="J121">
        <v>6.2000000000000003E-5</v>
      </c>
      <c r="K121">
        <v>-1.7610000000000002E-3</v>
      </c>
    </row>
    <row r="122" spans="1:11" x14ac:dyDescent="0.2">
      <c r="A122" s="1">
        <v>40207</v>
      </c>
      <c r="B122">
        <v>2.7458E-2</v>
      </c>
      <c r="C122">
        <v>2.9431000000000002E-2</v>
      </c>
      <c r="D122">
        <v>2.0794E-2</v>
      </c>
      <c r="E122">
        <v>2.3747000000000001E-2</v>
      </c>
      <c r="F122">
        <v>1.8564000000000001E-2</v>
      </c>
      <c r="G122">
        <v>8.9270000000000009E-3</v>
      </c>
      <c r="H122">
        <v>3.2460000000000002E-3</v>
      </c>
      <c r="I122">
        <v>6.2000000000000003E-5</v>
      </c>
      <c r="J122">
        <v>2.8E-5</v>
      </c>
      <c r="K122">
        <v>3.4170000000000003E-3</v>
      </c>
    </row>
    <row r="123" spans="1:11" x14ac:dyDescent="0.2">
      <c r="A123" s="1">
        <v>40235</v>
      </c>
      <c r="B123">
        <v>-7.6250000000000007E-3</v>
      </c>
      <c r="C123">
        <v>-2.9640000000000001E-3</v>
      </c>
      <c r="D123">
        <v>2.013E-3</v>
      </c>
      <c r="E123">
        <v>3.7080000000000004E-3</v>
      </c>
      <c r="F123">
        <v>4.4940000000000006E-3</v>
      </c>
      <c r="G123">
        <v>1.8370000000000001E-3</v>
      </c>
      <c r="H123">
        <v>-4.73E-4</v>
      </c>
      <c r="I123">
        <v>1.4999999999999999E-5</v>
      </c>
      <c r="J123">
        <v>9.9999999999999991E-6</v>
      </c>
      <c r="K123">
        <v>2.4900000000000004E-4</v>
      </c>
    </row>
    <row r="124" spans="1:11" x14ac:dyDescent="0.2">
      <c r="A124" s="1">
        <v>40268</v>
      </c>
      <c r="B124">
        <v>-2.0685000000000002E-2</v>
      </c>
      <c r="C124">
        <v>-1.3103E-2</v>
      </c>
      <c r="D124">
        <v>-1.4015E-2</v>
      </c>
      <c r="E124">
        <v>-9.9300000000000013E-3</v>
      </c>
      <c r="F124">
        <v>-7.6620000000000004E-3</v>
      </c>
      <c r="G124">
        <v>-1.5920000000000001E-3</v>
      </c>
      <c r="H124">
        <v>-8.6899999999999998E-4</v>
      </c>
      <c r="I124">
        <v>4.1999999999999998E-5</v>
      </c>
      <c r="J124">
        <v>6.7999999999999999E-5</v>
      </c>
      <c r="K124">
        <v>4.1060000000000003E-3</v>
      </c>
    </row>
    <row r="125" spans="1:11" x14ac:dyDescent="0.2">
      <c r="A125" s="1">
        <v>40298</v>
      </c>
      <c r="B125">
        <v>3.5545E-2</v>
      </c>
      <c r="C125">
        <v>2.9069000000000001E-2</v>
      </c>
      <c r="D125">
        <v>1.6503E-2</v>
      </c>
      <c r="E125">
        <v>1.3512E-2</v>
      </c>
      <c r="F125">
        <v>9.0749999999999997E-3</v>
      </c>
      <c r="G125">
        <v>2.3810000000000003E-3</v>
      </c>
      <c r="H125">
        <v>1.6200000000000001E-4</v>
      </c>
      <c r="I125">
        <v>1.2899999999999999E-4</v>
      </c>
      <c r="J125">
        <v>1.11E-4</v>
      </c>
      <c r="K125">
        <v>1.737E-3</v>
      </c>
    </row>
    <row r="126" spans="1:11" x14ac:dyDescent="0.2">
      <c r="A126" s="1">
        <v>40326</v>
      </c>
      <c r="B126">
        <v>5.3633E-2</v>
      </c>
      <c r="C126">
        <v>4.0848000000000002E-2</v>
      </c>
      <c r="D126">
        <v>2.5297E-2</v>
      </c>
      <c r="E126">
        <v>2.5802000000000002E-2</v>
      </c>
      <c r="F126">
        <v>1.5079E-2</v>
      </c>
      <c r="G126">
        <v>5.6450000000000007E-3</v>
      </c>
      <c r="H126">
        <v>6.9499999999999998E-4</v>
      </c>
      <c r="I126">
        <v>1.2899999999999999E-4</v>
      </c>
      <c r="J126">
        <v>1.12E-4</v>
      </c>
      <c r="K126">
        <v>7.7500000000000008E-4</v>
      </c>
    </row>
    <row r="127" spans="1:11" x14ac:dyDescent="0.2">
      <c r="A127" s="1">
        <v>40359</v>
      </c>
      <c r="B127">
        <v>5.9823000000000001E-2</v>
      </c>
      <c r="C127">
        <v>4.4812999999999999E-2</v>
      </c>
      <c r="D127">
        <v>3.3850999999999999E-2</v>
      </c>
      <c r="E127">
        <v>2.4837999999999999E-2</v>
      </c>
      <c r="F127">
        <v>1.8435E-2</v>
      </c>
      <c r="G127">
        <v>4.2650000000000006E-3</v>
      </c>
      <c r="H127">
        <v>1.116E-3</v>
      </c>
      <c r="I127">
        <v>1.1800000000000001E-4</v>
      </c>
      <c r="J127">
        <v>1.27E-4</v>
      </c>
      <c r="K127">
        <v>-9.7600000000000009E-4</v>
      </c>
    </row>
    <row r="128" spans="1:11" x14ac:dyDescent="0.2">
      <c r="A128" s="1">
        <v>40389</v>
      </c>
      <c r="B128">
        <v>-1.3918E-2</v>
      </c>
      <c r="C128">
        <v>-1.5900000000000002E-4</v>
      </c>
      <c r="D128">
        <v>7.9350000000000011E-3</v>
      </c>
      <c r="E128">
        <v>9.5970000000000014E-3</v>
      </c>
      <c r="F128">
        <v>1.1016E-2</v>
      </c>
      <c r="G128">
        <v>1.8810000000000001E-3</v>
      </c>
      <c r="H128">
        <v>8.5599999999999999E-4</v>
      </c>
      <c r="I128">
        <v>1.76E-4</v>
      </c>
      <c r="J128">
        <v>1.4200000000000001E-4</v>
      </c>
      <c r="K128">
        <v>2.1100000000000001E-4</v>
      </c>
    </row>
    <row r="129" spans="1:11" x14ac:dyDescent="0.2">
      <c r="A129" s="1">
        <v>40421</v>
      </c>
      <c r="B129">
        <v>8.7271000000000001E-2</v>
      </c>
      <c r="C129">
        <v>7.3081000000000007E-2</v>
      </c>
      <c r="D129">
        <v>3.5527000000000003E-2</v>
      </c>
      <c r="E129">
        <v>2.2601E-2</v>
      </c>
      <c r="F129">
        <v>1.3728000000000001E-2</v>
      </c>
      <c r="G129">
        <v>1.7470000000000001E-3</v>
      </c>
      <c r="H129">
        <v>1.0250000000000001E-3</v>
      </c>
      <c r="I129">
        <v>1.45E-4</v>
      </c>
      <c r="J129">
        <v>1.26E-4</v>
      </c>
      <c r="K129">
        <v>1.3810000000000001E-3</v>
      </c>
    </row>
    <row r="130" spans="1:11" x14ac:dyDescent="0.2">
      <c r="A130" s="1">
        <v>40451</v>
      </c>
      <c r="B130">
        <v>-2.7616999999999999E-2</v>
      </c>
      <c r="C130">
        <v>-1.7073000000000001E-2</v>
      </c>
      <c r="D130">
        <v>-1.9710000000000001E-3</v>
      </c>
      <c r="E130">
        <v>3.9090000000000001E-3</v>
      </c>
      <c r="F130">
        <v>5.2360000000000002E-3</v>
      </c>
      <c r="G130">
        <v>1.503E-3</v>
      </c>
      <c r="H130">
        <v>3.4600000000000001E-4</v>
      </c>
      <c r="I130">
        <v>4.3999999999999999E-5</v>
      </c>
      <c r="J130">
        <v>1.25E-4</v>
      </c>
      <c r="K130">
        <v>5.8200000000000005E-4</v>
      </c>
    </row>
    <row r="131" spans="1:11" x14ac:dyDescent="0.2">
      <c r="A131" s="1">
        <v>40480</v>
      </c>
      <c r="B131">
        <v>-4.7608999999999999E-2</v>
      </c>
      <c r="C131">
        <v>-2.9153999999999999E-2</v>
      </c>
      <c r="D131">
        <v>-5.208E-3</v>
      </c>
      <c r="E131">
        <v>1.2570000000000001E-3</v>
      </c>
      <c r="F131">
        <v>6.2570000000000004E-3</v>
      </c>
      <c r="G131">
        <v>2.3389999999999999E-3</v>
      </c>
      <c r="H131">
        <v>3.0400000000000002E-4</v>
      </c>
      <c r="I131">
        <v>1.5900000000000002E-4</v>
      </c>
      <c r="J131">
        <v>1.12E-4</v>
      </c>
      <c r="K131">
        <v>1.245E-3</v>
      </c>
    </row>
    <row r="132" spans="1:11" x14ac:dyDescent="0.2">
      <c r="A132" s="1">
        <v>40512</v>
      </c>
      <c r="B132">
        <v>-1.8945E-2</v>
      </c>
      <c r="C132">
        <v>-1.6369000000000002E-2</v>
      </c>
      <c r="D132">
        <v>-7.2140000000000008E-3</v>
      </c>
      <c r="E132">
        <v>-1.0132E-2</v>
      </c>
      <c r="F132">
        <v>-1.2155000000000001E-2</v>
      </c>
      <c r="G132">
        <v>-2.9140000000000004E-3</v>
      </c>
      <c r="H132">
        <v>-5.2400000000000005E-4</v>
      </c>
      <c r="I132">
        <v>4.6E-5</v>
      </c>
      <c r="J132">
        <v>1.1400000000000001E-4</v>
      </c>
      <c r="K132">
        <v>4.2100000000000004E-4</v>
      </c>
    </row>
    <row r="133" spans="1:11" x14ac:dyDescent="0.2">
      <c r="A133" s="1">
        <v>40543</v>
      </c>
      <c r="B133">
        <v>-3.3938000000000003E-2</v>
      </c>
      <c r="C133">
        <v>-3.8449999999999998E-2</v>
      </c>
      <c r="D133">
        <v>-3.8908999999999999E-2</v>
      </c>
      <c r="E133">
        <v>-3.125E-2</v>
      </c>
      <c r="F133">
        <v>-2.2322999999999999E-2</v>
      </c>
      <c r="G133">
        <v>-1.8720000000000002E-3</v>
      </c>
      <c r="H133">
        <v>-8.2999999999999998E-5</v>
      </c>
      <c r="I133">
        <v>2.2000000000000001E-4</v>
      </c>
      <c r="J133">
        <v>1.4000000000000001E-4</v>
      </c>
      <c r="K133">
        <v>1.7180000000000001E-3</v>
      </c>
    </row>
    <row r="134" spans="1:11" x14ac:dyDescent="0.2">
      <c r="A134" s="1">
        <v>40574</v>
      </c>
      <c r="B134">
        <v>-3.3946999999999998E-2</v>
      </c>
      <c r="C134">
        <v>-1.8943000000000002E-2</v>
      </c>
      <c r="D134">
        <v>-2.24E-4</v>
      </c>
      <c r="E134">
        <v>4.0170000000000006E-3</v>
      </c>
      <c r="F134">
        <v>6.7020000000000005E-3</v>
      </c>
      <c r="G134">
        <v>1.807E-3</v>
      </c>
      <c r="H134">
        <v>1.078E-3</v>
      </c>
      <c r="I134">
        <v>5.7999999999999994E-5</v>
      </c>
      <c r="J134">
        <v>6.5999999999999992E-5</v>
      </c>
      <c r="K134">
        <v>4.7629999999999999E-3</v>
      </c>
    </row>
    <row r="135" spans="1:11" x14ac:dyDescent="0.2">
      <c r="A135" s="1">
        <v>40602</v>
      </c>
      <c r="B135">
        <v>1.3722E-2</v>
      </c>
      <c r="C135">
        <v>9.3010000000000002E-3</v>
      </c>
      <c r="D135">
        <v>-2.03E-4</v>
      </c>
      <c r="E135">
        <v>-4.725E-3</v>
      </c>
      <c r="F135">
        <v>-5.9200000000000008E-3</v>
      </c>
      <c r="G135">
        <v>-1.24E-3</v>
      </c>
      <c r="H135">
        <v>2.41E-4</v>
      </c>
      <c r="I135">
        <v>1.4200000000000001E-4</v>
      </c>
      <c r="J135">
        <v>1.2200000000000001E-4</v>
      </c>
      <c r="K135">
        <v>4.9310000000000005E-3</v>
      </c>
    </row>
    <row r="136" spans="1:11" x14ac:dyDescent="0.2">
      <c r="A136" s="1">
        <v>40633</v>
      </c>
      <c r="B136">
        <v>2.477E-3</v>
      </c>
      <c r="C136">
        <v>6.0599999999999998E-4</v>
      </c>
      <c r="D136">
        <v>-4.8100000000000004E-4</v>
      </c>
      <c r="E136">
        <v>-1.206E-3</v>
      </c>
      <c r="F136">
        <v>-2.3840000000000003E-3</v>
      </c>
      <c r="G136">
        <v>-1.361E-3</v>
      </c>
      <c r="H136">
        <v>7.7000000000000001E-5</v>
      </c>
      <c r="I136">
        <v>2.3700000000000001E-4</v>
      </c>
      <c r="J136">
        <v>6.7000000000000002E-5</v>
      </c>
      <c r="K136">
        <v>9.751000000000001E-3</v>
      </c>
    </row>
    <row r="137" spans="1:11" x14ac:dyDescent="0.2">
      <c r="A137" s="1">
        <v>40662</v>
      </c>
      <c r="B137">
        <v>2.1351999999999999E-2</v>
      </c>
      <c r="C137">
        <v>2.0522000000000002E-2</v>
      </c>
      <c r="D137">
        <v>1.4547000000000001E-2</v>
      </c>
      <c r="E137">
        <v>1.8197999999999999E-2</v>
      </c>
      <c r="F137">
        <v>1.7115000000000002E-2</v>
      </c>
      <c r="G137">
        <v>5.4920000000000004E-3</v>
      </c>
      <c r="H137">
        <v>6.7200000000000007E-4</v>
      </c>
      <c r="I137">
        <v>2.0800000000000001E-4</v>
      </c>
      <c r="J137">
        <v>5.2999999999999994E-5</v>
      </c>
      <c r="K137">
        <v>6.4390000000000003E-3</v>
      </c>
    </row>
    <row r="138" spans="1:11" x14ac:dyDescent="0.2">
      <c r="A138" s="1">
        <v>40694</v>
      </c>
      <c r="B138">
        <v>3.4299000000000003E-2</v>
      </c>
      <c r="C138">
        <v>3.3069000000000001E-2</v>
      </c>
      <c r="D138">
        <v>2.4937000000000001E-2</v>
      </c>
      <c r="E138">
        <v>2.3058000000000002E-2</v>
      </c>
      <c r="F138">
        <v>1.6184E-2</v>
      </c>
      <c r="G138">
        <v>3.7720000000000002E-3</v>
      </c>
      <c r="H138">
        <v>1.021E-3</v>
      </c>
      <c r="I138">
        <v>6.3999999999999997E-5</v>
      </c>
      <c r="J138">
        <v>1.2999999999999999E-5</v>
      </c>
      <c r="K138">
        <v>4.7040000000000007E-3</v>
      </c>
    </row>
    <row r="139" spans="1:11" x14ac:dyDescent="0.2">
      <c r="A139" s="1">
        <v>40724</v>
      </c>
      <c r="B139">
        <v>-2.0785999999999999E-2</v>
      </c>
      <c r="C139">
        <v>-1.5913E-2</v>
      </c>
      <c r="D139">
        <v>-5.9280000000000001E-3</v>
      </c>
      <c r="E139">
        <v>-2.8220000000000003E-3</v>
      </c>
      <c r="F139">
        <v>6.0800000000000003E-4</v>
      </c>
      <c r="G139">
        <v>1.3310000000000002E-3</v>
      </c>
      <c r="H139">
        <v>1.9800000000000002E-4</v>
      </c>
      <c r="I139">
        <v>1.0300000000000001E-4</v>
      </c>
      <c r="J139">
        <v>3.4999999999999997E-5</v>
      </c>
      <c r="K139">
        <v>-1.0710000000000001E-3</v>
      </c>
    </row>
    <row r="140" spans="1:11" x14ac:dyDescent="0.2">
      <c r="A140" s="1">
        <v>40753</v>
      </c>
      <c r="B140">
        <v>4.5984000000000004E-2</v>
      </c>
      <c r="C140">
        <v>4.3219E-2</v>
      </c>
      <c r="D140">
        <v>3.1082000000000002E-2</v>
      </c>
      <c r="E140">
        <v>2.7002000000000002E-2</v>
      </c>
      <c r="F140">
        <v>2.1177000000000001E-2</v>
      </c>
      <c r="G140">
        <v>2.6980000000000003E-3</v>
      </c>
      <c r="H140">
        <v>-9.2100000000000005E-4</v>
      </c>
      <c r="I140">
        <v>-8.2999999999999998E-5</v>
      </c>
      <c r="J140">
        <v>-2.8E-5</v>
      </c>
      <c r="K140">
        <v>8.8600000000000007E-4</v>
      </c>
    </row>
    <row r="141" spans="1:11" x14ac:dyDescent="0.2">
      <c r="A141" s="1">
        <v>40786</v>
      </c>
      <c r="B141">
        <v>0.10009699999999999</v>
      </c>
      <c r="C141">
        <v>8.2605999999999999E-2</v>
      </c>
      <c r="D141">
        <v>4.7503000000000004E-2</v>
      </c>
      <c r="E141">
        <v>3.5711E-2</v>
      </c>
      <c r="F141">
        <v>2.0563999999999999E-2</v>
      </c>
      <c r="G141">
        <v>3.6050000000000001E-3</v>
      </c>
      <c r="H141">
        <v>1.9450000000000001E-3</v>
      </c>
      <c r="I141">
        <v>2.31E-4</v>
      </c>
      <c r="J141">
        <v>8.2999999999999998E-5</v>
      </c>
      <c r="K141">
        <v>2.758E-3</v>
      </c>
    </row>
    <row r="142" spans="1:11" x14ac:dyDescent="0.2">
      <c r="A142" s="1">
        <v>40816</v>
      </c>
      <c r="B142">
        <v>0.13802899999999999</v>
      </c>
      <c r="C142">
        <v>7.2288000000000005E-2</v>
      </c>
      <c r="D142">
        <v>2.9468000000000001E-2</v>
      </c>
      <c r="E142">
        <v>9.1590000000000005E-3</v>
      </c>
      <c r="F142">
        <v>2.4220000000000001E-3</v>
      </c>
      <c r="G142">
        <v>-1.1430000000000001E-3</v>
      </c>
      <c r="H142">
        <v>-1.2430000000000002E-3</v>
      </c>
      <c r="I142">
        <v>7.9999999999999996E-6</v>
      </c>
      <c r="J142">
        <v>-9.9999999999999995E-7</v>
      </c>
      <c r="K142">
        <v>1.518E-3</v>
      </c>
    </row>
    <row r="143" spans="1:11" x14ac:dyDescent="0.2">
      <c r="A143" s="1">
        <v>40847</v>
      </c>
      <c r="B143">
        <v>-3.7082000000000004E-2</v>
      </c>
      <c r="C143">
        <v>-2.2895000000000002E-2</v>
      </c>
      <c r="D143">
        <v>-1.2101000000000001E-2</v>
      </c>
      <c r="E143">
        <v>-5.5050000000000003E-3</v>
      </c>
      <c r="F143">
        <v>6.7699999999999998E-4</v>
      </c>
      <c r="G143">
        <v>1.335E-3</v>
      </c>
      <c r="H143">
        <v>6.4999999999999997E-4</v>
      </c>
      <c r="I143">
        <v>2.4999999999999998E-5</v>
      </c>
      <c r="J143">
        <v>1.4E-5</v>
      </c>
      <c r="K143">
        <v>-2.0630000000000002E-3</v>
      </c>
    </row>
    <row r="144" spans="1:11" x14ac:dyDescent="0.2">
      <c r="A144" s="1">
        <v>40877</v>
      </c>
      <c r="B144">
        <v>2.1635999999999999E-2</v>
      </c>
      <c r="C144">
        <v>1.6038E-2</v>
      </c>
      <c r="D144">
        <v>8.685E-3</v>
      </c>
      <c r="E144">
        <v>5.7890000000000007E-3</v>
      </c>
      <c r="F144">
        <v>2.6230000000000003E-3</v>
      </c>
      <c r="G144">
        <v>1.8599999999999999E-4</v>
      </c>
      <c r="H144">
        <v>2.9100000000000003E-4</v>
      </c>
      <c r="I144">
        <v>6.0000000000000002E-6</v>
      </c>
      <c r="J144">
        <v>3.9999999999999998E-6</v>
      </c>
      <c r="K144">
        <v>-8.4400000000000002E-4</v>
      </c>
    </row>
    <row r="145" spans="1:11" x14ac:dyDescent="0.2">
      <c r="A145" s="1">
        <v>40907</v>
      </c>
      <c r="B145">
        <v>3.4102E-2</v>
      </c>
      <c r="C145">
        <v>2.7564999999999999E-2</v>
      </c>
      <c r="D145">
        <v>1.9019000000000001E-2</v>
      </c>
      <c r="E145">
        <v>1.4868000000000001E-2</v>
      </c>
      <c r="F145">
        <v>6.5180000000000004E-3</v>
      </c>
      <c r="G145">
        <v>4.9100000000000001E-4</v>
      </c>
      <c r="H145">
        <v>-4.95E-4</v>
      </c>
      <c r="I145">
        <v>-9.0000000000000002E-6</v>
      </c>
      <c r="J145">
        <v>0</v>
      </c>
      <c r="K145">
        <v>-2.467E-3</v>
      </c>
    </row>
    <row r="146" spans="1:11" x14ac:dyDescent="0.2">
      <c r="A146" s="1">
        <v>40939</v>
      </c>
      <c r="B146">
        <v>-5.7950000000000007E-3</v>
      </c>
      <c r="C146">
        <v>1.2300000000000001E-4</v>
      </c>
      <c r="D146">
        <v>8.8269999999999998E-3</v>
      </c>
      <c r="E146">
        <v>1.0222999999999999E-2</v>
      </c>
      <c r="F146">
        <v>7.9730000000000009E-3</v>
      </c>
      <c r="G146">
        <v>8.6400000000000008E-4</v>
      </c>
      <c r="H146">
        <v>4.5000000000000004E-4</v>
      </c>
      <c r="I146">
        <v>-4.7999999999999994E-5</v>
      </c>
      <c r="J146">
        <v>-1.9999999999999999E-6</v>
      </c>
      <c r="K146">
        <v>4.4000000000000003E-3</v>
      </c>
    </row>
    <row r="147" spans="1:11" x14ac:dyDescent="0.2">
      <c r="A147" s="1">
        <v>40968</v>
      </c>
      <c r="B147">
        <v>-2.4496E-2</v>
      </c>
      <c r="C147">
        <v>-2.0789000000000002E-2</v>
      </c>
      <c r="D147">
        <v>-1.0592000000000001E-2</v>
      </c>
      <c r="E147">
        <v>-7.4260000000000003E-3</v>
      </c>
      <c r="F147">
        <v>-5.7210000000000004E-3</v>
      </c>
      <c r="G147">
        <v>-1.3030000000000001E-3</v>
      </c>
      <c r="H147">
        <v>-6.3500000000000004E-4</v>
      </c>
      <c r="I147">
        <v>1.8E-5</v>
      </c>
      <c r="J147">
        <v>3.1000000000000001E-5</v>
      </c>
      <c r="K147">
        <v>4.4030000000000007E-3</v>
      </c>
    </row>
    <row r="148" spans="1:11" x14ac:dyDescent="0.2">
      <c r="A148" s="1">
        <v>40998</v>
      </c>
      <c r="B148">
        <v>-4.4988E-2</v>
      </c>
      <c r="C148">
        <v>-3.5931999999999999E-2</v>
      </c>
      <c r="D148">
        <v>-1.9458E-2</v>
      </c>
      <c r="E148">
        <v>-1.1703E-2</v>
      </c>
      <c r="F148">
        <v>-7.1090000000000007E-3</v>
      </c>
      <c r="G148">
        <v>-2.7399999999999999E-4</v>
      </c>
      <c r="H148">
        <v>-2.8499999999999999E-4</v>
      </c>
      <c r="I148">
        <v>8.7999999999999998E-5</v>
      </c>
      <c r="J148">
        <v>4.6E-5</v>
      </c>
      <c r="K148">
        <v>7.5950000000000002E-3</v>
      </c>
    </row>
    <row r="149" spans="1:11" x14ac:dyDescent="0.2">
      <c r="A149" s="1">
        <v>41029</v>
      </c>
      <c r="B149">
        <v>4.7272000000000002E-2</v>
      </c>
      <c r="C149">
        <v>4.163E-2</v>
      </c>
      <c r="D149">
        <v>2.8413000000000001E-2</v>
      </c>
      <c r="E149">
        <v>2.1895999999999999E-2</v>
      </c>
      <c r="F149">
        <v>1.2062E-2</v>
      </c>
      <c r="G149">
        <v>2.2890000000000002E-3</v>
      </c>
      <c r="H149">
        <v>7.1600000000000006E-4</v>
      </c>
      <c r="I149">
        <v>3.6000000000000001E-5</v>
      </c>
      <c r="J149">
        <v>2.8999999999999997E-5</v>
      </c>
      <c r="K149">
        <v>3.0210000000000002E-3</v>
      </c>
    </row>
    <row r="150" spans="1:11" x14ac:dyDescent="0.2">
      <c r="A150" s="1">
        <v>41060</v>
      </c>
      <c r="B150">
        <v>9.8554000000000003E-2</v>
      </c>
      <c r="C150">
        <v>8.2921000000000009E-2</v>
      </c>
      <c r="D150">
        <v>3.1440000000000003E-2</v>
      </c>
      <c r="E150">
        <v>2.2031000000000002E-2</v>
      </c>
      <c r="F150">
        <v>8.3899999999999999E-3</v>
      </c>
      <c r="G150">
        <v>2.9E-4</v>
      </c>
      <c r="H150">
        <v>1.0800000000000001E-4</v>
      </c>
      <c r="I150">
        <v>1.75E-4</v>
      </c>
      <c r="J150">
        <v>6.4999999999999994E-5</v>
      </c>
      <c r="K150">
        <v>-1.173E-3</v>
      </c>
    </row>
    <row r="151" spans="1:11" x14ac:dyDescent="0.2">
      <c r="A151" s="1">
        <v>41089</v>
      </c>
      <c r="B151">
        <v>-1.9824000000000001E-2</v>
      </c>
      <c r="C151">
        <v>-1.6865000000000002E-2</v>
      </c>
      <c r="D151">
        <v>-6.6250000000000007E-3</v>
      </c>
      <c r="E151">
        <v>-4.542E-3</v>
      </c>
      <c r="F151">
        <v>-1.3850000000000002E-3</v>
      </c>
      <c r="G151">
        <v>-6.0700000000000001E-4</v>
      </c>
      <c r="H151">
        <v>-4.9100000000000001E-4</v>
      </c>
      <c r="I151">
        <v>9.4999999999999992E-5</v>
      </c>
      <c r="J151">
        <v>2.1999999999999999E-5</v>
      </c>
      <c r="K151">
        <v>-1.4660000000000001E-3</v>
      </c>
    </row>
    <row r="152" spans="1:11" x14ac:dyDescent="0.2">
      <c r="A152" s="1">
        <v>41121</v>
      </c>
      <c r="B152">
        <v>4.4671000000000002E-2</v>
      </c>
      <c r="C152">
        <v>3.5250000000000004E-2</v>
      </c>
      <c r="D152">
        <v>1.5792E-2</v>
      </c>
      <c r="E152">
        <v>1.0579E-2</v>
      </c>
      <c r="F152">
        <v>8.2210000000000009E-3</v>
      </c>
      <c r="G152">
        <v>2.624E-3</v>
      </c>
      <c r="H152">
        <v>1.1540000000000001E-3</v>
      </c>
      <c r="I152">
        <v>1.02E-4</v>
      </c>
      <c r="J152">
        <v>3.1999999999999999E-5</v>
      </c>
      <c r="K152">
        <v>-1.6300000000000002E-3</v>
      </c>
    </row>
    <row r="153" spans="1:11" x14ac:dyDescent="0.2">
      <c r="A153" s="1">
        <v>41152</v>
      </c>
      <c r="B153">
        <v>-1.9212E-2</v>
      </c>
      <c r="C153">
        <v>-1.2587000000000001E-2</v>
      </c>
      <c r="D153">
        <v>-2.4420000000000002E-3</v>
      </c>
      <c r="E153">
        <v>-8.92E-4</v>
      </c>
      <c r="F153">
        <v>1.0740000000000001E-3</v>
      </c>
      <c r="G153">
        <v>-2.5100000000000003E-4</v>
      </c>
      <c r="H153">
        <v>-1.7200000000000001E-4</v>
      </c>
      <c r="I153">
        <v>1.2300000000000001E-4</v>
      </c>
      <c r="J153">
        <v>4.9999999999999996E-5</v>
      </c>
      <c r="K153">
        <v>5.5650000000000005E-3</v>
      </c>
    </row>
    <row r="154" spans="1:11" x14ac:dyDescent="0.2">
      <c r="A154" s="1">
        <v>41180</v>
      </c>
      <c r="B154">
        <v>-2.8056000000000001E-2</v>
      </c>
      <c r="C154">
        <v>-2.0368000000000001E-2</v>
      </c>
      <c r="D154">
        <v>-6.3720000000000001E-3</v>
      </c>
      <c r="E154">
        <v>-1.4140000000000001E-3</v>
      </c>
      <c r="F154">
        <v>2.4499999999999999E-4</v>
      </c>
      <c r="G154">
        <v>1.8999999999999998E-5</v>
      </c>
      <c r="H154">
        <v>1.5699999999999999E-4</v>
      </c>
      <c r="I154">
        <v>1.0900000000000001E-4</v>
      </c>
      <c r="J154">
        <v>6.7000000000000002E-5</v>
      </c>
      <c r="K154">
        <v>4.4620000000000007E-3</v>
      </c>
    </row>
    <row r="155" spans="1:11" x14ac:dyDescent="0.2">
      <c r="A155" s="1">
        <v>41213</v>
      </c>
      <c r="B155">
        <v>-3.986E-3</v>
      </c>
      <c r="C155">
        <v>-2.611E-3</v>
      </c>
      <c r="D155">
        <v>-2.9090000000000001E-3</v>
      </c>
      <c r="E155">
        <v>-4.3470000000000002E-3</v>
      </c>
      <c r="F155">
        <v>-3.6510000000000002E-3</v>
      </c>
      <c r="G155">
        <v>-5.7400000000000007E-4</v>
      </c>
      <c r="H155">
        <v>7.9999999999999993E-5</v>
      </c>
      <c r="I155">
        <v>6.7000000000000002E-5</v>
      </c>
      <c r="J155">
        <v>3.6999999999999998E-5</v>
      </c>
      <c r="K155">
        <v>-3.8900000000000002E-4</v>
      </c>
    </row>
    <row r="156" spans="1:11" x14ac:dyDescent="0.2">
      <c r="A156" s="1">
        <v>41243</v>
      </c>
      <c r="B156">
        <v>1.3069000000000001E-2</v>
      </c>
      <c r="C156">
        <v>1.1232000000000001E-2</v>
      </c>
      <c r="D156">
        <v>9.3800000000000012E-3</v>
      </c>
      <c r="E156">
        <v>8.3960000000000007E-3</v>
      </c>
      <c r="F156">
        <v>7.1810000000000008E-3</v>
      </c>
      <c r="G156">
        <v>1.0300000000000001E-3</v>
      </c>
      <c r="H156">
        <v>2.6499999999999999E-4</v>
      </c>
      <c r="I156">
        <v>1.95E-4</v>
      </c>
      <c r="J156">
        <v>8.4999999999999993E-5</v>
      </c>
      <c r="K156">
        <v>-4.738E-3</v>
      </c>
    </row>
    <row r="157" spans="1:11" x14ac:dyDescent="0.2">
      <c r="A157" s="1">
        <v>41274</v>
      </c>
      <c r="B157">
        <v>-2.5503000000000001E-2</v>
      </c>
      <c r="C157">
        <v>-1.7687999999999999E-2</v>
      </c>
      <c r="D157">
        <v>-8.797000000000001E-3</v>
      </c>
      <c r="E157">
        <v>-7.1750000000000008E-3</v>
      </c>
      <c r="F157">
        <v>-3.1360000000000003E-3</v>
      </c>
      <c r="G157">
        <v>4.28E-4</v>
      </c>
      <c r="H157">
        <v>3.79E-4</v>
      </c>
      <c r="I157">
        <v>1.1800000000000001E-4</v>
      </c>
      <c r="J157">
        <v>1.0300000000000001E-4</v>
      </c>
      <c r="K157">
        <v>-2.6930000000000001E-3</v>
      </c>
    </row>
    <row r="158" spans="1:11" x14ac:dyDescent="0.2">
      <c r="A158" s="1">
        <v>41305</v>
      </c>
      <c r="B158">
        <v>-4.0356000000000003E-2</v>
      </c>
      <c r="C158">
        <v>-3.2753999999999998E-2</v>
      </c>
      <c r="D158">
        <v>-1.4939000000000001E-2</v>
      </c>
      <c r="E158">
        <v>-1.0384000000000001E-2</v>
      </c>
      <c r="F158">
        <v>-5.3170000000000005E-3</v>
      </c>
      <c r="G158">
        <v>3.1700000000000001E-4</v>
      </c>
      <c r="H158">
        <v>4.4799999999999999E-4</v>
      </c>
      <c r="I158">
        <v>1.8999999999999998E-5</v>
      </c>
      <c r="J158">
        <v>2.1999999999999999E-5</v>
      </c>
      <c r="K158">
        <v>2.957E-3</v>
      </c>
    </row>
    <row r="159" spans="1:11" x14ac:dyDescent="0.2">
      <c r="A159" s="1">
        <v>41333</v>
      </c>
      <c r="B159">
        <v>1.6490000000000001E-2</v>
      </c>
      <c r="C159">
        <v>1.2462000000000001E-2</v>
      </c>
      <c r="D159">
        <v>1.1635E-2</v>
      </c>
      <c r="E159">
        <v>1.1607000000000001E-2</v>
      </c>
      <c r="F159">
        <v>6.8080000000000007E-3</v>
      </c>
      <c r="G159">
        <v>9.2800000000000001E-4</v>
      </c>
      <c r="H159">
        <v>3.4700000000000003E-4</v>
      </c>
      <c r="I159">
        <v>1.7E-5</v>
      </c>
      <c r="J159">
        <v>5.3999999999999998E-5</v>
      </c>
      <c r="K159">
        <v>8.1900000000000011E-3</v>
      </c>
    </row>
    <row r="160" spans="1:11" x14ac:dyDescent="0.2">
      <c r="A160" s="1">
        <v>41361</v>
      </c>
      <c r="B160">
        <v>-8.5700000000000001E-4</v>
      </c>
      <c r="C160">
        <v>-1.6760000000000002E-3</v>
      </c>
      <c r="D160">
        <v>3.7680000000000001E-3</v>
      </c>
      <c r="E160">
        <v>3.4510000000000001E-3</v>
      </c>
      <c r="F160">
        <v>1.281E-3</v>
      </c>
      <c r="G160">
        <v>4.4999999999999996E-5</v>
      </c>
      <c r="H160">
        <v>1.7000000000000001E-4</v>
      </c>
      <c r="I160">
        <v>1.4300000000000001E-4</v>
      </c>
      <c r="J160">
        <v>4.1E-5</v>
      </c>
      <c r="K160">
        <v>2.6150000000000001E-3</v>
      </c>
    </row>
    <row r="161" spans="1:11" x14ac:dyDescent="0.2">
      <c r="A161" s="1">
        <v>41394</v>
      </c>
      <c r="B161">
        <v>4.7396000000000001E-2</v>
      </c>
      <c r="C161">
        <v>3.8864000000000003E-2</v>
      </c>
      <c r="D161">
        <v>1.7562999999999999E-2</v>
      </c>
      <c r="E161">
        <v>9.8790000000000006E-3</v>
      </c>
      <c r="F161">
        <v>5.7810000000000005E-3</v>
      </c>
      <c r="G161">
        <v>1.2330000000000002E-3</v>
      </c>
      <c r="H161">
        <v>7.1400000000000001E-4</v>
      </c>
      <c r="I161">
        <v>1.65E-4</v>
      </c>
      <c r="J161">
        <v>3.6999999999999998E-5</v>
      </c>
      <c r="K161">
        <v>-1.0400000000000001E-3</v>
      </c>
    </row>
    <row r="162" spans="1:11" x14ac:dyDescent="0.2">
      <c r="A162" s="1">
        <v>41425</v>
      </c>
      <c r="B162">
        <v>-6.9915000000000005E-2</v>
      </c>
      <c r="C162">
        <v>-5.7786999999999998E-2</v>
      </c>
      <c r="D162">
        <v>-3.1221000000000002E-2</v>
      </c>
      <c r="E162">
        <v>-2.3619000000000001E-2</v>
      </c>
      <c r="F162">
        <v>-1.4887000000000001E-2</v>
      </c>
      <c r="G162">
        <v>-1.4780000000000001E-3</v>
      </c>
      <c r="H162">
        <v>-7.3999999999999996E-5</v>
      </c>
      <c r="I162">
        <v>9.2999999999999997E-5</v>
      </c>
      <c r="J162">
        <v>1.1999999999999999E-5</v>
      </c>
      <c r="K162">
        <v>1.7800000000000001E-3</v>
      </c>
    </row>
    <row r="163" spans="1:11" x14ac:dyDescent="0.2">
      <c r="A163" s="1">
        <v>41453</v>
      </c>
      <c r="B163">
        <v>-3.9380999999999999E-2</v>
      </c>
      <c r="C163">
        <v>-3.4452000000000003E-2</v>
      </c>
      <c r="D163">
        <v>-2.9891000000000001E-2</v>
      </c>
      <c r="E163">
        <v>-2.4590000000000001E-2</v>
      </c>
      <c r="F163">
        <v>-1.6286999999999999E-2</v>
      </c>
      <c r="G163">
        <v>-6.7100000000000005E-4</v>
      </c>
      <c r="H163">
        <v>-3.7999999999999995E-5</v>
      </c>
      <c r="I163">
        <v>5.2999999999999994E-5</v>
      </c>
      <c r="J163">
        <v>1.2999999999999999E-5</v>
      </c>
      <c r="K163">
        <v>2.4000000000000002E-3</v>
      </c>
    </row>
    <row r="164" spans="1:11" x14ac:dyDescent="0.2">
      <c r="A164" s="1">
        <v>41486</v>
      </c>
      <c r="B164">
        <v>-2.2609000000000001E-2</v>
      </c>
      <c r="C164">
        <v>-1.6208E-2</v>
      </c>
      <c r="D164">
        <v>-4.5270000000000006E-3</v>
      </c>
      <c r="E164">
        <v>9.3599999999999998E-4</v>
      </c>
      <c r="F164">
        <v>2.921E-3</v>
      </c>
      <c r="G164">
        <v>1.7290000000000001E-3</v>
      </c>
      <c r="H164">
        <v>6.8800000000000003E-4</v>
      </c>
      <c r="I164">
        <v>4.7999999999999994E-5</v>
      </c>
      <c r="J164">
        <v>9.0000000000000002E-6</v>
      </c>
      <c r="K164">
        <v>3.9400000000000004E-4</v>
      </c>
    </row>
    <row r="165" spans="1:11" x14ac:dyDescent="0.2">
      <c r="A165" s="1">
        <v>41516</v>
      </c>
      <c r="B165">
        <v>-1.4221000000000001E-2</v>
      </c>
      <c r="C165">
        <v>-1.1093E-2</v>
      </c>
      <c r="D165">
        <v>-1.2869E-2</v>
      </c>
      <c r="E165">
        <v>-1.3279000000000001E-2</v>
      </c>
      <c r="F165">
        <v>-9.3880000000000005E-3</v>
      </c>
      <c r="G165">
        <v>-1.446E-3</v>
      </c>
      <c r="H165">
        <v>-5.3999999999999998E-5</v>
      </c>
      <c r="I165">
        <v>7.2000000000000002E-5</v>
      </c>
      <c r="J165">
        <v>9.0000000000000002E-6</v>
      </c>
      <c r="K165">
        <v>1.2030000000000001E-3</v>
      </c>
    </row>
    <row r="166" spans="1:11" x14ac:dyDescent="0.2">
      <c r="A166" s="1">
        <v>41547</v>
      </c>
      <c r="B166">
        <v>5.8590000000000005E-3</v>
      </c>
      <c r="C166">
        <v>8.5110000000000012E-3</v>
      </c>
      <c r="D166">
        <v>1.7923999999999999E-2</v>
      </c>
      <c r="E166">
        <v>1.9578000000000002E-2</v>
      </c>
      <c r="F166">
        <v>1.4959E-2</v>
      </c>
      <c r="G166">
        <v>2.6030000000000003E-3</v>
      </c>
      <c r="H166">
        <v>8.8800000000000001E-4</v>
      </c>
      <c r="I166">
        <v>3.9999999999999996E-5</v>
      </c>
      <c r="J166">
        <v>7.9999999999999996E-6</v>
      </c>
      <c r="K166">
        <v>1.163E-3</v>
      </c>
    </row>
    <row r="167" spans="1:11" x14ac:dyDescent="0.2">
      <c r="A167" s="1">
        <v>41578</v>
      </c>
      <c r="B167">
        <v>1.125E-2</v>
      </c>
      <c r="C167">
        <v>1.1196000000000001E-2</v>
      </c>
      <c r="D167">
        <v>6.9150000000000001E-3</v>
      </c>
      <c r="E167">
        <v>5.5600000000000007E-3</v>
      </c>
      <c r="F167">
        <v>5.1370000000000001E-3</v>
      </c>
      <c r="G167">
        <v>9.5200000000000005E-4</v>
      </c>
      <c r="H167">
        <v>1.2200000000000001E-4</v>
      </c>
      <c r="I167">
        <v>-1.8E-5</v>
      </c>
      <c r="J167">
        <v>1.7E-5</v>
      </c>
      <c r="K167">
        <v>-2.575E-3</v>
      </c>
    </row>
    <row r="168" spans="1:11" x14ac:dyDescent="0.2">
      <c r="A168" s="1">
        <v>41607</v>
      </c>
      <c r="B168">
        <v>-2.7712000000000001E-2</v>
      </c>
      <c r="C168">
        <v>-2.2515E-2</v>
      </c>
      <c r="D168">
        <v>-1.2241999999999999E-2</v>
      </c>
      <c r="E168">
        <v>-4.9390000000000007E-3</v>
      </c>
      <c r="F168">
        <v>8.1000000000000006E-4</v>
      </c>
      <c r="G168">
        <v>9.4600000000000001E-4</v>
      </c>
      <c r="H168">
        <v>4.1999999999999998E-5</v>
      </c>
      <c r="I168">
        <v>6.3E-5</v>
      </c>
      <c r="J168">
        <v>3.1999999999999999E-5</v>
      </c>
      <c r="K168">
        <v>-2.042E-3</v>
      </c>
    </row>
    <row r="169" spans="1:11" x14ac:dyDescent="0.2">
      <c r="A169" s="1">
        <v>41639</v>
      </c>
      <c r="B169">
        <v>-2.4414999999999999E-2</v>
      </c>
      <c r="C169">
        <v>-2.0537E-2</v>
      </c>
      <c r="D169">
        <v>-2.1753999999999999E-2</v>
      </c>
      <c r="E169">
        <v>-1.9824999999999999E-2</v>
      </c>
      <c r="F169">
        <v>-1.5095000000000001E-2</v>
      </c>
      <c r="G169">
        <v>-1.5190000000000002E-3</v>
      </c>
      <c r="H169">
        <v>1.2899999999999999E-4</v>
      </c>
      <c r="I169">
        <v>1.2200000000000001E-4</v>
      </c>
      <c r="J169">
        <v>2.3E-5</v>
      </c>
      <c r="K169">
        <v>-8.599999999999999E-5</v>
      </c>
    </row>
    <row r="170" spans="1:11" x14ac:dyDescent="0.2">
      <c r="A170" s="1">
        <v>41670</v>
      </c>
      <c r="B170">
        <v>7.1553000000000005E-2</v>
      </c>
      <c r="C170">
        <v>5.7749000000000002E-2</v>
      </c>
      <c r="D170">
        <v>3.5654999999999999E-2</v>
      </c>
      <c r="E170">
        <v>2.3775000000000001E-2</v>
      </c>
      <c r="F170">
        <v>1.4623000000000001E-2</v>
      </c>
      <c r="G170">
        <v>1.843E-3</v>
      </c>
      <c r="H170">
        <v>3.2299999999999999E-4</v>
      </c>
      <c r="I170">
        <v>1.4900000000000002E-4</v>
      </c>
      <c r="J170">
        <v>1.1999999999999999E-5</v>
      </c>
      <c r="K170">
        <v>3.7200000000000002E-3</v>
      </c>
    </row>
    <row r="171" spans="1:11" x14ac:dyDescent="0.2">
      <c r="A171" s="1">
        <v>41698</v>
      </c>
      <c r="B171">
        <v>6.3470000000000002E-3</v>
      </c>
      <c r="C171">
        <v>6.7080000000000004E-3</v>
      </c>
      <c r="D171">
        <v>4.4060000000000002E-3</v>
      </c>
      <c r="E171">
        <v>2.7680000000000001E-3</v>
      </c>
      <c r="F171">
        <v>1.652E-3</v>
      </c>
      <c r="G171">
        <v>1.181E-3</v>
      </c>
      <c r="H171">
        <v>2.6600000000000001E-4</v>
      </c>
      <c r="I171">
        <v>-2.3E-5</v>
      </c>
      <c r="J171">
        <v>4.4999999999999996E-5</v>
      </c>
      <c r="K171">
        <v>3.6980000000000003E-3</v>
      </c>
    </row>
    <row r="172" spans="1:11" x14ac:dyDescent="0.2">
      <c r="A172" s="1">
        <v>41729</v>
      </c>
      <c r="B172">
        <v>7.6450000000000008E-3</v>
      </c>
      <c r="C172">
        <v>4.4090000000000006E-3</v>
      </c>
      <c r="D172">
        <v>-3.934E-3</v>
      </c>
      <c r="E172">
        <v>-9.1669999999999998E-3</v>
      </c>
      <c r="F172">
        <v>-7.4560000000000008E-3</v>
      </c>
      <c r="G172">
        <v>-8.6200000000000003E-4</v>
      </c>
      <c r="H172">
        <v>3.59E-4</v>
      </c>
      <c r="I172">
        <v>9.5999999999999989E-5</v>
      </c>
      <c r="J172">
        <v>2.8E-5</v>
      </c>
      <c r="K172">
        <v>6.4400000000000004E-3</v>
      </c>
    </row>
    <row r="173" spans="1:11" x14ac:dyDescent="0.2">
      <c r="A173" s="1">
        <v>41759</v>
      </c>
      <c r="B173">
        <v>2.0936E-2</v>
      </c>
      <c r="C173">
        <v>1.7718000000000001E-2</v>
      </c>
      <c r="D173">
        <v>8.4010000000000005E-3</v>
      </c>
      <c r="E173">
        <v>7.4130000000000003E-3</v>
      </c>
      <c r="F173">
        <v>5.3579999999999999E-3</v>
      </c>
      <c r="G173">
        <v>1.1720000000000001E-3</v>
      </c>
      <c r="H173">
        <v>6.8000000000000005E-4</v>
      </c>
      <c r="I173">
        <v>5.2999999999999994E-5</v>
      </c>
      <c r="J173">
        <v>1.4999999999999999E-5</v>
      </c>
      <c r="K173">
        <v>3.297E-3</v>
      </c>
    </row>
    <row r="174" spans="1:11" x14ac:dyDescent="0.2">
      <c r="A174" s="1">
        <v>41789</v>
      </c>
      <c r="B174">
        <v>2.9464000000000001E-2</v>
      </c>
      <c r="C174">
        <v>2.5146999999999999E-2</v>
      </c>
      <c r="D174">
        <v>1.9113999999999999E-2</v>
      </c>
      <c r="E174">
        <v>1.4396000000000001E-2</v>
      </c>
      <c r="F174">
        <v>9.6740000000000003E-3</v>
      </c>
      <c r="G174">
        <v>1.9890000000000003E-3</v>
      </c>
      <c r="H174">
        <v>-6.0000000000000002E-6</v>
      </c>
      <c r="I174">
        <v>2.8999999999999997E-5</v>
      </c>
      <c r="J174">
        <v>7.9999999999999996E-6</v>
      </c>
      <c r="K174">
        <v>3.493E-3</v>
      </c>
    </row>
    <row r="175" spans="1:11" x14ac:dyDescent="0.2">
      <c r="A175" s="1">
        <v>41820</v>
      </c>
      <c r="B175">
        <v>-3.2180000000000004E-3</v>
      </c>
      <c r="C175">
        <v>-3.2780000000000001E-3</v>
      </c>
      <c r="D175">
        <v>-2.418E-3</v>
      </c>
      <c r="E175">
        <v>-2.5500000000000002E-3</v>
      </c>
      <c r="F175">
        <v>-1.9240000000000001E-3</v>
      </c>
      <c r="G175">
        <v>-5.0100000000000003E-4</v>
      </c>
      <c r="H175">
        <v>3.9999999999999998E-6</v>
      </c>
      <c r="I175">
        <v>4.1999999999999998E-5</v>
      </c>
      <c r="J175">
        <v>1.9999999999999998E-5</v>
      </c>
      <c r="K175">
        <v>1.8620000000000002E-3</v>
      </c>
    </row>
    <row r="176" spans="1:11" x14ac:dyDescent="0.2">
      <c r="A176" s="1">
        <v>41851</v>
      </c>
      <c r="B176">
        <v>1.1048000000000001E-2</v>
      </c>
      <c r="C176">
        <v>8.294000000000001E-3</v>
      </c>
      <c r="D176">
        <v>-1.6000000000000001E-4</v>
      </c>
      <c r="E176">
        <v>-3.6250000000000002E-3</v>
      </c>
      <c r="F176">
        <v>-3.8380000000000003E-3</v>
      </c>
      <c r="G176">
        <v>-2.4600000000000002E-4</v>
      </c>
      <c r="H176">
        <v>2.81E-4</v>
      </c>
      <c r="I176">
        <v>4.6999999999999997E-5</v>
      </c>
      <c r="J176">
        <v>1.2999999999999999E-5</v>
      </c>
      <c r="K176">
        <v>-3.8999999999999999E-4</v>
      </c>
    </row>
    <row r="177" spans="1:11" x14ac:dyDescent="0.2">
      <c r="A177" s="1">
        <v>41880</v>
      </c>
      <c r="B177">
        <v>4.9425999999999998E-2</v>
      </c>
      <c r="C177">
        <v>3.8171000000000004E-2</v>
      </c>
      <c r="D177">
        <v>1.8782E-2</v>
      </c>
      <c r="E177">
        <v>1.4499E-2</v>
      </c>
      <c r="F177">
        <v>8.7489999999999998E-3</v>
      </c>
      <c r="G177">
        <v>1.1950000000000001E-3</v>
      </c>
      <c r="H177">
        <v>6.2300000000000007E-4</v>
      </c>
      <c r="I177">
        <v>2.1999999999999999E-5</v>
      </c>
      <c r="J177">
        <v>3.0000000000000001E-6</v>
      </c>
      <c r="K177">
        <v>-1.6710000000000002E-3</v>
      </c>
    </row>
    <row r="178" spans="1:11" x14ac:dyDescent="0.2">
      <c r="A178" s="1">
        <v>41912</v>
      </c>
      <c r="B178">
        <v>-1.9667E-2</v>
      </c>
      <c r="C178">
        <v>-1.5959000000000001E-2</v>
      </c>
      <c r="D178">
        <v>-1.0631E-2</v>
      </c>
      <c r="E178">
        <v>-7.9350000000000011E-3</v>
      </c>
      <c r="F178">
        <v>-4.2050000000000004E-3</v>
      </c>
      <c r="G178">
        <v>-6.7999999999999999E-5</v>
      </c>
      <c r="H178">
        <v>1.9100000000000001E-4</v>
      </c>
      <c r="I178">
        <v>4.6999999999999997E-5</v>
      </c>
      <c r="J178">
        <v>3.9999999999999998E-6</v>
      </c>
      <c r="K178">
        <v>7.5299999999999998E-4</v>
      </c>
    </row>
    <row r="179" spans="1:11" x14ac:dyDescent="0.2">
      <c r="A179" s="1">
        <v>41943</v>
      </c>
      <c r="B179">
        <v>2.8147999999999999E-2</v>
      </c>
      <c r="C179">
        <v>2.7575000000000002E-2</v>
      </c>
      <c r="D179">
        <v>1.3129E-2</v>
      </c>
      <c r="E179">
        <v>1.3729E-2</v>
      </c>
      <c r="F179">
        <v>9.3740000000000004E-3</v>
      </c>
      <c r="G179">
        <v>2.6200000000000004E-3</v>
      </c>
      <c r="H179">
        <v>1.9000000000000001E-4</v>
      </c>
      <c r="I179">
        <v>9.9999999999999995E-7</v>
      </c>
      <c r="J179">
        <v>1.1999999999999999E-5</v>
      </c>
      <c r="K179">
        <v>-2.5120000000000003E-3</v>
      </c>
    </row>
    <row r="180" spans="1:11" x14ac:dyDescent="0.2">
      <c r="A180" s="1">
        <v>41971</v>
      </c>
      <c r="B180">
        <v>3.6108000000000001E-2</v>
      </c>
      <c r="C180">
        <v>2.9607000000000001E-2</v>
      </c>
      <c r="D180">
        <v>1.4195000000000001E-2</v>
      </c>
      <c r="E180">
        <v>1.2307E-2</v>
      </c>
      <c r="F180">
        <v>1.0032000000000001E-2</v>
      </c>
      <c r="G180">
        <v>1.5470000000000002E-3</v>
      </c>
      <c r="H180">
        <v>1.8900000000000001E-4</v>
      </c>
      <c r="I180">
        <v>3.4E-5</v>
      </c>
      <c r="J180">
        <v>-9.9999999999999995E-7</v>
      </c>
      <c r="K180">
        <v>-5.3990000000000002E-3</v>
      </c>
    </row>
    <row r="181" spans="1:11" x14ac:dyDescent="0.2">
      <c r="A181" s="1">
        <v>42004</v>
      </c>
      <c r="B181">
        <v>3.0158000000000001E-2</v>
      </c>
      <c r="C181">
        <v>2.8091999999999999E-2</v>
      </c>
      <c r="D181">
        <v>1.4140000000000001E-3</v>
      </c>
      <c r="E181">
        <v>-3.6780000000000003E-3</v>
      </c>
      <c r="F181">
        <v>-4.6440000000000006E-3</v>
      </c>
      <c r="G181">
        <v>-2.8990000000000001E-3</v>
      </c>
      <c r="H181">
        <v>-6.9099999999999999E-4</v>
      </c>
      <c r="I181">
        <v>9.9999999999999995E-7</v>
      </c>
      <c r="J181">
        <v>4.9999999999999996E-6</v>
      </c>
      <c r="K181">
        <v>-5.6700000000000006E-3</v>
      </c>
    </row>
    <row r="182" spans="1:11" x14ac:dyDescent="0.2">
      <c r="A182" s="1">
        <v>42034</v>
      </c>
      <c r="B182">
        <v>0.114344</v>
      </c>
      <c r="C182">
        <v>7.5035000000000004E-2</v>
      </c>
      <c r="D182">
        <v>4.2437000000000002E-2</v>
      </c>
      <c r="E182">
        <v>3.6325000000000003E-2</v>
      </c>
      <c r="F182">
        <v>2.5385000000000001E-2</v>
      </c>
      <c r="G182">
        <v>5.3E-3</v>
      </c>
      <c r="H182">
        <v>1.4750000000000002E-3</v>
      </c>
      <c r="I182">
        <v>1.1900000000000001E-4</v>
      </c>
      <c r="J182">
        <v>1.2999999999999999E-5</v>
      </c>
      <c r="K182">
        <v>-4.7060000000000001E-3</v>
      </c>
    </row>
    <row r="183" spans="1:11" x14ac:dyDescent="0.2">
      <c r="A183" s="1">
        <v>42062</v>
      </c>
      <c r="B183">
        <v>-6.8323999999999996E-2</v>
      </c>
      <c r="C183">
        <v>-5.3983000000000003E-2</v>
      </c>
      <c r="D183">
        <v>-2.5087000000000002E-2</v>
      </c>
      <c r="E183">
        <v>-2.1312000000000001E-2</v>
      </c>
      <c r="F183">
        <v>-1.4879E-2</v>
      </c>
      <c r="G183">
        <v>-2.444E-3</v>
      </c>
      <c r="H183">
        <v>-4.15E-4</v>
      </c>
      <c r="I183">
        <v>-4.9999999999999996E-6</v>
      </c>
      <c r="J183">
        <v>-2.0999999999999999E-5</v>
      </c>
      <c r="K183">
        <v>4.3430000000000005E-3</v>
      </c>
    </row>
    <row r="184" spans="1:11" x14ac:dyDescent="0.2">
      <c r="A184" s="1">
        <v>42094</v>
      </c>
      <c r="B184">
        <v>1.3546000000000001E-2</v>
      </c>
      <c r="C184">
        <v>1.3056E-2</v>
      </c>
      <c r="D184">
        <v>8.1650000000000004E-3</v>
      </c>
      <c r="E184">
        <v>8.9360000000000012E-3</v>
      </c>
      <c r="F184">
        <v>8.8149999999999999E-3</v>
      </c>
      <c r="G184">
        <v>2.385E-3</v>
      </c>
      <c r="H184">
        <v>5.0900000000000001E-4</v>
      </c>
      <c r="I184">
        <v>-2.3E-5</v>
      </c>
      <c r="J184">
        <v>-7.9999999999999996E-6</v>
      </c>
      <c r="K184">
        <v>5.9520000000000007E-3</v>
      </c>
    </row>
    <row r="185" spans="1:11" x14ac:dyDescent="0.2">
      <c r="A185" s="1">
        <v>42124</v>
      </c>
      <c r="B185">
        <v>-3.9438000000000001E-2</v>
      </c>
      <c r="C185">
        <v>-2.5514000000000002E-2</v>
      </c>
      <c r="D185">
        <v>-7.9560000000000013E-3</v>
      </c>
      <c r="E185">
        <v>-3.7490000000000002E-3</v>
      </c>
      <c r="F185">
        <v>-1.2650000000000001E-3</v>
      </c>
      <c r="G185">
        <v>9.6500000000000004E-4</v>
      </c>
      <c r="H185">
        <v>5.9199999999999997E-4</v>
      </c>
      <c r="I185">
        <v>7.9999999999999993E-5</v>
      </c>
      <c r="J185">
        <v>2.8999999999999997E-5</v>
      </c>
      <c r="K185">
        <v>2.0330000000000001E-3</v>
      </c>
    </row>
    <row r="186" spans="1:11" x14ac:dyDescent="0.2">
      <c r="A186" s="1">
        <v>42153</v>
      </c>
      <c r="B186">
        <v>-3.0017000000000002E-2</v>
      </c>
      <c r="C186">
        <v>-2.0597000000000001E-2</v>
      </c>
      <c r="D186">
        <v>-3.8170000000000001E-3</v>
      </c>
      <c r="E186">
        <v>-3.6670000000000001E-3</v>
      </c>
      <c r="F186">
        <v>-9.3400000000000004E-4</v>
      </c>
      <c r="G186">
        <v>5.2099999999999998E-4</v>
      </c>
      <c r="H186">
        <v>2.72E-4</v>
      </c>
      <c r="I186">
        <v>3.7999999999999995E-5</v>
      </c>
      <c r="J186">
        <v>-4.9999999999999996E-6</v>
      </c>
      <c r="K186">
        <v>5.097E-3</v>
      </c>
    </row>
    <row r="187" spans="1:11" x14ac:dyDescent="0.2">
      <c r="A187" s="1">
        <v>42185</v>
      </c>
      <c r="B187">
        <v>-4.4035999999999999E-2</v>
      </c>
      <c r="C187">
        <v>-2.7738000000000002E-2</v>
      </c>
      <c r="D187">
        <v>-1.8369E-2</v>
      </c>
      <c r="E187">
        <v>-1.1348E-2</v>
      </c>
      <c r="F187">
        <v>-5.3550000000000004E-3</v>
      </c>
      <c r="G187">
        <v>3.9400000000000004E-4</v>
      </c>
      <c r="H187">
        <v>-5.3999999999999998E-5</v>
      </c>
      <c r="I187">
        <v>2.8999999999999997E-5</v>
      </c>
      <c r="J187">
        <v>3.9999999999999998E-6</v>
      </c>
      <c r="K187">
        <v>3.503E-3</v>
      </c>
    </row>
    <row r="188" spans="1:11" x14ac:dyDescent="0.2">
      <c r="A188" s="1">
        <v>42216</v>
      </c>
      <c r="B188">
        <v>4.6044000000000002E-2</v>
      </c>
      <c r="C188">
        <v>3.9302000000000004E-2</v>
      </c>
      <c r="D188">
        <v>1.5146E-2</v>
      </c>
      <c r="E188">
        <v>1.3578E-2</v>
      </c>
      <c r="F188">
        <v>7.1640000000000002E-3</v>
      </c>
      <c r="G188">
        <v>7.5000000000000002E-4</v>
      </c>
      <c r="H188">
        <v>1.21E-4</v>
      </c>
      <c r="I188">
        <v>6.0000000000000002E-6</v>
      </c>
      <c r="J188">
        <v>-3.6999999999999998E-5</v>
      </c>
      <c r="K188">
        <v>6.7000000000000002E-5</v>
      </c>
    </row>
    <row r="189" spans="1:11" x14ac:dyDescent="0.2">
      <c r="A189" s="1">
        <v>42247</v>
      </c>
      <c r="B189">
        <v>-1.0114E-2</v>
      </c>
      <c r="C189">
        <v>-7.3400000000000002E-3</v>
      </c>
      <c r="D189">
        <v>-1.1920000000000001E-3</v>
      </c>
      <c r="E189">
        <v>-3.0400000000000002E-4</v>
      </c>
      <c r="F189">
        <v>3.7100000000000002E-4</v>
      </c>
      <c r="G189">
        <v>-9.3000000000000005E-4</v>
      </c>
      <c r="H189">
        <v>6.3999999999999997E-5</v>
      </c>
      <c r="I189">
        <v>1.36E-4</v>
      </c>
      <c r="J189">
        <v>2.6999999999999999E-5</v>
      </c>
      <c r="K189">
        <v>-1.4160000000000002E-3</v>
      </c>
    </row>
    <row r="190" spans="1:11" x14ac:dyDescent="0.2">
      <c r="A190" s="1">
        <v>42277</v>
      </c>
      <c r="B190">
        <v>2.4379000000000001E-2</v>
      </c>
      <c r="C190">
        <v>2.4733999999999999E-2</v>
      </c>
      <c r="D190">
        <v>1.7817E-2</v>
      </c>
      <c r="E190">
        <v>1.5837E-2</v>
      </c>
      <c r="F190">
        <v>1.2089000000000001E-2</v>
      </c>
      <c r="G190">
        <v>3.9960000000000004E-3</v>
      </c>
      <c r="H190">
        <v>1.163E-3</v>
      </c>
      <c r="I190">
        <v>2.1999999999999999E-5</v>
      </c>
      <c r="J190">
        <v>-6.0000000000000002E-6</v>
      </c>
      <c r="K190">
        <v>-1.557E-3</v>
      </c>
    </row>
    <row r="191" spans="1:11" x14ac:dyDescent="0.2">
      <c r="A191" s="1">
        <v>42307</v>
      </c>
      <c r="B191">
        <v>-1.1084999999999999E-2</v>
      </c>
      <c r="C191">
        <v>-7.1610000000000007E-3</v>
      </c>
      <c r="D191">
        <v>-7.5170000000000002E-3</v>
      </c>
      <c r="E191">
        <v>-8.0300000000000007E-3</v>
      </c>
      <c r="F191">
        <v>-5.6259999999999999E-3</v>
      </c>
      <c r="G191">
        <v>-1.0920000000000001E-3</v>
      </c>
      <c r="H191">
        <v>-4.0400000000000001E-4</v>
      </c>
      <c r="I191">
        <v>-1.2899999999999999E-4</v>
      </c>
      <c r="J191">
        <v>-2.6999999999999999E-5</v>
      </c>
      <c r="K191">
        <v>-4.5000000000000004E-4</v>
      </c>
    </row>
    <row r="192" spans="1:11" x14ac:dyDescent="0.2">
      <c r="A192" s="1">
        <v>42338</v>
      </c>
      <c r="B192">
        <v>-9.3280000000000012E-3</v>
      </c>
      <c r="C192">
        <v>-5.6300000000000005E-3</v>
      </c>
      <c r="D192">
        <v>-3.5000000000000001E-3</v>
      </c>
      <c r="E192">
        <v>-4.4120000000000001E-3</v>
      </c>
      <c r="F192">
        <v>-4.4270000000000004E-3</v>
      </c>
      <c r="G192">
        <v>-2.6380000000000002E-3</v>
      </c>
      <c r="H192">
        <v>-1.7490000000000001E-3</v>
      </c>
      <c r="I192">
        <v>8.8999999999999995E-5</v>
      </c>
      <c r="J192">
        <v>1.9999999999999998E-5</v>
      </c>
      <c r="K192">
        <v>-2.111E-3</v>
      </c>
    </row>
    <row r="193" spans="1:11" x14ac:dyDescent="0.2">
      <c r="A193" s="1">
        <v>42369</v>
      </c>
      <c r="B193">
        <v>-6.0000000000000001E-3</v>
      </c>
      <c r="C193">
        <v>-4.5830000000000003E-3</v>
      </c>
      <c r="D193">
        <v>-3.7690000000000002E-3</v>
      </c>
      <c r="E193">
        <v>-4.0070000000000001E-3</v>
      </c>
      <c r="F193">
        <v>-2.052E-3</v>
      </c>
      <c r="G193">
        <v>-9.2100000000000005E-4</v>
      </c>
      <c r="H193">
        <v>3.0000000000000001E-6</v>
      </c>
      <c r="I193">
        <v>2.4900000000000004E-4</v>
      </c>
      <c r="J193">
        <v>1.0300000000000001E-4</v>
      </c>
      <c r="K193">
        <v>-3.4170000000000003E-3</v>
      </c>
    </row>
    <row r="194" spans="1:11" x14ac:dyDescent="0.2">
      <c r="A194" s="1">
        <v>42398</v>
      </c>
      <c r="B194">
        <v>5.7283000000000001E-2</v>
      </c>
      <c r="C194">
        <v>4.9932999999999998E-2</v>
      </c>
      <c r="D194">
        <v>2.9750000000000002E-2</v>
      </c>
      <c r="E194">
        <v>3.0265E-2</v>
      </c>
      <c r="F194">
        <v>2.2615E-2</v>
      </c>
      <c r="G194">
        <v>6.1050000000000002E-3</v>
      </c>
      <c r="H194">
        <v>2.5250000000000003E-3</v>
      </c>
      <c r="I194">
        <v>-5.6999999999999996E-5</v>
      </c>
      <c r="J194">
        <v>3.6999999999999998E-5</v>
      </c>
      <c r="K194">
        <v>1.6530000000000002E-3</v>
      </c>
    </row>
    <row r="195" spans="1:11" x14ac:dyDescent="0.2">
      <c r="A195" s="1">
        <v>42429</v>
      </c>
      <c r="B195">
        <v>2.9668E-2</v>
      </c>
      <c r="C195">
        <v>2.8198000000000001E-2</v>
      </c>
      <c r="D195">
        <v>1.6709000000000002E-2</v>
      </c>
      <c r="E195">
        <v>1.0797000000000001E-2</v>
      </c>
      <c r="F195">
        <v>6.5270000000000007E-3</v>
      </c>
      <c r="G195">
        <v>1.4110000000000001E-3</v>
      </c>
      <c r="H195">
        <v>3.9199999999999999E-4</v>
      </c>
      <c r="I195">
        <v>3.4099999999999999E-4</v>
      </c>
      <c r="J195">
        <v>2.05E-4</v>
      </c>
      <c r="K195">
        <v>8.2300000000000006E-4</v>
      </c>
    </row>
    <row r="196" spans="1:11" x14ac:dyDescent="0.2">
      <c r="A196" s="1">
        <v>42460</v>
      </c>
      <c r="B196">
        <v>2.8990000000000001E-3</v>
      </c>
      <c r="C196">
        <v>1.023E-3</v>
      </c>
      <c r="D196">
        <v>-1.4420000000000001E-3</v>
      </c>
      <c r="E196">
        <v>8.4800000000000001E-4</v>
      </c>
      <c r="F196">
        <v>3.65E-3</v>
      </c>
      <c r="G196">
        <v>1.8650000000000001E-3</v>
      </c>
      <c r="H196">
        <v>1.369E-3</v>
      </c>
      <c r="I196">
        <v>4.7400000000000003E-4</v>
      </c>
      <c r="J196">
        <v>1.9000000000000001E-4</v>
      </c>
      <c r="K196">
        <v>4.3059999999999999E-3</v>
      </c>
    </row>
    <row r="197" spans="1:11" x14ac:dyDescent="0.2">
      <c r="A197" s="1">
        <v>42489</v>
      </c>
      <c r="B197">
        <v>-1.1362000000000001E-2</v>
      </c>
      <c r="C197">
        <v>-8.6690000000000014E-3</v>
      </c>
      <c r="D197">
        <v>-4.4580000000000002E-3</v>
      </c>
      <c r="E197">
        <v>-3.9129999999999998E-3</v>
      </c>
      <c r="F197">
        <v>-3.0280000000000003E-3</v>
      </c>
      <c r="G197">
        <v>-4.26E-4</v>
      </c>
      <c r="H197">
        <v>6.6600000000000003E-4</v>
      </c>
      <c r="I197">
        <v>2.5399999999999999E-4</v>
      </c>
      <c r="J197">
        <v>5.1E-5</v>
      </c>
      <c r="K197">
        <v>4.7410000000000004E-3</v>
      </c>
    </row>
    <row r="198" spans="1:11" x14ac:dyDescent="0.2">
      <c r="A198" s="1">
        <v>42521</v>
      </c>
      <c r="B198">
        <v>7.1880000000000008E-3</v>
      </c>
      <c r="C198">
        <v>7.5190000000000005E-3</v>
      </c>
      <c r="D198">
        <v>1.2160000000000001E-3</v>
      </c>
      <c r="E198">
        <v>-1.4910000000000001E-3</v>
      </c>
      <c r="F198">
        <v>-1.9970000000000001E-3</v>
      </c>
      <c r="G198">
        <v>-1.0430000000000001E-3</v>
      </c>
      <c r="H198">
        <v>-3.9500000000000001E-4</v>
      </c>
      <c r="I198">
        <v>1.55E-4</v>
      </c>
      <c r="J198">
        <v>1.15E-4</v>
      </c>
      <c r="K198">
        <v>4.0460000000000001E-3</v>
      </c>
    </row>
    <row r="199" spans="1:11" x14ac:dyDescent="0.2">
      <c r="A199" s="1">
        <v>42551</v>
      </c>
      <c r="B199">
        <v>8.1476000000000007E-2</v>
      </c>
      <c r="C199">
        <v>5.9325000000000003E-2</v>
      </c>
      <c r="D199">
        <v>3.3345E-2</v>
      </c>
      <c r="E199">
        <v>2.7573E-2</v>
      </c>
      <c r="F199">
        <v>2.0241000000000002E-2</v>
      </c>
      <c r="G199">
        <v>6.5370000000000003E-3</v>
      </c>
      <c r="H199">
        <v>2.9890000000000003E-3</v>
      </c>
      <c r="I199">
        <v>4.37E-4</v>
      </c>
      <c r="J199">
        <v>1.8800000000000002E-4</v>
      </c>
      <c r="K199">
        <v>3.284E-3</v>
      </c>
    </row>
    <row r="200" spans="1:11" x14ac:dyDescent="0.2">
      <c r="A200" s="1">
        <v>42580</v>
      </c>
      <c r="B200">
        <v>2.3539000000000001E-2</v>
      </c>
      <c r="C200">
        <v>1.0644000000000001E-2</v>
      </c>
      <c r="D200">
        <v>3.2690000000000002E-3</v>
      </c>
      <c r="E200">
        <v>8.92E-4</v>
      </c>
      <c r="F200">
        <v>-3.9999999999999998E-6</v>
      </c>
      <c r="G200">
        <v>-3.0400000000000002E-4</v>
      </c>
      <c r="H200">
        <v>-4.3899999999999999E-4</v>
      </c>
      <c r="I200">
        <v>2.61E-4</v>
      </c>
      <c r="J200">
        <v>1.7100000000000001E-4</v>
      </c>
      <c r="K200">
        <v>-1.6180000000000001E-3</v>
      </c>
    </row>
    <row r="201" spans="1:11" x14ac:dyDescent="0.2">
      <c r="A201" s="1">
        <v>42613</v>
      </c>
      <c r="B201">
        <v>-7.5860000000000007E-3</v>
      </c>
      <c r="C201">
        <v>-1.6032999999999999E-2</v>
      </c>
      <c r="D201">
        <v>-7.9400000000000009E-3</v>
      </c>
      <c r="E201">
        <v>-1.0214000000000001E-2</v>
      </c>
      <c r="F201">
        <v>-7.9979999999999999E-3</v>
      </c>
      <c r="G201">
        <v>-2.5920000000000001E-3</v>
      </c>
      <c r="H201">
        <v>-1.1300000000000001E-4</v>
      </c>
      <c r="I201">
        <v>2.6900000000000003E-4</v>
      </c>
      <c r="J201">
        <v>1.65E-4</v>
      </c>
      <c r="K201">
        <v>9.1800000000000009E-4</v>
      </c>
    </row>
    <row r="202" spans="1:11" x14ac:dyDescent="0.2">
      <c r="A202" s="1">
        <v>42643</v>
      </c>
      <c r="B202">
        <v>-1.6209999999999999E-2</v>
      </c>
      <c r="C202">
        <v>-1.1124999999999999E-2</v>
      </c>
      <c r="D202">
        <v>-1.325E-3</v>
      </c>
      <c r="E202">
        <v>4.2090000000000001E-3</v>
      </c>
      <c r="F202">
        <v>3.735E-3</v>
      </c>
      <c r="G202">
        <v>1.2620000000000001E-3</v>
      </c>
      <c r="H202">
        <v>5.8700000000000007E-4</v>
      </c>
      <c r="I202">
        <v>5.62E-4</v>
      </c>
      <c r="J202">
        <v>2.1900000000000001E-4</v>
      </c>
      <c r="K202">
        <v>2.4040000000000003E-3</v>
      </c>
    </row>
    <row r="203" spans="1:11" x14ac:dyDescent="0.2">
      <c r="A203" s="1">
        <v>42674</v>
      </c>
      <c r="B203">
        <v>-5.2764999999999999E-2</v>
      </c>
      <c r="C203">
        <v>-3.3188000000000002E-2</v>
      </c>
      <c r="D203">
        <v>-1.5542E-2</v>
      </c>
      <c r="E203">
        <v>-1.0957E-2</v>
      </c>
      <c r="F203">
        <v>-6.2220000000000001E-3</v>
      </c>
      <c r="G203">
        <v>-4.28E-4</v>
      </c>
      <c r="H203">
        <v>5.53E-4</v>
      </c>
      <c r="I203">
        <v>2.8200000000000002E-4</v>
      </c>
      <c r="J203">
        <v>1.6800000000000002E-4</v>
      </c>
      <c r="K203">
        <v>1.2470000000000001E-3</v>
      </c>
    </row>
    <row r="204" spans="1:11" x14ac:dyDescent="0.2">
      <c r="A204" s="1">
        <v>42704</v>
      </c>
      <c r="B204">
        <v>-9.2558000000000001E-2</v>
      </c>
      <c r="C204">
        <v>-6.4666000000000001E-2</v>
      </c>
      <c r="D204">
        <v>-4.0877999999999998E-2</v>
      </c>
      <c r="E204">
        <v>-3.5318000000000002E-2</v>
      </c>
      <c r="F204">
        <v>-2.3927E-2</v>
      </c>
      <c r="G204">
        <v>-3.8130000000000004E-3</v>
      </c>
      <c r="H204">
        <v>-1.0200000000000001E-3</v>
      </c>
      <c r="I204">
        <v>1.2300000000000001E-4</v>
      </c>
      <c r="J204">
        <v>1.36E-4</v>
      </c>
      <c r="K204">
        <v>-1.5550000000000002E-3</v>
      </c>
    </row>
    <row r="205" spans="1:11" x14ac:dyDescent="0.2">
      <c r="A205" s="1">
        <v>42734</v>
      </c>
      <c r="B205">
        <v>-3.5850000000000001E-3</v>
      </c>
      <c r="C205">
        <v>-2.8630000000000001E-3</v>
      </c>
      <c r="D205">
        <v>-3.5370000000000002E-3</v>
      </c>
      <c r="E205">
        <v>-9.0900000000000009E-4</v>
      </c>
      <c r="F205">
        <v>8.9999999999999992E-5</v>
      </c>
      <c r="G205">
        <v>-5.1400000000000003E-4</v>
      </c>
      <c r="H205">
        <v>5.4500000000000002E-4</v>
      </c>
      <c r="I205">
        <v>4.37E-4</v>
      </c>
      <c r="J205">
        <v>2.3900000000000001E-4</v>
      </c>
      <c r="K205">
        <v>3.2700000000000003E-4</v>
      </c>
    </row>
    <row r="206" spans="1:11" x14ac:dyDescent="0.2">
      <c r="A206" s="1">
        <v>42766</v>
      </c>
      <c r="B206">
        <v>3.4380000000000001E-3</v>
      </c>
      <c r="C206">
        <v>1.9490000000000002E-3</v>
      </c>
      <c r="D206">
        <v>2.1670000000000001E-3</v>
      </c>
      <c r="E206">
        <v>2.3680000000000003E-3</v>
      </c>
      <c r="F206">
        <v>2.885E-3</v>
      </c>
      <c r="G206">
        <v>8.4800000000000001E-4</v>
      </c>
      <c r="H206">
        <v>1.536E-3</v>
      </c>
      <c r="I206">
        <v>4.7600000000000002E-4</v>
      </c>
      <c r="J206">
        <v>3.5800000000000003E-4</v>
      </c>
      <c r="K206">
        <v>5.8280000000000007E-3</v>
      </c>
    </row>
    <row r="207" spans="1:11" x14ac:dyDescent="0.2">
      <c r="A207" s="1">
        <v>42794</v>
      </c>
      <c r="B207">
        <v>1.47E-2</v>
      </c>
      <c r="C207">
        <v>1.2049000000000001E-2</v>
      </c>
      <c r="D207">
        <v>7.4230000000000008E-3</v>
      </c>
      <c r="E207">
        <v>3.6610000000000002E-3</v>
      </c>
      <c r="F207">
        <v>8.0900000000000004E-4</v>
      </c>
      <c r="G207">
        <v>6.2799999999999998E-4</v>
      </c>
      <c r="H207">
        <v>5.4999999999999995E-5</v>
      </c>
      <c r="I207">
        <v>3.5199999999999999E-4</v>
      </c>
      <c r="J207">
        <v>3.6400000000000001E-4</v>
      </c>
      <c r="K207">
        <v>3.1460000000000004E-3</v>
      </c>
    </row>
    <row r="208" spans="1:11" x14ac:dyDescent="0.2">
      <c r="A208" s="1">
        <v>42825</v>
      </c>
      <c r="B208">
        <v>-7.8800000000000007E-4</v>
      </c>
      <c r="C208">
        <v>4.2100000000000004E-4</v>
      </c>
      <c r="D208">
        <v>2.4239999999999999E-3</v>
      </c>
      <c r="E208">
        <v>3.1380000000000002E-3</v>
      </c>
      <c r="F208">
        <v>3.2200000000000002E-3</v>
      </c>
      <c r="G208">
        <v>1.4420000000000001E-3</v>
      </c>
      <c r="H208">
        <v>2.5999999999999998E-5</v>
      </c>
      <c r="I208">
        <v>3.8400000000000001E-4</v>
      </c>
      <c r="J208">
        <v>3.5300000000000002E-4</v>
      </c>
      <c r="K208">
        <v>8.1300000000000003E-4</v>
      </c>
    </row>
    <row r="209" spans="1:11" x14ac:dyDescent="0.2">
      <c r="A209" s="1">
        <v>42853</v>
      </c>
      <c r="B209">
        <v>1.3940000000000001E-2</v>
      </c>
      <c r="C209">
        <v>1.3358E-2</v>
      </c>
      <c r="D209">
        <v>1.1063E-2</v>
      </c>
      <c r="E209">
        <v>9.5589999999999998E-3</v>
      </c>
      <c r="F209">
        <v>7.2310000000000004E-3</v>
      </c>
      <c r="G209">
        <v>1.317E-3</v>
      </c>
      <c r="H209">
        <v>4.9399999999999997E-4</v>
      </c>
      <c r="I209">
        <v>6.1700000000000004E-4</v>
      </c>
      <c r="J209">
        <v>5.3700000000000004E-4</v>
      </c>
      <c r="K209">
        <v>2.9660000000000003E-3</v>
      </c>
    </row>
    <row r="210" spans="1:11" x14ac:dyDescent="0.2">
      <c r="A210" s="1">
        <v>42886</v>
      </c>
      <c r="B210">
        <v>1.9849000000000002E-2</v>
      </c>
      <c r="C210">
        <v>1.4953000000000001E-2</v>
      </c>
      <c r="D210">
        <v>7.8560000000000001E-3</v>
      </c>
      <c r="E210">
        <v>7.2990000000000008E-3</v>
      </c>
      <c r="F210">
        <v>4.7010000000000003E-3</v>
      </c>
      <c r="G210">
        <v>1.096E-3</v>
      </c>
      <c r="H210">
        <v>7.3000000000000007E-4</v>
      </c>
      <c r="I210">
        <v>5.8799999999999998E-4</v>
      </c>
      <c r="J210">
        <v>6.1400000000000007E-4</v>
      </c>
      <c r="K210">
        <v>8.5500000000000007E-4</v>
      </c>
    </row>
    <row r="211" spans="1:11" x14ac:dyDescent="0.2">
      <c r="A211" s="1">
        <v>42916</v>
      </c>
      <c r="B211">
        <v>1.1944E-2</v>
      </c>
      <c r="C211">
        <v>6.5999999999999992E-5</v>
      </c>
      <c r="D211">
        <v>-1.307E-3</v>
      </c>
      <c r="E211">
        <v>-5.7109999999999999E-3</v>
      </c>
      <c r="F211">
        <v>-3.8450000000000003E-3</v>
      </c>
      <c r="G211">
        <v>-7.5200000000000006E-4</v>
      </c>
      <c r="H211">
        <v>3.2000000000000003E-4</v>
      </c>
      <c r="I211">
        <v>8.7300000000000008E-4</v>
      </c>
      <c r="J211">
        <v>6.1700000000000004E-4</v>
      </c>
      <c r="K211">
        <v>9.0700000000000004E-4</v>
      </c>
    </row>
    <row r="212" spans="1:11" x14ac:dyDescent="0.2">
      <c r="A212" s="1">
        <v>42947</v>
      </c>
      <c r="B212">
        <v>-1.4681E-2</v>
      </c>
      <c r="C212">
        <v>-4.4220000000000006E-3</v>
      </c>
      <c r="D212">
        <v>-6.9999999999999999E-6</v>
      </c>
      <c r="E212">
        <v>4.0460000000000001E-3</v>
      </c>
      <c r="F212">
        <v>4.7780000000000001E-3</v>
      </c>
      <c r="G212">
        <v>1.9940000000000001E-3</v>
      </c>
      <c r="H212">
        <v>1.66E-3</v>
      </c>
      <c r="I212">
        <v>9.1700000000000006E-4</v>
      </c>
      <c r="J212">
        <v>7.2199999999999999E-4</v>
      </c>
      <c r="K212">
        <v>-6.9000000000000008E-4</v>
      </c>
    </row>
    <row r="213" spans="1:11" x14ac:dyDescent="0.2">
      <c r="A213" s="1">
        <v>42978</v>
      </c>
      <c r="B213">
        <v>3.8102999999999998E-2</v>
      </c>
      <c r="C213">
        <v>2.9059000000000001E-2</v>
      </c>
      <c r="D213">
        <v>1.7122999999999999E-2</v>
      </c>
      <c r="E213">
        <v>1.2751E-2</v>
      </c>
      <c r="F213">
        <v>7.7600000000000004E-3</v>
      </c>
      <c r="G213">
        <v>1.6220000000000002E-3</v>
      </c>
      <c r="H213">
        <v>1.338E-3</v>
      </c>
      <c r="I213">
        <v>9.7800000000000014E-4</v>
      </c>
      <c r="J213">
        <v>8.2700000000000004E-4</v>
      </c>
      <c r="K213">
        <v>2.9940000000000001E-3</v>
      </c>
    </row>
    <row r="214" spans="1:11" x14ac:dyDescent="0.2">
      <c r="A214" s="1">
        <v>43007</v>
      </c>
      <c r="B214">
        <v>-2.4410000000000001E-2</v>
      </c>
      <c r="C214">
        <v>-2.0094000000000001E-2</v>
      </c>
      <c r="D214">
        <v>-1.7151E-2</v>
      </c>
      <c r="E214">
        <v>-1.2461E-2</v>
      </c>
      <c r="F214">
        <v>-8.855E-3</v>
      </c>
      <c r="G214">
        <v>-1.8650000000000001E-3</v>
      </c>
      <c r="H214">
        <v>-1.21E-4</v>
      </c>
      <c r="I214">
        <v>8.0199999999999998E-4</v>
      </c>
      <c r="J214">
        <v>9.4400000000000007E-4</v>
      </c>
      <c r="K214">
        <v>5.2950000000000002E-3</v>
      </c>
    </row>
    <row r="215" spans="1:11" x14ac:dyDescent="0.2">
      <c r="A215" s="1">
        <v>43039</v>
      </c>
      <c r="B215">
        <v>-1.464E-3</v>
      </c>
      <c r="C215">
        <v>-8.1500000000000008E-4</v>
      </c>
      <c r="D215">
        <v>-1.1330000000000001E-3</v>
      </c>
      <c r="E215">
        <v>-1.771E-3</v>
      </c>
      <c r="F215">
        <v>-1.9560000000000003E-3</v>
      </c>
      <c r="G215">
        <v>-7.8800000000000007E-4</v>
      </c>
      <c r="H215">
        <v>2.3000000000000001E-4</v>
      </c>
      <c r="I215">
        <v>9.3900000000000006E-4</v>
      </c>
      <c r="J215">
        <v>8.4000000000000003E-4</v>
      </c>
      <c r="K215">
        <v>-6.3200000000000007E-4</v>
      </c>
    </row>
    <row r="216" spans="1:11" x14ac:dyDescent="0.2">
      <c r="A216" s="1">
        <v>43069</v>
      </c>
      <c r="B216">
        <v>1.2175E-2</v>
      </c>
      <c r="C216">
        <v>4.8809999999999999E-3</v>
      </c>
      <c r="D216">
        <v>-2.6070000000000004E-3</v>
      </c>
      <c r="E216">
        <v>-2.575E-3</v>
      </c>
      <c r="F216">
        <v>-3.261E-3</v>
      </c>
      <c r="G216">
        <v>-1.7730000000000001E-3</v>
      </c>
      <c r="H216">
        <v>-6.6700000000000006E-4</v>
      </c>
      <c r="I216">
        <v>9.5100000000000002E-4</v>
      </c>
      <c r="J216">
        <v>8.2600000000000002E-4</v>
      </c>
      <c r="K216">
        <v>2.3999999999999997E-5</v>
      </c>
    </row>
    <row r="217" spans="1:11" x14ac:dyDescent="0.2">
      <c r="A217" s="1">
        <v>43098</v>
      </c>
      <c r="B217">
        <v>2.0232E-2</v>
      </c>
      <c r="C217">
        <v>1.1228999999999999E-2</v>
      </c>
      <c r="D217">
        <v>2.222E-3</v>
      </c>
      <c r="E217">
        <v>2.9E-4</v>
      </c>
      <c r="F217">
        <v>-8.9700000000000001E-4</v>
      </c>
      <c r="G217">
        <v>-2.03E-4</v>
      </c>
      <c r="H217">
        <v>1.46E-4</v>
      </c>
      <c r="I217">
        <v>9.4200000000000002E-4</v>
      </c>
      <c r="J217">
        <v>8.8400000000000002E-4</v>
      </c>
      <c r="K217">
        <v>-5.8799999999999998E-4</v>
      </c>
    </row>
    <row r="218" spans="1:11" x14ac:dyDescent="0.2">
      <c r="A218" s="1">
        <v>43131</v>
      </c>
      <c r="B218">
        <v>-3.6048999999999998E-2</v>
      </c>
      <c r="C218">
        <v>-3.0502000000000001E-2</v>
      </c>
      <c r="D218">
        <v>-2.3598000000000001E-2</v>
      </c>
      <c r="E218">
        <v>-1.8556E-2</v>
      </c>
      <c r="F218">
        <v>-1.2369E-2</v>
      </c>
      <c r="G218">
        <v>-3.274E-3</v>
      </c>
      <c r="H218">
        <v>4.9600000000000002E-4</v>
      </c>
      <c r="I218">
        <v>1.3460000000000002E-3</v>
      </c>
      <c r="J218">
        <v>1.121E-3</v>
      </c>
      <c r="K218">
        <v>5.4480000000000006E-3</v>
      </c>
    </row>
    <row r="219" spans="1:11" x14ac:dyDescent="0.2">
      <c r="A219" s="1">
        <v>43159</v>
      </c>
      <c r="B219">
        <v>-3.5290000000000002E-2</v>
      </c>
      <c r="C219">
        <v>-2.2645999999999999E-2</v>
      </c>
      <c r="D219">
        <v>-1.3002E-2</v>
      </c>
      <c r="E219">
        <v>-7.2200000000000007E-3</v>
      </c>
      <c r="F219">
        <v>-3.601E-3</v>
      </c>
      <c r="G219">
        <v>-3.4600000000000001E-4</v>
      </c>
      <c r="H219">
        <v>3.6099999999999999E-4</v>
      </c>
      <c r="I219">
        <v>9.6900000000000003E-4</v>
      </c>
      <c r="J219">
        <v>1.0730000000000002E-3</v>
      </c>
      <c r="K219">
        <v>4.535E-3</v>
      </c>
    </row>
    <row r="220" spans="1:11" x14ac:dyDescent="0.2">
      <c r="A220" s="1">
        <v>43188</v>
      </c>
      <c r="B220">
        <v>3.2371000000000004E-2</v>
      </c>
      <c r="C220">
        <v>2.4809000000000001E-2</v>
      </c>
      <c r="D220">
        <v>1.2783000000000001E-2</v>
      </c>
      <c r="E220">
        <v>9.3820000000000014E-3</v>
      </c>
      <c r="F220">
        <v>6.2140000000000008E-3</v>
      </c>
      <c r="G220">
        <v>1.7430000000000002E-3</v>
      </c>
      <c r="H220">
        <v>1.5660000000000001E-3</v>
      </c>
      <c r="I220">
        <v>1.145E-3</v>
      </c>
      <c r="J220">
        <v>2.61E-4</v>
      </c>
      <c r="K220">
        <v>2.261E-3</v>
      </c>
    </row>
    <row r="221" spans="1:11" x14ac:dyDescent="0.2">
      <c r="A221" s="1">
        <v>43220</v>
      </c>
      <c r="B221">
        <v>-2.6111000000000002E-2</v>
      </c>
      <c r="C221">
        <v>-2.0705000000000001E-2</v>
      </c>
      <c r="D221">
        <v>-1.5476E-2</v>
      </c>
      <c r="E221">
        <v>-1.2063000000000001E-2</v>
      </c>
      <c r="F221">
        <v>-8.7430000000000008E-3</v>
      </c>
      <c r="G221">
        <v>-1.7770000000000002E-3</v>
      </c>
      <c r="H221">
        <v>7.3300000000000004E-4</v>
      </c>
      <c r="I221">
        <v>1.4790000000000001E-3</v>
      </c>
      <c r="J221">
        <v>1.433E-3</v>
      </c>
      <c r="K221">
        <v>3.9750000000000002E-3</v>
      </c>
    </row>
    <row r="222" spans="1:11" x14ac:dyDescent="0.2">
      <c r="A222" s="1">
        <v>43251</v>
      </c>
      <c r="B222">
        <v>2.2024999999999999E-2</v>
      </c>
      <c r="C222">
        <v>1.503E-2</v>
      </c>
      <c r="D222">
        <v>9.5919999999999998E-3</v>
      </c>
      <c r="E222">
        <v>9.2910000000000006E-3</v>
      </c>
      <c r="F222">
        <v>7.5780000000000005E-3</v>
      </c>
      <c r="G222">
        <v>3.6560000000000004E-3</v>
      </c>
      <c r="H222">
        <v>2.1710000000000002E-3</v>
      </c>
      <c r="I222">
        <v>1.4910000000000001E-3</v>
      </c>
      <c r="J222">
        <v>1.4010000000000001E-3</v>
      </c>
      <c r="K222">
        <v>4.1590000000000004E-3</v>
      </c>
    </row>
    <row r="223" spans="1:11" x14ac:dyDescent="0.2">
      <c r="A223" s="1">
        <v>43280</v>
      </c>
      <c r="B223">
        <v>9.2230000000000003E-3</v>
      </c>
      <c r="C223">
        <v>4.947E-3</v>
      </c>
      <c r="D223">
        <v>2.2600000000000003E-3</v>
      </c>
      <c r="E223">
        <v>1.2570000000000001E-3</v>
      </c>
      <c r="F223">
        <v>5.8900000000000001E-4</v>
      </c>
      <c r="G223">
        <v>-2.0999999999999999E-5</v>
      </c>
      <c r="H223">
        <v>1.4980000000000002E-3</v>
      </c>
      <c r="I223">
        <v>1.5220000000000001E-3</v>
      </c>
      <c r="J223">
        <v>1.4080000000000002E-3</v>
      </c>
      <c r="K223">
        <v>1.5940000000000001E-3</v>
      </c>
    </row>
    <row r="224" spans="1:11" x14ac:dyDescent="0.2">
      <c r="A224" s="1">
        <v>43312</v>
      </c>
      <c r="B224">
        <v>-1.5182000000000001E-2</v>
      </c>
      <c r="C224">
        <v>-1.2114E-2</v>
      </c>
      <c r="D224">
        <v>-5.1080000000000006E-3</v>
      </c>
      <c r="E224">
        <v>-3.8780000000000004E-3</v>
      </c>
      <c r="F224">
        <v>-2.33E-3</v>
      </c>
      <c r="G224">
        <v>-1.8599999999999999E-4</v>
      </c>
      <c r="H224">
        <v>1.438E-3</v>
      </c>
      <c r="I224">
        <v>1.691E-3</v>
      </c>
      <c r="J224">
        <v>1.5580000000000001E-3</v>
      </c>
      <c r="K224">
        <v>6.7000000000000002E-5</v>
      </c>
    </row>
    <row r="225" spans="1:11" x14ac:dyDescent="0.2">
      <c r="A225" s="1">
        <v>43343</v>
      </c>
      <c r="B225">
        <v>1.5453E-2</v>
      </c>
      <c r="C225">
        <v>1.4525E-2</v>
      </c>
      <c r="D225">
        <v>1.0064E-2</v>
      </c>
      <c r="E225">
        <v>9.1009999999999997E-3</v>
      </c>
      <c r="F225">
        <v>7.6650000000000008E-3</v>
      </c>
      <c r="G225">
        <v>3.6750000000000003E-3</v>
      </c>
      <c r="H225">
        <v>2.4300000000000003E-3</v>
      </c>
      <c r="I225">
        <v>1.6750000000000001E-3</v>
      </c>
      <c r="J225">
        <v>1.575E-3</v>
      </c>
      <c r="K225">
        <v>5.5600000000000007E-4</v>
      </c>
    </row>
    <row r="226" spans="1:11" x14ac:dyDescent="0.2">
      <c r="A226" s="1">
        <v>43371</v>
      </c>
      <c r="B226">
        <v>-3.3120999999999998E-2</v>
      </c>
      <c r="C226">
        <v>-2.4947E-2</v>
      </c>
      <c r="D226">
        <v>-1.4807000000000001E-2</v>
      </c>
      <c r="E226">
        <v>-1.0571000000000001E-2</v>
      </c>
      <c r="F226">
        <v>-7.5180000000000004E-3</v>
      </c>
      <c r="G226">
        <v>-1.7590000000000001E-3</v>
      </c>
      <c r="H226">
        <v>4.0099999999999999E-4</v>
      </c>
      <c r="I226">
        <v>1.5240000000000002E-3</v>
      </c>
      <c r="J226">
        <v>1.49E-3</v>
      </c>
      <c r="K226">
        <v>1.1620000000000001E-3</v>
      </c>
    </row>
    <row r="227" spans="1:11" x14ac:dyDescent="0.2">
      <c r="A227" s="1">
        <v>43404</v>
      </c>
      <c r="B227">
        <v>-3.2212999999999999E-2</v>
      </c>
      <c r="C227">
        <v>-1.9438E-2</v>
      </c>
      <c r="D227">
        <v>-4.3470000000000002E-3</v>
      </c>
      <c r="E227">
        <v>1.4900000000000002E-4</v>
      </c>
      <c r="F227">
        <v>1.4610000000000001E-3</v>
      </c>
      <c r="G227">
        <v>1.83E-3</v>
      </c>
      <c r="H227">
        <v>2.1580000000000002E-3</v>
      </c>
      <c r="I227">
        <v>1.9310000000000002E-3</v>
      </c>
      <c r="J227">
        <v>1.8900000000000002E-3</v>
      </c>
      <c r="K227">
        <v>1.7670000000000001E-3</v>
      </c>
    </row>
    <row r="228" spans="1:11" x14ac:dyDescent="0.2">
      <c r="A228" s="1">
        <v>43434</v>
      </c>
      <c r="B228">
        <v>2.1458000000000001E-2</v>
      </c>
      <c r="C228">
        <v>2.1684999999999999E-2</v>
      </c>
      <c r="D228">
        <v>1.4917E-2</v>
      </c>
      <c r="E228">
        <v>1.2931E-2</v>
      </c>
      <c r="F228">
        <v>9.2180000000000005E-3</v>
      </c>
      <c r="G228">
        <v>4.0990000000000002E-3</v>
      </c>
      <c r="H228">
        <v>2.183E-3</v>
      </c>
      <c r="I228">
        <v>1.9000000000000002E-3</v>
      </c>
      <c r="J228">
        <v>1.7950000000000002E-3</v>
      </c>
      <c r="K228">
        <v>-3.3490000000000004E-3</v>
      </c>
    </row>
    <row r="229" spans="1:11" x14ac:dyDescent="0.2">
      <c r="A229" s="1">
        <v>43465</v>
      </c>
      <c r="B229">
        <v>5.6610000000000001E-2</v>
      </c>
      <c r="C229">
        <v>4.7373999999999999E-2</v>
      </c>
      <c r="D229">
        <v>2.8561E-2</v>
      </c>
      <c r="E229">
        <v>2.1850999999999999E-2</v>
      </c>
      <c r="F229">
        <v>1.7451999999999999E-2</v>
      </c>
      <c r="G229">
        <v>8.3160000000000005E-3</v>
      </c>
      <c r="H229">
        <v>3.5380000000000003E-3</v>
      </c>
      <c r="I229">
        <v>1.9350000000000001E-3</v>
      </c>
      <c r="J229">
        <v>1.9300000000000001E-3</v>
      </c>
      <c r="K229">
        <v>-3.1940000000000002E-3</v>
      </c>
    </row>
    <row r="230" spans="1:11" x14ac:dyDescent="0.2">
      <c r="A230" s="1">
        <v>43496</v>
      </c>
      <c r="B230">
        <v>6.2510000000000005E-3</v>
      </c>
      <c r="C230">
        <v>7.6640000000000007E-3</v>
      </c>
      <c r="D230">
        <v>7.1380000000000002E-3</v>
      </c>
      <c r="E230">
        <v>7.0070000000000002E-3</v>
      </c>
      <c r="F230">
        <v>5.5080000000000007E-3</v>
      </c>
      <c r="G230">
        <v>2.568E-3</v>
      </c>
      <c r="H230">
        <v>3.0470000000000002E-3</v>
      </c>
      <c r="I230">
        <v>1.923E-3</v>
      </c>
      <c r="J230">
        <v>1.92E-3</v>
      </c>
      <c r="K230">
        <v>1.9070000000000001E-3</v>
      </c>
    </row>
    <row r="231" spans="1:11" x14ac:dyDescent="0.2">
      <c r="A231" s="1">
        <v>43524</v>
      </c>
      <c r="B231">
        <v>-1.2107E-2</v>
      </c>
      <c r="C231">
        <v>-1.0048E-2</v>
      </c>
      <c r="D231">
        <v>-4.2720000000000006E-3</v>
      </c>
      <c r="E231">
        <v>-4.0379999999999999E-3</v>
      </c>
      <c r="F231">
        <v>-2.0410000000000003E-3</v>
      </c>
      <c r="G231">
        <v>6.0999999999999997E-4</v>
      </c>
      <c r="H231">
        <v>1.884E-3</v>
      </c>
      <c r="I231">
        <v>1.74E-3</v>
      </c>
      <c r="J231">
        <v>1.8090000000000001E-3</v>
      </c>
      <c r="K231">
        <v>4.2269999999999999E-3</v>
      </c>
    </row>
    <row r="232" spans="1:11" x14ac:dyDescent="0.2">
      <c r="A232" s="1">
        <v>43553</v>
      </c>
      <c r="B232">
        <v>5.5952000000000002E-2</v>
      </c>
      <c r="C232">
        <v>4.6442000000000004E-2</v>
      </c>
      <c r="D232">
        <v>2.9419000000000001E-2</v>
      </c>
      <c r="E232">
        <v>2.1431000000000002E-2</v>
      </c>
      <c r="F232">
        <v>1.6241000000000002E-2</v>
      </c>
      <c r="G232">
        <v>6.9610000000000002E-3</v>
      </c>
      <c r="H232">
        <v>3.3730000000000001E-3</v>
      </c>
      <c r="I232">
        <v>1.9910000000000001E-3</v>
      </c>
      <c r="J232">
        <v>1.9350000000000001E-3</v>
      </c>
      <c r="K232">
        <v>5.6410000000000002E-3</v>
      </c>
    </row>
    <row r="233" spans="1:11" x14ac:dyDescent="0.2">
      <c r="A233" s="1">
        <v>43585</v>
      </c>
      <c r="B233">
        <v>-1.975E-2</v>
      </c>
      <c r="C233">
        <v>-1.4164E-2</v>
      </c>
      <c r="D233">
        <v>-6.2140000000000008E-3</v>
      </c>
      <c r="E233">
        <v>-2.898E-3</v>
      </c>
      <c r="F233">
        <v>-1.07E-4</v>
      </c>
      <c r="G233">
        <v>1.933E-3</v>
      </c>
      <c r="H233">
        <v>2.1570000000000001E-3</v>
      </c>
      <c r="I233">
        <v>2.0440000000000002E-3</v>
      </c>
      <c r="J233">
        <v>2.1250000000000002E-3</v>
      </c>
      <c r="K233">
        <v>5.2950000000000002E-3</v>
      </c>
    </row>
    <row r="234" spans="1:11" x14ac:dyDescent="0.2">
      <c r="A234" s="1">
        <v>43616</v>
      </c>
      <c r="B234">
        <v>7.6580999999999996E-2</v>
      </c>
      <c r="C234">
        <v>5.4629000000000004E-2</v>
      </c>
      <c r="D234">
        <v>3.1854E-2</v>
      </c>
      <c r="E234">
        <v>2.6898999999999999E-2</v>
      </c>
      <c r="F234">
        <v>1.9902E-2</v>
      </c>
      <c r="G234">
        <v>8.1640000000000011E-3</v>
      </c>
      <c r="H234">
        <v>3.4560000000000003E-3</v>
      </c>
      <c r="I234">
        <v>2.196E-3</v>
      </c>
      <c r="J234">
        <v>1.983E-3</v>
      </c>
      <c r="K234">
        <v>2.1290000000000002E-3</v>
      </c>
    </row>
    <row r="235" spans="1:11" x14ac:dyDescent="0.2">
      <c r="A235" s="1">
        <v>43644</v>
      </c>
      <c r="B235">
        <v>1.0051000000000001E-2</v>
      </c>
      <c r="C235">
        <v>1.2248999999999999E-2</v>
      </c>
      <c r="D235">
        <v>1.2073E-2</v>
      </c>
      <c r="E235">
        <v>1.0692999999999999E-2</v>
      </c>
      <c r="F235">
        <v>8.8669999999999999E-3</v>
      </c>
      <c r="G235">
        <v>4.3990000000000001E-3</v>
      </c>
      <c r="H235">
        <v>3.7950000000000002E-3</v>
      </c>
      <c r="I235">
        <v>2.163E-3</v>
      </c>
      <c r="J235">
        <v>1.853E-3</v>
      </c>
      <c r="K235">
        <v>1.9900000000000001E-4</v>
      </c>
    </row>
    <row r="236" spans="1:11" x14ac:dyDescent="0.2">
      <c r="A236" s="1">
        <v>43677</v>
      </c>
      <c r="B236">
        <v>3.1960000000000001E-3</v>
      </c>
      <c r="C236">
        <v>3.457E-3</v>
      </c>
      <c r="D236">
        <v>3.4350000000000001E-3</v>
      </c>
      <c r="E236">
        <v>7.9700000000000007E-4</v>
      </c>
      <c r="F236">
        <v>-1.1590000000000001E-3</v>
      </c>
      <c r="G236">
        <v>-6.7100000000000005E-4</v>
      </c>
      <c r="H236">
        <v>6.6200000000000005E-4</v>
      </c>
      <c r="I236">
        <v>2.0020000000000003E-3</v>
      </c>
      <c r="J236">
        <v>1.7830000000000001E-3</v>
      </c>
      <c r="K236">
        <v>1.6710000000000002E-3</v>
      </c>
    </row>
    <row r="237" spans="1:11" x14ac:dyDescent="0.2">
      <c r="A237" s="1">
        <v>43707</v>
      </c>
      <c r="B237">
        <v>0.125914</v>
      </c>
      <c r="C237">
        <v>7.9334000000000002E-2</v>
      </c>
      <c r="D237">
        <v>4.0343999999999998E-2</v>
      </c>
      <c r="E237">
        <v>2.7963000000000002E-2</v>
      </c>
      <c r="F237">
        <v>2.2261E-2</v>
      </c>
      <c r="G237">
        <v>8.3359999999999997E-3</v>
      </c>
      <c r="H237">
        <v>3.7160000000000001E-3</v>
      </c>
      <c r="I237">
        <v>1.7620000000000001E-3</v>
      </c>
      <c r="J237">
        <v>1.9080000000000002E-3</v>
      </c>
      <c r="K237">
        <v>-5.1E-5</v>
      </c>
    </row>
    <row r="238" spans="1:11" x14ac:dyDescent="0.2">
      <c r="A238" s="1">
        <v>43738</v>
      </c>
      <c r="B238">
        <v>-3.048E-2</v>
      </c>
      <c r="C238">
        <v>-1.9738000000000002E-2</v>
      </c>
      <c r="D238">
        <v>-1.3852E-2</v>
      </c>
      <c r="E238">
        <v>-9.1479999999999999E-3</v>
      </c>
      <c r="F238">
        <v>-5.9110000000000005E-3</v>
      </c>
      <c r="G238">
        <v>-1.297E-3</v>
      </c>
      <c r="H238">
        <v>9.41E-4</v>
      </c>
      <c r="I238">
        <v>1.9680000000000001E-3</v>
      </c>
      <c r="J238">
        <v>1.7870000000000002E-3</v>
      </c>
      <c r="K238">
        <v>7.8300000000000006E-4</v>
      </c>
    </row>
    <row r="239" spans="1:11" x14ac:dyDescent="0.2">
      <c r="A239" s="1">
        <v>43769</v>
      </c>
      <c r="B239">
        <v>-1.2836E-2</v>
      </c>
      <c r="C239">
        <v>-8.8409999999999999E-3</v>
      </c>
      <c r="D239">
        <v>-7.4200000000000004E-4</v>
      </c>
      <c r="E239">
        <v>2.0080000000000002E-3</v>
      </c>
      <c r="F239">
        <v>2.643E-3</v>
      </c>
      <c r="G239">
        <v>3.274E-3</v>
      </c>
      <c r="H239">
        <v>3.2830000000000003E-3</v>
      </c>
      <c r="I239">
        <v>1.9610000000000001E-3</v>
      </c>
      <c r="J239">
        <v>1.531E-3</v>
      </c>
      <c r="K239">
        <v>2.2860000000000003E-3</v>
      </c>
    </row>
    <row r="240" spans="1:11" x14ac:dyDescent="0.2">
      <c r="A240" s="1">
        <v>43798</v>
      </c>
      <c r="B240">
        <v>-4.7730000000000003E-3</v>
      </c>
      <c r="C240">
        <v>-7.4680000000000007E-3</v>
      </c>
      <c r="D240">
        <v>-7.4100000000000008E-3</v>
      </c>
      <c r="E240">
        <v>-6.3900000000000007E-3</v>
      </c>
      <c r="F240">
        <v>-3.7250000000000004E-3</v>
      </c>
      <c r="G240">
        <v>-1.0380000000000001E-3</v>
      </c>
      <c r="H240">
        <v>4.1100000000000002E-4</v>
      </c>
      <c r="I240">
        <v>1.1300000000000001E-3</v>
      </c>
      <c r="J240">
        <v>1.1970000000000001E-3</v>
      </c>
      <c r="K240">
        <v>-5.3600000000000002E-4</v>
      </c>
    </row>
    <row r="241" spans="1:11" x14ac:dyDescent="0.2">
      <c r="A241" s="1">
        <v>43830</v>
      </c>
      <c r="B241">
        <v>-3.6466999999999999E-2</v>
      </c>
      <c r="C241">
        <v>-2.315E-2</v>
      </c>
      <c r="D241">
        <v>-1.1292E-2</v>
      </c>
      <c r="E241">
        <v>-5.1420000000000007E-3</v>
      </c>
      <c r="F241">
        <v>-8.2400000000000008E-4</v>
      </c>
      <c r="G241">
        <v>2.274E-3</v>
      </c>
      <c r="H241">
        <v>1.75E-3</v>
      </c>
      <c r="I241">
        <v>1.4980000000000002E-3</v>
      </c>
      <c r="J241">
        <v>1.4310000000000002E-3</v>
      </c>
      <c r="K241">
        <v>-9.1E-4</v>
      </c>
    </row>
    <row r="242" spans="1:11" x14ac:dyDescent="0.2">
      <c r="A242" s="1">
        <v>43861</v>
      </c>
      <c r="B242">
        <v>8.9398000000000005E-2</v>
      </c>
      <c r="C242">
        <v>6.4401E-2</v>
      </c>
      <c r="D242">
        <v>3.9182000000000002E-2</v>
      </c>
      <c r="E242">
        <v>2.8826000000000001E-2</v>
      </c>
      <c r="F242">
        <v>1.9282000000000001E-2</v>
      </c>
      <c r="G242">
        <v>6.3370000000000006E-3</v>
      </c>
      <c r="H242">
        <v>2.5630000000000002E-3</v>
      </c>
      <c r="I242">
        <v>1.3080000000000001E-3</v>
      </c>
      <c r="J242">
        <v>1.1640000000000001E-3</v>
      </c>
      <c r="K242">
        <v>3.8800000000000002E-3</v>
      </c>
    </row>
    <row r="243" spans="1:11" x14ac:dyDescent="0.2">
      <c r="A243" s="1">
        <v>43889</v>
      </c>
      <c r="B243">
        <v>7.4636999999999995E-2</v>
      </c>
      <c r="C243">
        <v>5.2398E-2</v>
      </c>
      <c r="D243">
        <v>2.9902000000000001E-2</v>
      </c>
      <c r="E243">
        <v>2.4556000000000001E-2</v>
      </c>
      <c r="F243">
        <v>1.8282E-2</v>
      </c>
      <c r="G243">
        <v>8.6980000000000009E-3</v>
      </c>
      <c r="H243">
        <v>4.6750000000000003E-3</v>
      </c>
      <c r="I243">
        <v>1.513E-3</v>
      </c>
      <c r="J243">
        <v>1.2080000000000001E-3</v>
      </c>
      <c r="K243">
        <v>2.7410000000000004E-3</v>
      </c>
    </row>
    <row r="244" spans="1:11" x14ac:dyDescent="0.2">
      <c r="A244" s="1">
        <v>43921</v>
      </c>
      <c r="B244">
        <v>8.5425000000000001E-2</v>
      </c>
      <c r="C244">
        <v>6.5339999999999995E-2</v>
      </c>
      <c r="D244">
        <v>3.9709000000000001E-2</v>
      </c>
      <c r="E244">
        <v>3.6416000000000004E-2</v>
      </c>
      <c r="F244">
        <v>2.7033000000000001E-2</v>
      </c>
      <c r="G244">
        <v>1.4069E-2</v>
      </c>
      <c r="H244">
        <v>9.6050000000000007E-3</v>
      </c>
      <c r="I244">
        <v>3.0670000000000003E-3</v>
      </c>
      <c r="J244">
        <v>1.268E-3</v>
      </c>
      <c r="K244">
        <v>-2.176E-3</v>
      </c>
    </row>
    <row r="245" spans="1:11" x14ac:dyDescent="0.2">
      <c r="A245" s="1">
        <v>43951</v>
      </c>
      <c r="B245">
        <v>9.7650000000000011E-3</v>
      </c>
      <c r="C245">
        <v>8.8000000000000003E-4</v>
      </c>
      <c r="D245">
        <v>5.0240000000000007E-3</v>
      </c>
      <c r="E245">
        <v>1.3090000000000001E-3</v>
      </c>
      <c r="F245">
        <v>1.673E-3</v>
      </c>
      <c r="G245">
        <v>1.034E-3</v>
      </c>
      <c r="H245">
        <v>5.5999999999999999E-5</v>
      </c>
      <c r="I245">
        <v>1.16E-4</v>
      </c>
      <c r="J245">
        <v>3.0000000000000001E-6</v>
      </c>
      <c r="K245">
        <v>-6.6870000000000002E-3</v>
      </c>
    </row>
    <row r="246" spans="1:11" x14ac:dyDescent="0.2">
      <c r="A246" s="1">
        <v>43980</v>
      </c>
      <c r="B246">
        <v>-2.3604E-2</v>
      </c>
      <c r="C246">
        <v>-5.6220000000000003E-3</v>
      </c>
      <c r="D246">
        <v>7.1299999999999998E-4</v>
      </c>
      <c r="E246">
        <v>2.8890000000000001E-3</v>
      </c>
      <c r="F246">
        <v>3.1030000000000003E-3</v>
      </c>
      <c r="G246">
        <v>8.2600000000000002E-4</v>
      </c>
      <c r="H246">
        <v>-1.4799999999999999E-4</v>
      </c>
      <c r="I246">
        <v>2.8999999999999997E-5</v>
      </c>
      <c r="J246">
        <v>5.8999999999999998E-5</v>
      </c>
      <c r="K246">
        <v>1.9999999999999998E-5</v>
      </c>
    </row>
    <row r="247" spans="1:11" x14ac:dyDescent="0.2">
      <c r="A247" s="1">
        <v>44012</v>
      </c>
      <c r="B247">
        <v>2.3700000000000001E-4</v>
      </c>
      <c r="C247">
        <v>1.1440000000000001E-3</v>
      </c>
      <c r="D247">
        <v>3.88E-4</v>
      </c>
      <c r="E247">
        <v>1.5040000000000001E-3</v>
      </c>
      <c r="F247">
        <v>2.134E-3</v>
      </c>
      <c r="G247">
        <v>5.1500000000000005E-4</v>
      </c>
      <c r="H247">
        <v>3.7300000000000001E-4</v>
      </c>
      <c r="I247">
        <v>1.55E-4</v>
      </c>
      <c r="J247">
        <v>1.11E-4</v>
      </c>
      <c r="K247">
        <v>5.4720000000000003E-3</v>
      </c>
    </row>
    <row r="248" spans="1:11" x14ac:dyDescent="0.2">
      <c r="A248" s="1">
        <v>44043</v>
      </c>
      <c r="B248">
        <v>5.6713E-2</v>
      </c>
      <c r="C248">
        <v>3.1621999999999997E-2</v>
      </c>
      <c r="D248">
        <v>1.2821000000000001E-2</v>
      </c>
      <c r="E248">
        <v>7.4920000000000004E-3</v>
      </c>
      <c r="F248">
        <v>3.8560000000000001E-3</v>
      </c>
      <c r="G248">
        <v>1.0300000000000001E-3</v>
      </c>
      <c r="H248">
        <v>7.5900000000000002E-4</v>
      </c>
      <c r="I248">
        <v>3.3E-4</v>
      </c>
      <c r="J248">
        <v>9.5999999999999989E-5</v>
      </c>
      <c r="K248">
        <v>5.058E-3</v>
      </c>
    </row>
    <row r="249" spans="1:11" x14ac:dyDescent="0.2">
      <c r="A249" s="1">
        <v>44074</v>
      </c>
      <c r="B249">
        <v>-6.7580000000000001E-2</v>
      </c>
      <c r="C249">
        <v>-3.6979999999999999E-2</v>
      </c>
      <c r="D249">
        <v>-1.4709E-2</v>
      </c>
      <c r="E249">
        <v>-6.071E-3</v>
      </c>
      <c r="F249">
        <v>-1.6710000000000002E-3</v>
      </c>
      <c r="G249">
        <v>-2.0800000000000001E-4</v>
      </c>
      <c r="H249">
        <v>4.9999999999999996E-6</v>
      </c>
      <c r="I249">
        <v>6.8999999999999997E-5</v>
      </c>
      <c r="J249">
        <v>7.8999999999999996E-5</v>
      </c>
      <c r="K249">
        <v>3.153E-3</v>
      </c>
    </row>
    <row r="250" spans="1:11" x14ac:dyDescent="0.2">
      <c r="A250" s="1">
        <v>44104</v>
      </c>
      <c r="B250">
        <v>5.7910000000000001E-3</v>
      </c>
      <c r="C250">
        <v>3.9650000000000006E-3</v>
      </c>
      <c r="D250">
        <v>2.5600000000000002E-3</v>
      </c>
      <c r="E250">
        <v>2.0530000000000001E-3</v>
      </c>
      <c r="F250">
        <v>2.3600000000000002E-4</v>
      </c>
      <c r="G250">
        <v>-1.74E-4</v>
      </c>
      <c r="H250">
        <v>1.74E-4</v>
      </c>
      <c r="I250">
        <v>9.8999999999999994E-5</v>
      </c>
      <c r="J250">
        <v>7.5999999999999991E-5</v>
      </c>
      <c r="K250">
        <v>1.3930000000000001E-3</v>
      </c>
    </row>
    <row r="251" spans="1:11" x14ac:dyDescent="0.2">
      <c r="A251" s="1">
        <v>44134</v>
      </c>
      <c r="B251">
        <v>-4.6765000000000001E-2</v>
      </c>
      <c r="C251">
        <v>-2.6512000000000001E-2</v>
      </c>
      <c r="D251">
        <v>-1.7309999999999999E-2</v>
      </c>
      <c r="E251">
        <v>-1.0450000000000001E-2</v>
      </c>
      <c r="F251">
        <v>-4.8060000000000004E-3</v>
      </c>
      <c r="G251">
        <v>-3.8300000000000004E-4</v>
      </c>
      <c r="H251">
        <v>-8.599999999999999E-5</v>
      </c>
      <c r="I251">
        <v>6.7000000000000002E-5</v>
      </c>
      <c r="J251">
        <v>7.2999999999999999E-5</v>
      </c>
      <c r="K251">
        <v>4.15E-4</v>
      </c>
    </row>
    <row r="252" spans="1:11" x14ac:dyDescent="0.2">
      <c r="A252" s="1">
        <v>44165</v>
      </c>
      <c r="B252">
        <v>2.2610000000000002E-2</v>
      </c>
      <c r="C252">
        <v>1.315E-2</v>
      </c>
      <c r="D252">
        <v>4.0160000000000005E-3</v>
      </c>
      <c r="E252">
        <v>4.2130000000000006E-3</v>
      </c>
      <c r="F252">
        <v>1.9380000000000001E-3</v>
      </c>
      <c r="G252">
        <v>5.7400000000000007E-4</v>
      </c>
      <c r="H252">
        <v>5.2000000000000006E-4</v>
      </c>
      <c r="I252">
        <v>9.5999999999999989E-5</v>
      </c>
      <c r="J252">
        <v>6.5999999999999992E-5</v>
      </c>
      <c r="K252">
        <v>-6.11E-4</v>
      </c>
    </row>
    <row r="253" spans="1:11" x14ac:dyDescent="0.2">
      <c r="A253" s="1">
        <v>44196</v>
      </c>
      <c r="B253">
        <v>-1.9273999999999999E-2</v>
      </c>
      <c r="C253">
        <v>-1.5254999999999999E-2</v>
      </c>
      <c r="D253">
        <v>-4.9650000000000007E-3</v>
      </c>
      <c r="E253">
        <v>-1.2640000000000001E-3</v>
      </c>
      <c r="F253">
        <v>8.5500000000000007E-4</v>
      </c>
      <c r="G253">
        <v>7.3800000000000005E-4</v>
      </c>
      <c r="H253">
        <v>2.9700000000000001E-4</v>
      </c>
      <c r="I253">
        <v>5.3999999999999998E-5</v>
      </c>
      <c r="J253">
        <v>5.9999999999999995E-5</v>
      </c>
      <c r="K253">
        <v>9.41E-4</v>
      </c>
    </row>
    <row r="254" spans="1:11" x14ac:dyDescent="0.2">
      <c r="A254" s="1">
        <v>44225</v>
      </c>
      <c r="B254">
        <v>-3.8203000000000001E-2</v>
      </c>
      <c r="C254">
        <v>-2.5772E-2</v>
      </c>
      <c r="D254">
        <v>-1.0713E-2</v>
      </c>
      <c r="E254">
        <v>-5.692E-3</v>
      </c>
      <c r="F254">
        <v>-2.3290000000000003E-3</v>
      </c>
      <c r="G254">
        <v>2.1900000000000001E-4</v>
      </c>
      <c r="H254">
        <v>1.07E-4</v>
      </c>
      <c r="I254">
        <v>1.1E-4</v>
      </c>
      <c r="J254">
        <v>4.6E-5</v>
      </c>
      <c r="K254">
        <v>4.254E-3</v>
      </c>
    </row>
    <row r="255" spans="1:11" x14ac:dyDescent="0.2">
      <c r="A255" s="1">
        <v>44253</v>
      </c>
      <c r="B255">
        <v>-7.2436E-2</v>
      </c>
      <c r="C255">
        <v>-5.1330000000000001E-2</v>
      </c>
      <c r="D255">
        <v>-2.5385000000000001E-2</v>
      </c>
      <c r="E255">
        <v>-2.1538999999999999E-2</v>
      </c>
      <c r="F255">
        <v>-1.2921999999999999E-2</v>
      </c>
      <c r="G255">
        <v>-5.8900000000000001E-4</v>
      </c>
      <c r="H255">
        <v>-1.85E-4</v>
      </c>
      <c r="I255">
        <v>7.9999999999999993E-5</v>
      </c>
      <c r="J255">
        <v>4.4999999999999996E-5</v>
      </c>
      <c r="K255">
        <v>5.4740000000000006E-3</v>
      </c>
    </row>
    <row r="256" spans="1:11" x14ac:dyDescent="0.2">
      <c r="A256" s="1">
        <v>44286</v>
      </c>
      <c r="B256">
        <v>-5.4127000000000002E-2</v>
      </c>
      <c r="C256">
        <v>-4.1253999999999999E-2</v>
      </c>
      <c r="D256">
        <v>-2.9342E-2</v>
      </c>
      <c r="E256">
        <v>-1.7718999999999999E-2</v>
      </c>
      <c r="F256">
        <v>-8.2770000000000014E-3</v>
      </c>
      <c r="G256">
        <v>-1.1E-4</v>
      </c>
      <c r="H256">
        <v>4.0000000000000002E-4</v>
      </c>
      <c r="I256">
        <v>8.9999999999999992E-5</v>
      </c>
      <c r="J256">
        <v>2.6999999999999999E-5</v>
      </c>
      <c r="K256">
        <v>7.0830000000000008E-3</v>
      </c>
    </row>
    <row r="257" spans="1:11" x14ac:dyDescent="0.2">
      <c r="A257" s="1">
        <v>44316</v>
      </c>
      <c r="B257">
        <v>2.7124000000000002E-2</v>
      </c>
      <c r="C257">
        <v>2.0594000000000001E-2</v>
      </c>
      <c r="D257">
        <v>1.1851E-2</v>
      </c>
      <c r="E257">
        <v>8.1989999999999997E-3</v>
      </c>
      <c r="F257">
        <v>5.7630000000000008E-3</v>
      </c>
      <c r="G257">
        <v>4.1600000000000003E-4</v>
      </c>
      <c r="H257">
        <v>1.44E-4</v>
      </c>
      <c r="I257">
        <v>1.46E-4</v>
      </c>
      <c r="J257">
        <v>1.4E-5</v>
      </c>
      <c r="K257">
        <v>8.2190000000000006E-3</v>
      </c>
    </row>
    <row r="258" spans="1:11" x14ac:dyDescent="0.2">
      <c r="A258" s="1">
        <v>44344</v>
      </c>
      <c r="B258">
        <v>2.7030000000000001E-3</v>
      </c>
      <c r="C258">
        <v>-1.067E-3</v>
      </c>
      <c r="D258">
        <v>3.441E-3</v>
      </c>
      <c r="E258">
        <v>4.0660000000000002E-3</v>
      </c>
      <c r="F258">
        <v>3.1670000000000001E-3</v>
      </c>
      <c r="G258">
        <v>7.76E-4</v>
      </c>
      <c r="H258">
        <v>2.63E-4</v>
      </c>
      <c r="I258">
        <v>2.4999999999999998E-5</v>
      </c>
      <c r="J258">
        <v>4.9999999999999996E-6</v>
      </c>
      <c r="K258">
        <v>8.0169999999999998E-3</v>
      </c>
    </row>
    <row r="259" spans="1:11" x14ac:dyDescent="0.2">
      <c r="A259" s="1">
        <v>44377</v>
      </c>
      <c r="B259">
        <v>4.5272E-2</v>
      </c>
      <c r="C259">
        <v>3.0520000000000002E-2</v>
      </c>
      <c r="D259">
        <v>1.4084000000000001E-2</v>
      </c>
      <c r="E259">
        <v>4.9690000000000003E-3</v>
      </c>
      <c r="F259">
        <v>-1.5580000000000001E-3</v>
      </c>
      <c r="G259">
        <v>-1.8290000000000001E-3</v>
      </c>
      <c r="H259">
        <v>-2.81E-4</v>
      </c>
      <c r="I259">
        <v>-4.4999999999999996E-5</v>
      </c>
      <c r="J259">
        <v>3.9999999999999998E-6</v>
      </c>
      <c r="K259">
        <v>9.2910000000000006E-3</v>
      </c>
    </row>
    <row r="260" spans="1:11" x14ac:dyDescent="0.2">
      <c r="A260" s="1">
        <v>44407</v>
      </c>
      <c r="B260">
        <v>4.4448000000000001E-2</v>
      </c>
      <c r="C260">
        <v>3.3876999999999997E-2</v>
      </c>
      <c r="D260">
        <v>2.3828999999999999E-2</v>
      </c>
      <c r="E260">
        <v>1.7153999999999999E-2</v>
      </c>
      <c r="F260">
        <v>1.0194E-2</v>
      </c>
      <c r="G260">
        <v>1.8130000000000002E-3</v>
      </c>
      <c r="H260">
        <v>4.3400000000000003E-4</v>
      </c>
      <c r="I260">
        <v>2.8999999999999997E-5</v>
      </c>
      <c r="J260">
        <v>3.1000000000000001E-5</v>
      </c>
      <c r="K260">
        <v>4.8110000000000002E-3</v>
      </c>
    </row>
    <row r="261" spans="1:11" x14ac:dyDescent="0.2">
      <c r="A261" s="1">
        <v>44439</v>
      </c>
      <c r="B261">
        <v>-4.7040000000000007E-3</v>
      </c>
      <c r="C261">
        <v>-2.0150000000000003E-3</v>
      </c>
      <c r="D261">
        <v>-4.8370000000000002E-3</v>
      </c>
      <c r="E261">
        <v>-4.3610000000000003E-3</v>
      </c>
      <c r="F261">
        <v>-2.647E-3</v>
      </c>
      <c r="G261">
        <v>-3.9600000000000003E-4</v>
      </c>
      <c r="H261">
        <v>-2.3800000000000001E-4</v>
      </c>
      <c r="I261">
        <v>2.9999999999999997E-5</v>
      </c>
      <c r="J261">
        <v>4.8999999999999998E-5</v>
      </c>
      <c r="K261">
        <v>2.0660000000000001E-3</v>
      </c>
    </row>
    <row r="262" spans="1:11" x14ac:dyDescent="0.2">
      <c r="A262" s="1">
        <v>44469</v>
      </c>
      <c r="B262">
        <v>-2.3236E-2</v>
      </c>
      <c r="C262">
        <v>-2.0754000000000002E-2</v>
      </c>
      <c r="D262">
        <v>-1.5424999999999999E-2</v>
      </c>
      <c r="E262">
        <v>-1.1383000000000001E-2</v>
      </c>
      <c r="F262">
        <v>-7.4150000000000006E-3</v>
      </c>
      <c r="G262">
        <v>-6.4700000000000001E-4</v>
      </c>
      <c r="H262">
        <v>2.7900000000000001E-4</v>
      </c>
      <c r="I262">
        <v>7.9999999999999993E-5</v>
      </c>
      <c r="J262">
        <v>3.2999999999999996E-5</v>
      </c>
      <c r="K262">
        <v>2.7160000000000001E-3</v>
      </c>
    </row>
    <row r="263" spans="1:11" x14ac:dyDescent="0.2">
      <c r="A263" s="1">
        <v>44498</v>
      </c>
      <c r="B263">
        <v>2.6981000000000002E-2</v>
      </c>
      <c r="C263">
        <v>5.5100000000000006E-4</v>
      </c>
      <c r="D263">
        <v>-4.8960000000000002E-3</v>
      </c>
      <c r="E263">
        <v>-8.7590000000000012E-3</v>
      </c>
      <c r="F263">
        <v>-8.0200000000000011E-3</v>
      </c>
      <c r="G263">
        <v>-3.9589999999999998E-3</v>
      </c>
      <c r="H263">
        <v>-6.8900000000000005E-4</v>
      </c>
      <c r="I263">
        <v>-3.4E-5</v>
      </c>
      <c r="J263">
        <v>3.6999999999999998E-5</v>
      </c>
      <c r="K263">
        <v>8.3080000000000011E-3</v>
      </c>
    </row>
    <row r="264" spans="1:11" x14ac:dyDescent="0.2">
      <c r="A264" s="1">
        <v>44530</v>
      </c>
      <c r="B264">
        <v>3.2451000000000001E-2</v>
      </c>
      <c r="C264">
        <v>1.8794999999999999E-2</v>
      </c>
      <c r="D264">
        <v>1.2455000000000001E-2</v>
      </c>
      <c r="E264">
        <v>6.0690000000000006E-3</v>
      </c>
      <c r="F264">
        <v>2.9380000000000001E-3</v>
      </c>
      <c r="G264">
        <v>-1.34E-4</v>
      </c>
      <c r="H264">
        <v>-4.6500000000000003E-4</v>
      </c>
      <c r="I264">
        <v>7.2999999999999999E-5</v>
      </c>
      <c r="J264">
        <v>4.3999999999999999E-5</v>
      </c>
      <c r="K264">
        <v>4.9130000000000007E-3</v>
      </c>
    </row>
    <row r="265" spans="1:11" x14ac:dyDescent="0.2">
      <c r="A265" s="1">
        <v>44561</v>
      </c>
      <c r="B265">
        <v>-2.3094E-2</v>
      </c>
      <c r="C265">
        <v>-1.0002E-2</v>
      </c>
      <c r="D265">
        <v>-4.7499999999999999E-3</v>
      </c>
      <c r="E265">
        <v>-2.0500000000000002E-3</v>
      </c>
      <c r="F265">
        <v>-4.267E-3</v>
      </c>
      <c r="G265">
        <v>-2.055E-3</v>
      </c>
      <c r="H265">
        <v>-1.374E-3</v>
      </c>
      <c r="I265">
        <v>8.099999999999999E-5</v>
      </c>
      <c r="J265">
        <v>6.7000000000000002E-5</v>
      </c>
      <c r="K265">
        <v>3.0730000000000002E-3</v>
      </c>
    </row>
    <row r="266" spans="1:11" x14ac:dyDescent="0.2">
      <c r="A266" s="1">
        <v>44592</v>
      </c>
      <c r="B266">
        <v>-4.4108000000000001E-2</v>
      </c>
      <c r="C266">
        <v>-3.6572E-2</v>
      </c>
      <c r="D266">
        <v>-2.2542E-2</v>
      </c>
      <c r="E266">
        <v>-1.8945E-2</v>
      </c>
      <c r="F266">
        <v>-1.4110000000000001E-2</v>
      </c>
      <c r="G266">
        <v>-7.2460000000000007E-3</v>
      </c>
      <c r="H266">
        <v>-3.1000000000000003E-3</v>
      </c>
      <c r="I266">
        <v>-3.4999999999999997E-5</v>
      </c>
      <c r="J266">
        <v>4.3999999999999999E-5</v>
      </c>
      <c r="K266">
        <v>8.4150000000000006E-3</v>
      </c>
    </row>
    <row r="267" spans="1:11" x14ac:dyDescent="0.2">
      <c r="A267" s="1">
        <v>44620</v>
      </c>
      <c r="B267">
        <v>-1.3819E-2</v>
      </c>
      <c r="C267">
        <v>-1.2968E-2</v>
      </c>
      <c r="D267">
        <v>-3.0210000000000002E-3</v>
      </c>
      <c r="E267">
        <v>-2.4250000000000001E-3</v>
      </c>
      <c r="F267">
        <v>-4.3690000000000005E-3</v>
      </c>
      <c r="G267">
        <v>-4.6430000000000004E-3</v>
      </c>
      <c r="H267">
        <v>-1.745E-3</v>
      </c>
      <c r="I267">
        <v>1.2E-4</v>
      </c>
      <c r="J267">
        <v>2.8E-5</v>
      </c>
      <c r="K267">
        <v>9.1339999999999998E-3</v>
      </c>
    </row>
    <row r="268" spans="1:11" x14ac:dyDescent="0.2">
      <c r="A268" s="1">
        <v>44651</v>
      </c>
      <c r="B268">
        <v>-5.8019000000000001E-2</v>
      </c>
      <c r="C268">
        <v>-5.2835E-2</v>
      </c>
      <c r="D268">
        <v>-4.3484000000000002E-2</v>
      </c>
      <c r="E268">
        <v>-3.8217000000000001E-2</v>
      </c>
      <c r="F268">
        <v>-3.3730000000000003E-2</v>
      </c>
      <c r="G268">
        <v>-1.5126000000000001E-2</v>
      </c>
      <c r="H268">
        <v>-4.6300000000000004E-3</v>
      </c>
      <c r="I268">
        <v>2.8400000000000002E-4</v>
      </c>
      <c r="J268">
        <v>5.9999999999999995E-5</v>
      </c>
      <c r="K268">
        <v>1.3351E-2</v>
      </c>
    </row>
    <row r="269" spans="1:11" x14ac:dyDescent="0.2">
      <c r="A269" s="1">
        <v>44680</v>
      </c>
      <c r="B269">
        <v>-0.107346</v>
      </c>
      <c r="C269">
        <v>-8.3956000000000003E-2</v>
      </c>
      <c r="D269">
        <v>-4.9388000000000001E-2</v>
      </c>
      <c r="E269">
        <v>-3.3996999999999999E-2</v>
      </c>
      <c r="F269">
        <v>-2.2044000000000001E-2</v>
      </c>
      <c r="G269">
        <v>-4.1470000000000005E-3</v>
      </c>
      <c r="H269">
        <v>-2.202E-3</v>
      </c>
      <c r="I269">
        <v>1.64E-4</v>
      </c>
      <c r="J269">
        <v>3.6999999999999998E-5</v>
      </c>
      <c r="K269">
        <v>5.5830000000000003E-3</v>
      </c>
    </row>
    <row r="270" spans="1:11" x14ac:dyDescent="0.2">
      <c r="A270" s="1">
        <v>44712</v>
      </c>
      <c r="B270">
        <v>-1.1893000000000001E-2</v>
      </c>
      <c r="C270">
        <v>-7.8609999999999999E-3</v>
      </c>
      <c r="D270">
        <v>1.0019999999999999E-2</v>
      </c>
      <c r="E270">
        <v>1.0426E-2</v>
      </c>
      <c r="F270">
        <v>9.0970000000000009E-3</v>
      </c>
      <c r="G270">
        <v>6.489E-3</v>
      </c>
      <c r="H270">
        <v>2.8770000000000002E-3</v>
      </c>
      <c r="I270">
        <v>7.2599999999999997E-4</v>
      </c>
      <c r="J270">
        <v>3.0700000000000004E-4</v>
      </c>
      <c r="K270">
        <v>1.1024000000000001E-2</v>
      </c>
    </row>
    <row r="271" spans="1:11" x14ac:dyDescent="0.2">
      <c r="A271" s="1">
        <v>44742</v>
      </c>
      <c r="B271">
        <v>-2.4067000000000002E-2</v>
      </c>
      <c r="C271">
        <v>-2.3199000000000001E-2</v>
      </c>
      <c r="D271">
        <v>-1.2064E-2</v>
      </c>
      <c r="E271">
        <v>-1.005E-2</v>
      </c>
      <c r="F271">
        <v>-8.2990000000000008E-3</v>
      </c>
      <c r="G271">
        <v>-5.6240000000000005E-3</v>
      </c>
      <c r="H271">
        <v>-5.0500000000000007E-3</v>
      </c>
      <c r="I271">
        <v>1.93E-4</v>
      </c>
      <c r="J271">
        <v>5.6700000000000001E-4</v>
      </c>
      <c r="K271">
        <v>1.3736E-2</v>
      </c>
    </row>
    <row r="272" spans="1:11" x14ac:dyDescent="0.2">
      <c r="A272" s="1">
        <v>44771</v>
      </c>
      <c r="B272">
        <v>3.7322000000000001E-2</v>
      </c>
      <c r="C272">
        <v>3.0676999999999999E-2</v>
      </c>
      <c r="D272">
        <v>3.3718999999999999E-2</v>
      </c>
      <c r="E272">
        <v>2.7980999999999999E-2</v>
      </c>
      <c r="F272">
        <v>2.0993000000000001E-2</v>
      </c>
      <c r="G272">
        <v>4.3180000000000007E-3</v>
      </c>
      <c r="H272">
        <v>1.7570000000000001E-3</v>
      </c>
      <c r="I272">
        <v>5.5100000000000006E-4</v>
      </c>
      <c r="J272">
        <v>8.12E-4</v>
      </c>
      <c r="K272">
        <v>-1.1800000000000001E-4</v>
      </c>
    </row>
    <row r="273" spans="1:11" x14ac:dyDescent="0.2">
      <c r="A273" s="1">
        <v>44804</v>
      </c>
      <c r="B273">
        <v>-5.3490000000000003E-2</v>
      </c>
      <c r="C273">
        <v>-4.6849000000000002E-2</v>
      </c>
      <c r="D273">
        <v>-4.3289000000000001E-2</v>
      </c>
      <c r="E273">
        <v>-3.7215999999999999E-2</v>
      </c>
      <c r="F273">
        <v>-2.9354000000000002E-2</v>
      </c>
      <c r="G273">
        <v>-8.1120000000000012E-3</v>
      </c>
      <c r="H273">
        <v>-2.666E-3</v>
      </c>
      <c r="I273">
        <v>1.8060000000000001E-3</v>
      </c>
      <c r="J273">
        <v>1.9010000000000001E-3</v>
      </c>
      <c r="K273">
        <v>-3.5400000000000004E-4</v>
      </c>
    </row>
    <row r="274" spans="1:11" x14ac:dyDescent="0.2">
      <c r="A274" s="1">
        <v>44834</v>
      </c>
      <c r="B274">
        <v>-8.5155000000000008E-2</v>
      </c>
      <c r="C274">
        <v>-6.7945000000000005E-2</v>
      </c>
      <c r="D274">
        <v>-5.0056000000000003E-2</v>
      </c>
      <c r="E274">
        <v>-3.9030000000000002E-2</v>
      </c>
      <c r="F274">
        <v>-3.1851999999999998E-2</v>
      </c>
      <c r="G274">
        <v>-1.2865E-2</v>
      </c>
      <c r="H274">
        <v>-4.0260000000000001E-3</v>
      </c>
      <c r="I274">
        <v>1.6840000000000002E-3</v>
      </c>
      <c r="J274">
        <v>1.9290000000000002E-3</v>
      </c>
      <c r="K274">
        <v>2.1510000000000001E-3</v>
      </c>
    </row>
    <row r="275" spans="1:11" x14ac:dyDescent="0.2">
      <c r="A275" s="1">
        <v>44865</v>
      </c>
      <c r="B275">
        <v>-6.5624000000000002E-2</v>
      </c>
      <c r="C275">
        <v>-4.1092000000000004E-2</v>
      </c>
      <c r="D275">
        <v>-1.4968E-2</v>
      </c>
      <c r="E275">
        <v>-6.6290000000000003E-3</v>
      </c>
      <c r="F275">
        <v>-3.6920000000000004E-3</v>
      </c>
      <c r="G275">
        <v>2.23E-4</v>
      </c>
      <c r="H275">
        <v>1.3720000000000002E-3</v>
      </c>
      <c r="I275">
        <v>1.8590000000000002E-3</v>
      </c>
      <c r="J275">
        <v>2.3270000000000001E-3</v>
      </c>
      <c r="K275">
        <v>4.0560000000000006E-3</v>
      </c>
    </row>
    <row r="276" spans="1:11" x14ac:dyDescent="0.2">
      <c r="A276" s="1">
        <v>44895</v>
      </c>
      <c r="B276">
        <v>7.7931E-2</v>
      </c>
      <c r="C276">
        <v>7.1208000000000007E-2</v>
      </c>
      <c r="D276">
        <v>4.0788999999999999E-2</v>
      </c>
      <c r="E276">
        <v>3.5594000000000001E-2</v>
      </c>
      <c r="F276">
        <v>2.6003999999999999E-2</v>
      </c>
      <c r="G276">
        <v>8.0700000000000008E-3</v>
      </c>
      <c r="H276">
        <v>2.016E-3</v>
      </c>
      <c r="I276">
        <v>3.114E-3</v>
      </c>
      <c r="J276">
        <v>2.856E-3</v>
      </c>
      <c r="K276">
        <v>-1.01E-3</v>
      </c>
    </row>
    <row r="277" spans="1:11" x14ac:dyDescent="0.2">
      <c r="A277" s="1">
        <v>44925</v>
      </c>
      <c r="B277">
        <v>-3.5952999999999999E-2</v>
      </c>
      <c r="C277">
        <v>-2.5772E-2</v>
      </c>
      <c r="D277">
        <v>-1.8565999999999999E-2</v>
      </c>
      <c r="E277">
        <v>-1.5065E-2</v>
      </c>
      <c r="F277">
        <v>-8.3770000000000008E-3</v>
      </c>
      <c r="G277">
        <v>8.4500000000000005E-4</v>
      </c>
      <c r="H277">
        <v>4.019E-3</v>
      </c>
      <c r="I277">
        <v>3.2800000000000004E-3</v>
      </c>
      <c r="J277">
        <v>3.3790000000000001E-3</v>
      </c>
      <c r="K277">
        <v>-3.0700000000000002E-3</v>
      </c>
    </row>
    <row r="278" spans="1:11" x14ac:dyDescent="0.2">
      <c r="A278" s="1">
        <v>44957</v>
      </c>
      <c r="B278">
        <v>6.3159000000000007E-2</v>
      </c>
      <c r="C278">
        <v>6.1433000000000001E-2</v>
      </c>
      <c r="D278">
        <v>3.3276E-2</v>
      </c>
      <c r="E278">
        <v>2.7422000000000002E-2</v>
      </c>
      <c r="F278">
        <v>2.2727000000000001E-2</v>
      </c>
      <c r="G278">
        <v>7.8190000000000013E-3</v>
      </c>
      <c r="H278">
        <v>3.8650000000000004E-3</v>
      </c>
      <c r="I278">
        <v>3.4620000000000002E-3</v>
      </c>
      <c r="J278">
        <v>3.506E-3</v>
      </c>
      <c r="K278">
        <v>7.9950000000000004E-3</v>
      </c>
    </row>
    <row r="279" spans="1:11" x14ac:dyDescent="0.2">
      <c r="A279" s="1">
        <v>44985</v>
      </c>
      <c r="B279">
        <v>-4.5279E-2</v>
      </c>
      <c r="C279">
        <v>-4.7185999999999999E-2</v>
      </c>
      <c r="D279">
        <v>-3.1097E-2</v>
      </c>
      <c r="E279">
        <v>-2.8317000000000002E-2</v>
      </c>
      <c r="F279">
        <v>-2.3878E-2</v>
      </c>
      <c r="G279">
        <v>-8.8009999999999998E-3</v>
      </c>
      <c r="H279">
        <v>-3.1600000000000004E-4</v>
      </c>
      <c r="I279">
        <v>3.4420000000000002E-3</v>
      </c>
      <c r="J279">
        <v>3.4500000000000004E-3</v>
      </c>
      <c r="K279">
        <v>5.5820000000000002E-3</v>
      </c>
    </row>
    <row r="280" spans="1:11" x14ac:dyDescent="0.2">
      <c r="A280" s="1">
        <v>45016</v>
      </c>
      <c r="B280">
        <v>5.2109000000000003E-2</v>
      </c>
      <c r="C280">
        <v>4.7420000000000004E-2</v>
      </c>
      <c r="D280">
        <v>4.1575000000000001E-2</v>
      </c>
      <c r="E280">
        <v>3.5859000000000002E-2</v>
      </c>
      <c r="F280">
        <v>3.1704000000000003E-2</v>
      </c>
      <c r="G280">
        <v>1.8518E-2</v>
      </c>
      <c r="H280">
        <v>9.1400000000000006E-3</v>
      </c>
      <c r="I280">
        <v>4.1200000000000004E-3</v>
      </c>
      <c r="J280">
        <v>3.6380000000000002E-3</v>
      </c>
      <c r="K280">
        <v>3.3110000000000001E-3</v>
      </c>
    </row>
    <row r="281" spans="1:11" x14ac:dyDescent="0.2">
      <c r="A281" s="1">
        <v>45044</v>
      </c>
      <c r="B281">
        <v>-1.6500000000000002E-3</v>
      </c>
      <c r="C281">
        <v>4.0049999999999999E-3</v>
      </c>
      <c r="D281">
        <v>6.2590000000000007E-3</v>
      </c>
      <c r="E281">
        <v>7.6680000000000003E-3</v>
      </c>
      <c r="F281">
        <v>7.3110000000000007E-3</v>
      </c>
      <c r="G281">
        <v>2.405E-3</v>
      </c>
      <c r="H281">
        <v>1.601E-3</v>
      </c>
      <c r="I281">
        <v>3.3760000000000001E-3</v>
      </c>
      <c r="J281">
        <v>3.6400000000000004E-3</v>
      </c>
      <c r="K281">
        <v>5.0590000000000001E-3</v>
      </c>
    </row>
    <row r="282" spans="1:11" x14ac:dyDescent="0.2">
      <c r="A282" s="1">
        <v>45077</v>
      </c>
      <c r="B282">
        <v>-3.0742000000000002E-2</v>
      </c>
      <c r="C282">
        <v>-2.7033999999999999E-2</v>
      </c>
      <c r="D282">
        <v>-1.559E-2</v>
      </c>
      <c r="E282">
        <v>-1.4879E-2</v>
      </c>
      <c r="F282">
        <v>-1.1013999999999999E-2</v>
      </c>
      <c r="G282">
        <v>-4.8650000000000004E-3</v>
      </c>
      <c r="H282">
        <v>2.3900000000000001E-4</v>
      </c>
      <c r="I282">
        <v>4.2000000000000006E-3</v>
      </c>
      <c r="J282">
        <v>3.6620000000000003E-3</v>
      </c>
      <c r="K282">
        <v>2.5180000000000003E-3</v>
      </c>
    </row>
    <row r="283" spans="1:11" x14ac:dyDescent="0.2">
      <c r="A283" s="1">
        <v>45107</v>
      </c>
      <c r="B283">
        <v>3.1610000000000002E-3</v>
      </c>
      <c r="C283">
        <v>-4.261E-3</v>
      </c>
      <c r="D283">
        <v>-1.299E-2</v>
      </c>
      <c r="E283">
        <v>-1.5244000000000001E-2</v>
      </c>
      <c r="F283">
        <v>-1.4184E-2</v>
      </c>
      <c r="G283">
        <v>-6.8470000000000007E-3</v>
      </c>
      <c r="H283">
        <v>1.5640000000000001E-3</v>
      </c>
      <c r="I283">
        <v>4.3100000000000005E-3</v>
      </c>
      <c r="J283">
        <v>4.078E-3</v>
      </c>
      <c r="K283">
        <v>3.2290000000000001E-3</v>
      </c>
    </row>
    <row r="284" spans="1:11" x14ac:dyDescent="0.2">
      <c r="A284" s="1">
        <v>45138</v>
      </c>
      <c r="B284">
        <v>-2.2634000000000001E-2</v>
      </c>
      <c r="C284">
        <v>-1.5734000000000001E-2</v>
      </c>
      <c r="D284">
        <v>-6.7600000000000004E-3</v>
      </c>
      <c r="E284">
        <v>-2.9530000000000003E-3</v>
      </c>
      <c r="F284">
        <v>1.5400000000000001E-3</v>
      </c>
      <c r="G284">
        <v>2.8510000000000002E-3</v>
      </c>
      <c r="H284">
        <v>4.5799999999999999E-3</v>
      </c>
      <c r="I284">
        <v>4.2660000000000007E-3</v>
      </c>
      <c r="J284">
        <v>4.3909999999999999E-3</v>
      </c>
      <c r="K284">
        <v>1.9080000000000002E-3</v>
      </c>
    </row>
    <row r="285" spans="1:11" x14ac:dyDescent="0.2">
      <c r="A285" s="1">
        <v>45169</v>
      </c>
      <c r="B285">
        <v>-3.1544000000000003E-2</v>
      </c>
      <c r="C285">
        <v>-2.4246E-2</v>
      </c>
      <c r="D285">
        <v>-9.0850000000000011E-3</v>
      </c>
      <c r="E285">
        <v>-5.6690000000000004E-3</v>
      </c>
      <c r="F285">
        <v>-8.9100000000000008E-4</v>
      </c>
      <c r="G285">
        <v>3.9199999999999999E-3</v>
      </c>
      <c r="H285">
        <v>4.2980000000000006E-3</v>
      </c>
      <c r="I285">
        <v>3.3650000000000004E-3</v>
      </c>
      <c r="J285">
        <v>4.5370000000000002E-3</v>
      </c>
      <c r="K285">
        <v>4.3670000000000002E-3</v>
      </c>
    </row>
    <row r="286" spans="1:11" x14ac:dyDescent="0.2">
      <c r="A286" s="1">
        <v>45198</v>
      </c>
      <c r="B286">
        <v>-7.492E-2</v>
      </c>
      <c r="C286">
        <v>-5.8789000000000001E-2</v>
      </c>
      <c r="D286">
        <v>-3.3463E-2</v>
      </c>
      <c r="E286">
        <v>-2.1232000000000001E-2</v>
      </c>
      <c r="F286">
        <v>-1.3444000000000001E-2</v>
      </c>
      <c r="G286">
        <v>-4.6E-5</v>
      </c>
      <c r="H286">
        <v>3.0740000000000003E-3</v>
      </c>
      <c r="I286">
        <v>4.2880000000000001E-3</v>
      </c>
      <c r="J286">
        <v>4.267E-3</v>
      </c>
      <c r="K286">
        <v>2.4850000000000002E-3</v>
      </c>
    </row>
    <row r="287" spans="1:11" x14ac:dyDescent="0.2">
      <c r="A287" s="1">
        <v>45230</v>
      </c>
      <c r="B287">
        <v>-5.7172000000000001E-2</v>
      </c>
      <c r="C287">
        <v>-4.2909000000000003E-2</v>
      </c>
      <c r="D287">
        <v>-2.4254000000000001E-2</v>
      </c>
      <c r="E287">
        <v>-1.7670000000000002E-2</v>
      </c>
      <c r="F287">
        <v>-8.1580000000000003E-3</v>
      </c>
      <c r="G287">
        <v>2.601E-3</v>
      </c>
      <c r="H287">
        <v>4.4380000000000001E-3</v>
      </c>
      <c r="I287">
        <v>4.777E-3</v>
      </c>
      <c r="J287">
        <v>4.7150000000000004E-3</v>
      </c>
      <c r="K287">
        <v>-3.8300000000000004E-4</v>
      </c>
    </row>
    <row r="288" spans="1:11" x14ac:dyDescent="0.2">
      <c r="A288" s="1">
        <v>45260</v>
      </c>
      <c r="B288">
        <v>0.10324899999999999</v>
      </c>
      <c r="C288">
        <v>8.3172999999999997E-2</v>
      </c>
      <c r="D288">
        <v>5.2006000000000004E-2</v>
      </c>
      <c r="E288">
        <v>4.3116000000000002E-2</v>
      </c>
      <c r="F288">
        <v>3.0299E-2</v>
      </c>
      <c r="G288">
        <v>1.1704000000000001E-2</v>
      </c>
      <c r="H288">
        <v>6.6770000000000006E-3</v>
      </c>
      <c r="I288">
        <v>4.5970000000000004E-3</v>
      </c>
      <c r="J288">
        <v>4.424E-3</v>
      </c>
      <c r="K288">
        <v>-2.0150000000000003E-3</v>
      </c>
    </row>
    <row r="289" spans="1:11" x14ac:dyDescent="0.2">
      <c r="A289" s="1">
        <v>45289</v>
      </c>
      <c r="B289">
        <v>8.3042000000000005E-2</v>
      </c>
      <c r="C289">
        <v>6.8328E-2</v>
      </c>
      <c r="D289">
        <v>3.9682000000000002E-2</v>
      </c>
      <c r="E289">
        <v>3.0242999999999999E-2</v>
      </c>
      <c r="F289">
        <v>2.4969000000000002E-2</v>
      </c>
      <c r="G289">
        <v>1.1057000000000001E-2</v>
      </c>
      <c r="H289">
        <v>7.9730000000000009E-3</v>
      </c>
      <c r="I289">
        <v>4.2209999999999999E-3</v>
      </c>
      <c r="J289">
        <v>4.2660000000000007E-3</v>
      </c>
      <c r="K289">
        <v>-9.9299999999999996E-4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4016C-C52D-A149-B864-F4B33AAD3D50}">
  <dimension ref="A1:O297"/>
  <sheetViews>
    <sheetView tabSelected="1" zoomScale="180" zoomScaleNormal="180" workbookViewId="0">
      <selection activeCell="K5" sqref="K5"/>
    </sheetView>
  </sheetViews>
  <sheetFormatPr baseColWidth="10" defaultRowHeight="15" x14ac:dyDescent="0.2"/>
  <cols>
    <col min="1" max="1" width="13.83203125" bestFit="1" customWidth="1"/>
  </cols>
  <sheetData>
    <row r="1" spans="1:15" x14ac:dyDescent="0.2">
      <c r="A1" s="4" t="s">
        <v>291</v>
      </c>
    </row>
    <row r="2" spans="1:15" x14ac:dyDescent="0.2">
      <c r="A2" s="5" t="s">
        <v>292</v>
      </c>
    </row>
    <row r="3" spans="1:15" x14ac:dyDescent="0.2">
      <c r="A3" t="s">
        <v>293</v>
      </c>
      <c r="B3">
        <f>MIN(B28:B297)</f>
        <v>-0.57740000000000002</v>
      </c>
      <c r="C3" t="str">
        <f ca="1">_xlfn.FORMULATEXT(B3)</f>
        <v>=MIN(B28:B297)</v>
      </c>
    </row>
    <row r="4" spans="1:15" x14ac:dyDescent="0.2">
      <c r="A4" t="s">
        <v>294</v>
      </c>
      <c r="B4">
        <f>MAX(B28:B297)</f>
        <v>0.45379999999999998</v>
      </c>
      <c r="C4" t="str">
        <f ca="1">_xlfn.FORMULATEXT(B4)</f>
        <v>=MAX(B28:B297)</v>
      </c>
    </row>
    <row r="5" spans="1:15" x14ac:dyDescent="0.2">
      <c r="A5" t="s">
        <v>295</v>
      </c>
      <c r="B5">
        <f>COUNT(B28:B297)</f>
        <v>270</v>
      </c>
      <c r="C5" t="str">
        <f ca="1">_xlfn.FORMULATEXT(B5)</f>
        <v>=COUNT(B28:B297)</v>
      </c>
    </row>
    <row r="7" spans="1:15" x14ac:dyDescent="0.2">
      <c r="A7" s="6" t="s">
        <v>296</v>
      </c>
    </row>
    <row r="8" spans="1:15" x14ac:dyDescent="0.2">
      <c r="A8" t="s">
        <v>297</v>
      </c>
      <c r="B8">
        <f>AVERAGE(B28:B297)</f>
        <v>2.6191851851851876E-2</v>
      </c>
      <c r="C8" t="str">
        <f ca="1">_xlfn.FORMULATEXT(B8)</f>
        <v>=AVERAGE(B28:B297)</v>
      </c>
    </row>
    <row r="9" spans="1:15" x14ac:dyDescent="0.2">
      <c r="A9" t="s">
        <v>298</v>
      </c>
      <c r="B9" s="9">
        <f>MEDIAN(B28:B297)</f>
        <v>3.3250000000000002E-2</v>
      </c>
      <c r="C9" t="str">
        <f ca="1">_xlfn.FORMULATEXT(B9)</f>
        <v>=MEDIAN(B28:B297)</v>
      </c>
    </row>
    <row r="10" spans="1:15" x14ac:dyDescent="0.2">
      <c r="A10" t="s">
        <v>299</v>
      </c>
      <c r="B10">
        <f>MODE(B28:B297)</f>
        <v>7.4200000000000002E-2</v>
      </c>
      <c r="C10" t="str">
        <f ca="1">_xlfn.FORMULATEXT(B10)</f>
        <v>=MODE(B28:B297)</v>
      </c>
    </row>
    <row r="11" spans="1:15" x14ac:dyDescent="0.2">
      <c r="A11" t="s">
        <v>300</v>
      </c>
      <c r="B11">
        <f>_xlfn.STDEV.S(B28:B297)</f>
        <v>0.11373442982736762</v>
      </c>
      <c r="C11" t="str">
        <f ca="1">_xlfn.FORMULATEXT(B11)</f>
        <v>=STDEV.S(B28:B297)</v>
      </c>
    </row>
    <row r="12" spans="1:15" x14ac:dyDescent="0.2">
      <c r="A12" t="s">
        <v>301</v>
      </c>
      <c r="B12">
        <f>_xlfn.VAR.S(B28:B297)</f>
        <v>1.2935520528156408E-2</v>
      </c>
      <c r="C12" t="str">
        <f ca="1">_xlfn.FORMULATEXT(B12)</f>
        <v>=VAR.S(B28:B297)</v>
      </c>
      <c r="G12" s="10" t="s">
        <v>314</v>
      </c>
      <c r="H12" s="10"/>
      <c r="I12" s="10"/>
      <c r="J12" s="10"/>
    </row>
    <row r="13" spans="1:15" x14ac:dyDescent="0.2">
      <c r="G13" s="11" t="s">
        <v>319</v>
      </c>
      <c r="H13" s="11"/>
      <c r="I13" s="9" t="s">
        <v>320</v>
      </c>
      <c r="J13" s="9"/>
      <c r="L13" s="14" t="s">
        <v>321</v>
      </c>
      <c r="M13" s="14"/>
    </row>
    <row r="14" spans="1:15" x14ac:dyDescent="0.2">
      <c r="A14" s="7" t="s">
        <v>302</v>
      </c>
      <c r="B14" t="s">
        <v>312</v>
      </c>
      <c r="C14" t="s">
        <v>313</v>
      </c>
      <c r="G14" s="11" t="s">
        <v>315</v>
      </c>
      <c r="H14" s="11" t="s">
        <v>312</v>
      </c>
      <c r="I14" s="9" t="s">
        <v>316</v>
      </c>
      <c r="J14" s="9" t="s">
        <v>312</v>
      </c>
      <c r="L14" s="5" t="s">
        <v>317</v>
      </c>
      <c r="M14" s="16" t="s">
        <v>318</v>
      </c>
    </row>
    <row r="15" spans="1:15" x14ac:dyDescent="0.2">
      <c r="A15" t="s">
        <v>303</v>
      </c>
      <c r="B15" s="8">
        <v>0.01</v>
      </c>
      <c r="C15">
        <f>_xlfn.PERCENTILE.INC(B$28:B$297,B15)</f>
        <v>-0.31855299999999998</v>
      </c>
      <c r="D15" t="str">
        <f ca="1">_xlfn.FORMULATEXT(C15)</f>
        <v>=PERCENTILE.INC(B$28:B$297,B15)</v>
      </c>
      <c r="G15" s="11">
        <f>C15</f>
        <v>-0.31855299999999998</v>
      </c>
      <c r="H15" s="12">
        <f>COUNTIF(B$28:B$297,"&lt;="&amp;G15)/$B$5</f>
        <v>1.1111111111111112E-2</v>
      </c>
      <c r="I15" s="9">
        <f>C15</f>
        <v>-0.31855299999999998</v>
      </c>
      <c r="J15" s="13">
        <f>_xlfn.NORM.DIST(I15,$B$8,$B$11,TRUE)</f>
        <v>1.2181658056454553E-3</v>
      </c>
      <c r="L15" s="15">
        <f>H15</f>
        <v>1.1111111111111112E-2</v>
      </c>
      <c r="M15" s="17">
        <f>J15</f>
        <v>1.2181658056454553E-3</v>
      </c>
    </row>
    <row r="16" spans="1:15" x14ac:dyDescent="0.2">
      <c r="A16" t="s">
        <v>304</v>
      </c>
      <c r="B16" s="8">
        <v>0.05</v>
      </c>
      <c r="C16">
        <f t="shared" ref="C16:C23" si="0">_xlfn.PERCENTILE.INC(B$28:B$297,B16)</f>
        <v>-0.14221</v>
      </c>
      <c r="D16" t="str">
        <f ca="1">_xlfn.FORMULATEXT(C16)</f>
        <v>=PERCENTILE.INC(B$28:B$297,B16)</v>
      </c>
      <c r="G16" s="11">
        <f t="shared" ref="G16:G23" si="1">C16</f>
        <v>-0.14221</v>
      </c>
      <c r="H16" s="12">
        <f t="shared" ref="H16:H25" si="2">COUNTIF(B$28:B$297,"&lt;="&amp;G16)/$B$5</f>
        <v>5.185185185185185E-2</v>
      </c>
      <c r="I16" s="9">
        <f t="shared" ref="I16:I23" si="3">C16</f>
        <v>-0.14221</v>
      </c>
      <c r="J16" s="13">
        <f t="shared" ref="J16:J25" si="4">_xlfn.NORM.DIST(I16,$B$8,$B$11,TRUE)</f>
        <v>6.9348797136803544E-2</v>
      </c>
      <c r="L16" s="15">
        <f>H16-H15</f>
        <v>4.0740740740740737E-2</v>
      </c>
      <c r="M16" s="17">
        <f>J16-J15</f>
        <v>6.8130631331158084E-2</v>
      </c>
      <c r="N16" t="str">
        <f ca="1">_xlfn.FORMULATEXT(L16)</f>
        <v>=H16-H15</v>
      </c>
      <c r="O16" t="str">
        <f ca="1">_xlfn.FORMULATEXT(M16)</f>
        <v>=J16-J15</v>
      </c>
    </row>
    <row r="17" spans="1:15" x14ac:dyDescent="0.2">
      <c r="A17" t="s">
        <v>305</v>
      </c>
      <c r="B17" s="8">
        <v>0.1</v>
      </c>
      <c r="C17">
        <f t="shared" si="0"/>
        <v>-0.10300999999999999</v>
      </c>
      <c r="G17" s="11">
        <f t="shared" si="1"/>
        <v>-0.10300999999999999</v>
      </c>
      <c r="H17" s="12">
        <f t="shared" si="2"/>
        <v>0.1</v>
      </c>
      <c r="I17" s="9">
        <f t="shared" si="3"/>
        <v>-0.10300999999999999</v>
      </c>
      <c r="J17" s="13">
        <f t="shared" si="4"/>
        <v>0.12797912929494651</v>
      </c>
      <c r="L17" s="15">
        <f t="shared" ref="L17:L23" si="5">H17-H16</f>
        <v>4.8148148148148155E-2</v>
      </c>
      <c r="M17" s="17">
        <f t="shared" ref="M17:M23" si="6">J17-J16</f>
        <v>5.8630332158142964E-2</v>
      </c>
    </row>
    <row r="18" spans="1:15" x14ac:dyDescent="0.2">
      <c r="A18" t="s">
        <v>306</v>
      </c>
      <c r="B18" s="8">
        <v>0.25</v>
      </c>
      <c r="C18">
        <f t="shared" si="0"/>
        <v>-3.8949999999999999E-2</v>
      </c>
      <c r="G18" s="11">
        <f t="shared" si="1"/>
        <v>-3.8949999999999999E-2</v>
      </c>
      <c r="H18" s="12">
        <f t="shared" si="2"/>
        <v>0.25185185185185183</v>
      </c>
      <c r="I18" s="9">
        <f t="shared" si="3"/>
        <v>-3.8949999999999999E-2</v>
      </c>
      <c r="J18" s="13">
        <f t="shared" si="4"/>
        <v>0.28340562788996992</v>
      </c>
      <c r="L18" s="15">
        <f t="shared" si="5"/>
        <v>0.15185185185185182</v>
      </c>
      <c r="M18" s="17">
        <f t="shared" si="6"/>
        <v>0.15542649859502342</v>
      </c>
    </row>
    <row r="19" spans="1:15" x14ac:dyDescent="0.2">
      <c r="A19" t="s">
        <v>307</v>
      </c>
      <c r="B19" s="8">
        <v>0.5</v>
      </c>
      <c r="C19" s="9">
        <f t="shared" si="0"/>
        <v>3.3250000000000002E-2</v>
      </c>
      <c r="G19" s="11">
        <f t="shared" si="1"/>
        <v>3.3250000000000002E-2</v>
      </c>
      <c r="H19" s="12">
        <f t="shared" si="2"/>
        <v>0.5</v>
      </c>
      <c r="I19" s="9">
        <f t="shared" si="3"/>
        <v>3.3250000000000002E-2</v>
      </c>
      <c r="J19" s="13">
        <f t="shared" si="4"/>
        <v>0.52474173735168583</v>
      </c>
      <c r="L19" s="15">
        <f t="shared" si="5"/>
        <v>0.24814814814814817</v>
      </c>
      <c r="M19" s="17">
        <f t="shared" si="6"/>
        <v>0.24133610946171591</v>
      </c>
    </row>
    <row r="20" spans="1:15" x14ac:dyDescent="0.2">
      <c r="A20" t="s">
        <v>308</v>
      </c>
      <c r="B20" s="8">
        <v>0.75</v>
      </c>
      <c r="C20">
        <f t="shared" si="0"/>
        <v>9.6950000000000008E-2</v>
      </c>
      <c r="G20" s="11">
        <f t="shared" si="1"/>
        <v>9.6950000000000008E-2</v>
      </c>
      <c r="H20" s="12">
        <f t="shared" si="2"/>
        <v>0.74814814814814812</v>
      </c>
      <c r="I20" s="9">
        <f t="shared" si="3"/>
        <v>9.6950000000000008E-2</v>
      </c>
      <c r="J20" s="13">
        <f t="shared" si="4"/>
        <v>0.73307338708662051</v>
      </c>
      <c r="L20" s="15">
        <f t="shared" si="5"/>
        <v>0.24814814814814812</v>
      </c>
      <c r="M20" s="17">
        <f t="shared" si="6"/>
        <v>0.20833164973493468</v>
      </c>
    </row>
    <row r="21" spans="1:15" x14ac:dyDescent="0.2">
      <c r="A21" t="s">
        <v>309</v>
      </c>
      <c r="B21" s="8">
        <v>0.9</v>
      </c>
      <c r="C21">
        <f t="shared" si="0"/>
        <v>0.15572999999999998</v>
      </c>
      <c r="G21" s="11">
        <f t="shared" si="1"/>
        <v>0.15572999999999998</v>
      </c>
      <c r="H21" s="12">
        <f t="shared" si="2"/>
        <v>0.9</v>
      </c>
      <c r="I21" s="9">
        <f t="shared" si="3"/>
        <v>0.15572999999999998</v>
      </c>
      <c r="J21" s="13">
        <f t="shared" si="4"/>
        <v>0.87263858083902168</v>
      </c>
      <c r="L21" s="15">
        <f t="shared" si="5"/>
        <v>0.1518518518518519</v>
      </c>
      <c r="M21" s="17">
        <f t="shared" si="6"/>
        <v>0.13956519375240117</v>
      </c>
    </row>
    <row r="22" spans="1:15" x14ac:dyDescent="0.2">
      <c r="A22" t="s">
        <v>310</v>
      </c>
      <c r="B22" s="8">
        <v>0.95</v>
      </c>
      <c r="C22">
        <f t="shared" si="0"/>
        <v>0.19569499999999987</v>
      </c>
      <c r="G22" s="11">
        <f t="shared" si="1"/>
        <v>0.19569499999999987</v>
      </c>
      <c r="H22" s="12">
        <f t="shared" si="2"/>
        <v>0.94814814814814818</v>
      </c>
      <c r="I22" s="9">
        <f t="shared" si="3"/>
        <v>0.19569499999999987</v>
      </c>
      <c r="J22" s="13">
        <f t="shared" si="4"/>
        <v>0.9319327756273923</v>
      </c>
      <c r="L22" s="15">
        <f t="shared" si="5"/>
        <v>4.8148148148148162E-2</v>
      </c>
      <c r="M22" s="17">
        <f t="shared" si="6"/>
        <v>5.9294194788370613E-2</v>
      </c>
    </row>
    <row r="23" spans="1:15" x14ac:dyDescent="0.2">
      <c r="A23" t="s">
        <v>311</v>
      </c>
      <c r="B23" s="8">
        <v>0.99</v>
      </c>
      <c r="C23">
        <f t="shared" si="0"/>
        <v>0.26766300000000004</v>
      </c>
      <c r="G23" s="11">
        <f t="shared" si="1"/>
        <v>0.26766300000000004</v>
      </c>
      <c r="H23" s="12">
        <f t="shared" si="2"/>
        <v>0.98888888888888893</v>
      </c>
      <c r="I23" s="9">
        <f t="shared" si="3"/>
        <v>0.26766300000000004</v>
      </c>
      <c r="J23" s="13">
        <f t="shared" si="4"/>
        <v>0.98312784547626064</v>
      </c>
      <c r="L23" s="15">
        <f t="shared" si="5"/>
        <v>4.0740740740740744E-2</v>
      </c>
      <c r="M23" s="17">
        <f t="shared" si="6"/>
        <v>5.1195069848868346E-2</v>
      </c>
    </row>
    <row r="24" spans="1:15" x14ac:dyDescent="0.2">
      <c r="G24" s="11">
        <f>B4</f>
        <v>0.45379999999999998</v>
      </c>
      <c r="H24" s="12">
        <f t="shared" si="2"/>
        <v>1</v>
      </c>
      <c r="I24" s="9">
        <f>G24</f>
        <v>0.45379999999999998</v>
      </c>
      <c r="J24" s="13">
        <f t="shared" si="4"/>
        <v>0.99991494381189849</v>
      </c>
      <c r="L24" s="15">
        <f t="shared" ref="L24" si="7">H24-H23</f>
        <v>1.1111111111111072E-2</v>
      </c>
      <c r="M24" s="17">
        <f t="shared" ref="M24" si="8">J24-J23</f>
        <v>1.6787098335637851E-2</v>
      </c>
      <c r="N24" t="str">
        <f ca="1">_xlfn.FORMULATEXT(L24)</f>
        <v>=H24-H23</v>
      </c>
      <c r="O24" t="str">
        <f ca="1">_xlfn.FORMULATEXT(M24)</f>
        <v>=J24-J23</v>
      </c>
    </row>
    <row r="25" spans="1:15" x14ac:dyDescent="0.2">
      <c r="G25" s="11" t="str">
        <f ca="1">_xlfn.FORMULATEXT(G24)</f>
        <v>=B4</v>
      </c>
      <c r="H25" s="12"/>
      <c r="I25" s="9" t="str">
        <f ca="1">G25</f>
        <v>=B4</v>
      </c>
      <c r="J25" s="13"/>
    </row>
    <row r="27" spans="1:15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</row>
    <row r="28" spans="1:15" x14ac:dyDescent="0.2">
      <c r="A28" s="3" t="s">
        <v>20</v>
      </c>
      <c r="B28" s="3">
        <v>9.1000000000000004E-3</v>
      </c>
      <c r="C28" s="3">
        <v>4.0599999999999997E-2</v>
      </c>
      <c r="D28" s="3">
        <v>-4.9399999999999999E-2</v>
      </c>
      <c r="E28" s="3" t="s">
        <v>21</v>
      </c>
      <c r="F28" s="3" t="s">
        <v>21</v>
      </c>
    </row>
    <row r="29" spans="1:15" x14ac:dyDescent="0.2">
      <c r="A29" s="3" t="s">
        <v>22</v>
      </c>
      <c r="B29" s="3">
        <v>0.1048</v>
      </c>
      <c r="C29" s="3">
        <v>-8.3699999999999997E-2</v>
      </c>
      <c r="D29" s="3">
        <v>-1.5699999999999999E-2</v>
      </c>
      <c r="E29" s="3" t="s">
        <v>21</v>
      </c>
      <c r="F29" s="3" t="s">
        <v>21</v>
      </c>
    </row>
    <row r="30" spans="1:15" x14ac:dyDescent="0.2">
      <c r="A30" s="3" t="s">
        <v>23</v>
      </c>
      <c r="B30" s="3">
        <v>0.18479999999999999</v>
      </c>
      <c r="C30" s="3">
        <v>0.1484</v>
      </c>
      <c r="D30" s="3">
        <v>9.69E-2</v>
      </c>
      <c r="E30" s="3" t="s">
        <v>21</v>
      </c>
      <c r="F30" s="3" t="s">
        <v>21</v>
      </c>
    </row>
    <row r="31" spans="1:15" x14ac:dyDescent="0.2">
      <c r="A31" s="3" t="s">
        <v>24</v>
      </c>
      <c r="B31" s="3">
        <v>-8.6499999999999994E-2</v>
      </c>
      <c r="C31" s="3">
        <v>-5.5100000000000003E-2</v>
      </c>
      <c r="D31" s="3">
        <v>-3.5099999999999999E-2</v>
      </c>
      <c r="E31" s="3" t="s">
        <v>21</v>
      </c>
      <c r="F31" s="3" t="s">
        <v>21</v>
      </c>
    </row>
    <row r="32" spans="1:15" x14ac:dyDescent="0.2">
      <c r="A32" s="3" t="s">
        <v>25</v>
      </c>
      <c r="B32" s="3">
        <v>-0.32290000000000002</v>
      </c>
      <c r="C32" s="3">
        <v>-3.5900000000000001E-2</v>
      </c>
      <c r="D32" s="3">
        <v>-1.5699999999999999E-2</v>
      </c>
      <c r="E32" s="3" t="s">
        <v>21</v>
      </c>
      <c r="F32" s="3" t="s">
        <v>21</v>
      </c>
    </row>
    <row r="33" spans="1:6" x14ac:dyDescent="0.2">
      <c r="A33" s="3" t="s">
        <v>26</v>
      </c>
      <c r="B33" s="3">
        <v>0.247</v>
      </c>
      <c r="C33" s="3">
        <v>2.0400000000000001E-2</v>
      </c>
      <c r="D33" s="3">
        <v>1.9699999999999999E-2</v>
      </c>
      <c r="E33" s="3" t="s">
        <v>21</v>
      </c>
      <c r="F33" s="3" t="s">
        <v>21</v>
      </c>
    </row>
    <row r="34" spans="1:6" x14ac:dyDescent="0.2">
      <c r="A34" s="3" t="s">
        <v>27</v>
      </c>
      <c r="B34" s="3">
        <v>-2.98E-2</v>
      </c>
      <c r="C34" s="3">
        <v>2.6200000000000001E-2</v>
      </c>
      <c r="D34" s="3">
        <v>-1.6299999999999999E-2</v>
      </c>
      <c r="E34" s="3" t="s">
        <v>21</v>
      </c>
      <c r="F34" s="3" t="s">
        <v>21</v>
      </c>
    </row>
    <row r="35" spans="1:6" x14ac:dyDescent="0.2">
      <c r="A35" s="3" t="s">
        <v>28</v>
      </c>
      <c r="B35" s="3">
        <v>0.1993</v>
      </c>
      <c r="C35" s="3">
        <v>0.17530000000000001</v>
      </c>
      <c r="D35" s="3">
        <v>6.6000000000000003E-2</v>
      </c>
      <c r="E35" s="3" t="s">
        <v>21</v>
      </c>
      <c r="F35" s="3" t="s">
        <v>21</v>
      </c>
    </row>
    <row r="36" spans="1:6" x14ac:dyDescent="0.2">
      <c r="A36" s="3" t="s">
        <v>29</v>
      </c>
      <c r="B36" s="3">
        <v>-0.57740000000000002</v>
      </c>
      <c r="C36" s="3">
        <v>-0.1477</v>
      </c>
      <c r="D36" s="3">
        <v>-5.4800000000000001E-2</v>
      </c>
      <c r="E36" s="3" t="s">
        <v>21</v>
      </c>
      <c r="F36" s="3" t="s">
        <v>21</v>
      </c>
    </row>
    <row r="37" spans="1:6" x14ac:dyDescent="0.2">
      <c r="A37" s="3" t="s">
        <v>30</v>
      </c>
      <c r="B37" s="3">
        <v>-0.24030000000000001</v>
      </c>
      <c r="C37" s="3">
        <v>-0.1244</v>
      </c>
      <c r="D37" s="3">
        <v>-4.7000000000000002E-3</v>
      </c>
      <c r="E37" s="3" t="s">
        <v>21</v>
      </c>
      <c r="F37" s="3" t="s">
        <v>21</v>
      </c>
    </row>
    <row r="38" spans="1:6" x14ac:dyDescent="0.2">
      <c r="A38" s="3" t="s">
        <v>31</v>
      </c>
      <c r="B38" s="3">
        <v>-0.15659999999999999</v>
      </c>
      <c r="C38" s="3">
        <v>-4.9500000000000002E-2</v>
      </c>
      <c r="D38" s="3">
        <v>-7.4700000000000003E-2</v>
      </c>
      <c r="E38" s="3" t="s">
        <v>21</v>
      </c>
      <c r="F38" s="3" t="s">
        <v>21</v>
      </c>
    </row>
    <row r="39" spans="1:6" x14ac:dyDescent="0.2">
      <c r="A39" s="3" t="s">
        <v>32</v>
      </c>
      <c r="B39" s="3">
        <v>-9.8500000000000004E-2</v>
      </c>
      <c r="C39" s="3">
        <v>-9.0899999999999995E-2</v>
      </c>
      <c r="D39" s="3">
        <v>-5.1999999999999998E-3</v>
      </c>
      <c r="E39" s="3" t="s">
        <v>21</v>
      </c>
      <c r="F39" s="3" t="s">
        <v>21</v>
      </c>
    </row>
    <row r="40" spans="1:6" x14ac:dyDescent="0.2">
      <c r="A40" s="3" t="s">
        <v>33</v>
      </c>
      <c r="B40" s="3">
        <v>0.45379999999999998</v>
      </c>
      <c r="C40" s="3">
        <v>0.31759999999999999</v>
      </c>
      <c r="D40" s="3">
        <v>4.4499999999999998E-2</v>
      </c>
      <c r="E40" s="3" t="s">
        <v>21</v>
      </c>
      <c r="F40" s="3" t="s">
        <v>21</v>
      </c>
    </row>
    <row r="41" spans="1:6" x14ac:dyDescent="0.2">
      <c r="A41" s="3" t="s">
        <v>34</v>
      </c>
      <c r="B41" s="3">
        <v>-0.15609999999999999</v>
      </c>
      <c r="C41" s="3">
        <v>-0.107</v>
      </c>
      <c r="D41" s="3">
        <v>-9.5399999999999999E-2</v>
      </c>
      <c r="E41" s="3" t="s">
        <v>21</v>
      </c>
      <c r="F41" s="3" t="s">
        <v>21</v>
      </c>
    </row>
    <row r="42" spans="1:6" x14ac:dyDescent="0.2">
      <c r="A42" s="3" t="s">
        <v>35</v>
      </c>
      <c r="B42" s="3">
        <v>0.20930000000000001</v>
      </c>
      <c r="C42" s="3">
        <v>-3.7199999999999997E-2</v>
      </c>
      <c r="D42" s="3">
        <v>-5.6000000000000001E-2</v>
      </c>
      <c r="E42" s="3" t="s">
        <v>21</v>
      </c>
      <c r="F42" s="3" t="s">
        <v>21</v>
      </c>
    </row>
    <row r="43" spans="1:6" x14ac:dyDescent="0.2">
      <c r="A43" s="3" t="s">
        <v>36</v>
      </c>
      <c r="B43" s="3">
        <v>0.155</v>
      </c>
      <c r="C43" s="3">
        <v>0.1971</v>
      </c>
      <c r="D43" s="3">
        <v>7.0400000000000004E-2</v>
      </c>
      <c r="E43" s="3" t="s">
        <v>21</v>
      </c>
      <c r="F43" s="3" t="s">
        <v>21</v>
      </c>
    </row>
    <row r="44" spans="1:6" x14ac:dyDescent="0.2">
      <c r="A44" s="3" t="s">
        <v>37</v>
      </c>
      <c r="B44" s="3">
        <v>-0.21729999999999999</v>
      </c>
      <c r="C44" s="3">
        <v>-2.7900000000000001E-2</v>
      </c>
      <c r="D44" s="3">
        <v>8.3000000000000001E-3</v>
      </c>
      <c r="E44" s="3" t="s">
        <v>21</v>
      </c>
      <c r="F44" s="3" t="s">
        <v>21</v>
      </c>
    </row>
    <row r="45" spans="1:6" x14ac:dyDescent="0.2">
      <c r="A45" s="3" t="s">
        <v>38</v>
      </c>
      <c r="B45" s="3">
        <v>0.16539999999999999</v>
      </c>
      <c r="C45" s="3">
        <v>1.0699999999999999E-2</v>
      </c>
      <c r="D45" s="3">
        <v>-2.3800000000000002E-2</v>
      </c>
      <c r="E45" s="3" t="s">
        <v>21</v>
      </c>
      <c r="F45" s="3" t="s">
        <v>21</v>
      </c>
    </row>
    <row r="46" spans="1:6" x14ac:dyDescent="0.2">
      <c r="A46" s="3" t="s">
        <v>39</v>
      </c>
      <c r="B46" s="3">
        <v>-0.1918</v>
      </c>
      <c r="C46" s="3">
        <v>-6.8900000000000003E-2</v>
      </c>
      <c r="D46" s="3">
        <v>-1.0200000000000001E-2</v>
      </c>
      <c r="E46" s="3" t="s">
        <v>21</v>
      </c>
      <c r="F46" s="3" t="s">
        <v>21</v>
      </c>
    </row>
    <row r="47" spans="1:6" x14ac:dyDescent="0.2">
      <c r="A47" s="3" t="s">
        <v>40</v>
      </c>
      <c r="B47" s="3">
        <v>-1.2800000000000001E-2</v>
      </c>
      <c r="C47" s="3">
        <v>-4.87E-2</v>
      </c>
      <c r="D47" s="3">
        <v>-5.9299999999999999E-2</v>
      </c>
      <c r="E47" s="3" t="s">
        <v>21</v>
      </c>
      <c r="F47" s="3" t="s">
        <v>21</v>
      </c>
    </row>
    <row r="48" spans="1:6" x14ac:dyDescent="0.2">
      <c r="A48" s="3" t="s">
        <v>41</v>
      </c>
      <c r="B48" s="3">
        <v>-0.16389999999999999</v>
      </c>
      <c r="C48" s="3">
        <v>-8.2299999999999998E-2</v>
      </c>
      <c r="D48" s="3">
        <v>-8.1600000000000006E-2</v>
      </c>
      <c r="E48" s="3" t="s">
        <v>21</v>
      </c>
      <c r="F48" s="3" t="s">
        <v>21</v>
      </c>
    </row>
    <row r="49" spans="1:6" x14ac:dyDescent="0.2">
      <c r="A49" s="3" t="s">
        <v>42</v>
      </c>
      <c r="B49" s="3">
        <v>0.13220000000000001</v>
      </c>
      <c r="C49" s="3">
        <v>0.17829999999999999</v>
      </c>
      <c r="D49" s="3">
        <v>1.2999999999999999E-2</v>
      </c>
      <c r="E49" s="3" t="s">
        <v>21</v>
      </c>
      <c r="F49" s="3" t="s">
        <v>21</v>
      </c>
    </row>
    <row r="50" spans="1:6" x14ac:dyDescent="0.2">
      <c r="A50" s="3" t="s">
        <v>43</v>
      </c>
      <c r="B50" s="3">
        <v>0.21299999999999999</v>
      </c>
      <c r="C50" s="3">
        <v>7.0900000000000005E-2</v>
      </c>
      <c r="D50" s="3">
        <v>7.8E-2</v>
      </c>
      <c r="E50" s="3" t="s">
        <v>21</v>
      </c>
      <c r="F50" s="3" t="s">
        <v>21</v>
      </c>
    </row>
    <row r="51" spans="1:6" x14ac:dyDescent="0.2">
      <c r="A51" s="3" t="s">
        <v>44</v>
      </c>
      <c r="B51" s="3">
        <v>2.8199999999999999E-2</v>
      </c>
      <c r="C51" s="3">
        <v>4.65E-2</v>
      </c>
      <c r="D51" s="3">
        <v>5.5999999999999999E-3</v>
      </c>
      <c r="E51" s="3" t="s">
        <v>21</v>
      </c>
      <c r="F51" s="3" t="s">
        <v>21</v>
      </c>
    </row>
    <row r="52" spans="1:6" x14ac:dyDescent="0.2">
      <c r="A52" s="3" t="s">
        <v>45</v>
      </c>
      <c r="B52" s="3">
        <v>0.1288</v>
      </c>
      <c r="C52" s="3">
        <v>-0.1081</v>
      </c>
      <c r="D52" s="3">
        <v>-9.7999999999999997E-3</v>
      </c>
      <c r="E52" s="3" t="s">
        <v>21</v>
      </c>
      <c r="F52" s="3" t="s">
        <v>21</v>
      </c>
    </row>
    <row r="53" spans="1:6" x14ac:dyDescent="0.2">
      <c r="A53" s="3" t="s">
        <v>46</v>
      </c>
      <c r="B53" s="3">
        <v>-0.1222</v>
      </c>
      <c r="C53" s="3">
        <v>-8.9399999999999993E-2</v>
      </c>
      <c r="D53" s="3">
        <v>-1.7899999999999999E-2</v>
      </c>
      <c r="E53" s="3" t="s">
        <v>21</v>
      </c>
      <c r="F53" s="3" t="s">
        <v>21</v>
      </c>
    </row>
    <row r="54" spans="1:6" x14ac:dyDescent="0.2">
      <c r="A54" s="3" t="s">
        <v>47</v>
      </c>
      <c r="B54" s="3">
        <v>9.0800000000000006E-2</v>
      </c>
      <c r="C54" s="3">
        <v>5.9900000000000002E-2</v>
      </c>
      <c r="D54" s="3">
        <v>3.32E-2</v>
      </c>
      <c r="E54" s="3" t="s">
        <v>21</v>
      </c>
      <c r="F54" s="3" t="s">
        <v>21</v>
      </c>
    </row>
    <row r="55" spans="1:6" x14ac:dyDescent="0.2">
      <c r="A55" s="3" t="s">
        <v>48</v>
      </c>
      <c r="B55" s="3">
        <v>2.53E-2</v>
      </c>
      <c r="C55" s="3">
        <v>-0.1946</v>
      </c>
      <c r="D55" s="3">
        <v>-5.8200000000000002E-2</v>
      </c>
      <c r="E55" s="3" t="s">
        <v>21</v>
      </c>
      <c r="F55" s="3" t="s">
        <v>21</v>
      </c>
    </row>
    <row r="56" spans="1:6" x14ac:dyDescent="0.2">
      <c r="A56" s="3" t="s">
        <v>49</v>
      </c>
      <c r="B56" s="3">
        <v>-0.04</v>
      </c>
      <c r="C56" s="3">
        <v>-3.78E-2</v>
      </c>
      <c r="D56" s="3">
        <v>-5.8999999999999999E-3</v>
      </c>
      <c r="E56" s="3" t="s">
        <v>21</v>
      </c>
      <c r="F56" s="3" t="s">
        <v>21</v>
      </c>
    </row>
    <row r="57" spans="1:6" x14ac:dyDescent="0.2">
      <c r="A57" s="3" t="s">
        <v>50</v>
      </c>
      <c r="B57" s="3">
        <v>-0.23949999999999999</v>
      </c>
      <c r="C57" s="3">
        <v>-0.105</v>
      </c>
      <c r="D57" s="3">
        <v>-7.3800000000000004E-2</v>
      </c>
      <c r="E57" s="3" t="s">
        <v>21</v>
      </c>
      <c r="F57" s="3" t="s">
        <v>21</v>
      </c>
    </row>
    <row r="58" spans="1:6" x14ac:dyDescent="0.2">
      <c r="A58" s="3" t="s">
        <v>51</v>
      </c>
      <c r="B58" s="3">
        <v>-0.13880000000000001</v>
      </c>
      <c r="C58" s="3">
        <v>-2.2200000000000001E-2</v>
      </c>
      <c r="D58" s="3">
        <v>-7.8799999999999995E-2</v>
      </c>
      <c r="E58" s="3" t="s">
        <v>21</v>
      </c>
      <c r="F58" s="3" t="s">
        <v>21</v>
      </c>
    </row>
    <row r="59" spans="1:6" x14ac:dyDescent="0.2">
      <c r="A59" s="3" t="s">
        <v>52</v>
      </c>
      <c r="B59" s="3">
        <v>-3.3399999999999999E-2</v>
      </c>
      <c r="C59" s="3">
        <v>7.3099999999999998E-2</v>
      </c>
      <c r="D59" s="3">
        <v>6.7999999999999996E-3</v>
      </c>
      <c r="E59" s="3" t="s">
        <v>21</v>
      </c>
      <c r="F59" s="3" t="s">
        <v>21</v>
      </c>
    </row>
    <row r="60" spans="1:6" x14ac:dyDescent="0.2">
      <c r="A60" s="3" t="s">
        <v>53</v>
      </c>
      <c r="B60" s="3">
        <v>-1.6899999999999998E-2</v>
      </c>
      <c r="C60" s="3">
        <v>-0.22650000000000001</v>
      </c>
      <c r="D60" s="3">
        <v>-0.10489999999999999</v>
      </c>
      <c r="E60" s="3" t="s">
        <v>21</v>
      </c>
      <c r="F60" s="3" t="s">
        <v>21</v>
      </c>
    </row>
    <row r="61" spans="1:6" x14ac:dyDescent="0.2">
      <c r="A61" s="3" t="s">
        <v>54</v>
      </c>
      <c r="B61" s="3">
        <v>0.10829999999999999</v>
      </c>
      <c r="C61" s="3">
        <v>0.3538</v>
      </c>
      <c r="D61" s="3">
        <v>8.2299999999999998E-2</v>
      </c>
      <c r="E61" s="3" t="s">
        <v>21</v>
      </c>
      <c r="F61" s="3" t="s">
        <v>21</v>
      </c>
    </row>
    <row r="62" spans="1:6" x14ac:dyDescent="0.2">
      <c r="A62" s="3" t="s">
        <v>55</v>
      </c>
      <c r="B62" s="3">
        <v>-3.5499999999999997E-2</v>
      </c>
      <c r="C62" s="3">
        <v>0.1031</v>
      </c>
      <c r="D62" s="3">
        <v>6.1699999999999998E-2</v>
      </c>
      <c r="E62" s="3" t="s">
        <v>21</v>
      </c>
      <c r="F62" s="3" t="s">
        <v>21</v>
      </c>
    </row>
    <row r="63" spans="1:6" x14ac:dyDescent="0.2">
      <c r="A63" s="3" t="s">
        <v>56</v>
      </c>
      <c r="B63" s="3">
        <v>-7.5499999999999998E-2</v>
      </c>
      <c r="C63" s="3">
        <v>-0.1084</v>
      </c>
      <c r="D63" s="3">
        <v>-5.6599999999999998E-2</v>
      </c>
      <c r="E63" s="3" t="s">
        <v>21</v>
      </c>
      <c r="F63" s="3" t="s">
        <v>21</v>
      </c>
    </row>
    <row r="64" spans="1:6" x14ac:dyDescent="0.2">
      <c r="A64" s="3" t="s">
        <v>57</v>
      </c>
      <c r="B64" s="3">
        <v>2.0999999999999999E-3</v>
      </c>
      <c r="C64" s="3">
        <v>8.9999999999999993E-3</v>
      </c>
      <c r="D64" s="3">
        <v>-2.46E-2</v>
      </c>
      <c r="E64" s="3" t="s">
        <v>21</v>
      </c>
      <c r="F64" s="3" t="s">
        <v>21</v>
      </c>
    </row>
    <row r="65" spans="1:6" x14ac:dyDescent="0.2">
      <c r="A65" s="3" t="s">
        <v>58</v>
      </c>
      <c r="B65" s="3">
        <v>4.53E-2</v>
      </c>
      <c r="C65" s="3">
        <v>-1.2999999999999999E-3</v>
      </c>
      <c r="D65" s="3">
        <v>-1.35E-2</v>
      </c>
      <c r="E65" s="3" t="s">
        <v>21</v>
      </c>
      <c r="F65" s="3" t="s">
        <v>21</v>
      </c>
    </row>
    <row r="66" spans="1:6" x14ac:dyDescent="0.2">
      <c r="A66" s="3" t="s">
        <v>59</v>
      </c>
      <c r="B66" s="3">
        <v>-5.8000000000000003E-2</v>
      </c>
      <c r="C66" s="3">
        <v>6.1999999999999998E-3</v>
      </c>
      <c r="D66" s="3">
        <v>2.0999999999999999E-3</v>
      </c>
      <c r="E66" s="3" t="s">
        <v>21</v>
      </c>
      <c r="F66" s="3" t="s">
        <v>21</v>
      </c>
    </row>
    <row r="67" spans="1:6" x14ac:dyDescent="0.2">
      <c r="A67" s="3" t="s">
        <v>60</v>
      </c>
      <c r="B67" s="3">
        <v>5.7000000000000002E-3</v>
      </c>
      <c r="C67" s="3">
        <v>8.2500000000000004E-2</v>
      </c>
      <c r="D67" s="3">
        <v>8.4599999999999995E-2</v>
      </c>
      <c r="E67" s="3" t="s">
        <v>21</v>
      </c>
      <c r="F67" s="3" t="s">
        <v>21</v>
      </c>
    </row>
    <row r="68" spans="1:6" x14ac:dyDescent="0.2">
      <c r="A68" s="3" t="s">
        <v>61</v>
      </c>
      <c r="B68" s="3">
        <v>0.26229999999999998</v>
      </c>
      <c r="C68" s="3">
        <v>3.8899999999999997E-2</v>
      </c>
      <c r="D68" s="3">
        <v>5.4800000000000001E-2</v>
      </c>
      <c r="E68" s="3" t="s">
        <v>21</v>
      </c>
      <c r="F68" s="3" t="s">
        <v>21</v>
      </c>
    </row>
    <row r="69" spans="1:6" x14ac:dyDescent="0.2">
      <c r="A69" s="3" t="s">
        <v>62</v>
      </c>
      <c r="B69" s="3">
        <v>6.1800000000000001E-2</v>
      </c>
      <c r="C69" s="3">
        <v>-6.2899999999999998E-2</v>
      </c>
      <c r="D69" s="3">
        <v>1.0699999999999999E-2</v>
      </c>
      <c r="E69" s="3" t="s">
        <v>21</v>
      </c>
      <c r="F69" s="3" t="s">
        <v>21</v>
      </c>
    </row>
    <row r="70" spans="1:6" x14ac:dyDescent="0.2">
      <c r="A70" s="3" t="s">
        <v>63</v>
      </c>
      <c r="B70" s="3">
        <v>0.106</v>
      </c>
      <c r="C70" s="3">
        <v>-1.52E-2</v>
      </c>
      <c r="D70" s="3">
        <v>1.7999999999999999E-2</v>
      </c>
      <c r="E70" s="3" t="s">
        <v>21</v>
      </c>
      <c r="F70" s="3" t="s">
        <v>21</v>
      </c>
    </row>
    <row r="71" spans="1:6" x14ac:dyDescent="0.2">
      <c r="A71" s="3" t="s">
        <v>64</v>
      </c>
      <c r="B71" s="3">
        <v>7.2599999999999998E-2</v>
      </c>
      <c r="C71" s="3">
        <v>1.14E-2</v>
      </c>
      <c r="D71" s="3">
        <v>2.06E-2</v>
      </c>
      <c r="E71" s="3" t="s">
        <v>21</v>
      </c>
      <c r="F71" s="3" t="s">
        <v>21</v>
      </c>
    </row>
    <row r="72" spans="1:6" x14ac:dyDescent="0.2">
      <c r="A72" s="3" t="s">
        <v>65</v>
      </c>
      <c r="B72" s="3">
        <v>-8.3599999999999994E-2</v>
      </c>
      <c r="C72" s="3">
        <v>7.7100000000000002E-2</v>
      </c>
      <c r="D72" s="3">
        <v>-1.09E-2</v>
      </c>
      <c r="E72" s="3" t="s">
        <v>21</v>
      </c>
      <c r="F72" s="3" t="s">
        <v>21</v>
      </c>
    </row>
    <row r="73" spans="1:6" x14ac:dyDescent="0.2">
      <c r="A73" s="3" t="s">
        <v>66</v>
      </c>
      <c r="B73" s="3">
        <v>0.1047</v>
      </c>
      <c r="C73" s="3">
        <v>1.2999999999999999E-2</v>
      </c>
      <c r="D73" s="3">
        <v>5.3499999999999999E-2</v>
      </c>
      <c r="E73" s="3" t="s">
        <v>21</v>
      </c>
      <c r="F73" s="3" t="s">
        <v>21</v>
      </c>
    </row>
    <row r="74" spans="1:6" x14ac:dyDescent="0.2">
      <c r="A74" s="3" t="s">
        <v>67</v>
      </c>
      <c r="B74" s="3">
        <v>-8.6499999999999994E-2</v>
      </c>
      <c r="C74" s="3">
        <v>1.37E-2</v>
      </c>
      <c r="D74" s="3">
        <v>1.09E-2</v>
      </c>
      <c r="E74" s="3" t="s">
        <v>21</v>
      </c>
      <c r="F74" s="3" t="s">
        <v>21</v>
      </c>
    </row>
    <row r="75" spans="1:6" x14ac:dyDescent="0.2">
      <c r="A75" s="3" t="s">
        <v>68</v>
      </c>
      <c r="B75" s="3">
        <v>2.1999999999999999E-2</v>
      </c>
      <c r="C75" s="3">
        <v>2.3599999999999999E-2</v>
      </c>
      <c r="D75" s="3">
        <v>5.0299999999999997E-2</v>
      </c>
      <c r="E75" s="3" t="s">
        <v>21</v>
      </c>
      <c r="F75" s="3" t="s">
        <v>21</v>
      </c>
    </row>
    <row r="76" spans="1:6" x14ac:dyDescent="0.2">
      <c r="A76" s="3" t="s">
        <v>69</v>
      </c>
      <c r="B76" s="3">
        <v>5.57E-2</v>
      </c>
      <c r="C76" s="3">
        <v>7.0699999999999999E-2</v>
      </c>
      <c r="D76" s="3">
        <v>1.9800000000000002E-2</v>
      </c>
      <c r="E76" s="3" t="s">
        <v>21</v>
      </c>
      <c r="F76" s="3" t="s">
        <v>21</v>
      </c>
    </row>
    <row r="77" spans="1:6" x14ac:dyDescent="0.2">
      <c r="A77" s="3" t="s">
        <v>70</v>
      </c>
      <c r="B77" s="3">
        <v>6.0299999999999999E-2</v>
      </c>
      <c r="C77" s="3">
        <v>-2.5899999999999999E-2</v>
      </c>
      <c r="D77" s="3">
        <v>1.3599999999999999E-2</v>
      </c>
      <c r="E77" s="3" t="s">
        <v>21</v>
      </c>
      <c r="F77" s="3" t="s">
        <v>21</v>
      </c>
    </row>
    <row r="78" spans="1:6" x14ac:dyDescent="0.2">
      <c r="A78" s="3" t="s">
        <v>71</v>
      </c>
      <c r="B78" s="3">
        <v>0.13039999999999999</v>
      </c>
      <c r="C78" s="3">
        <v>-4.8300000000000003E-2</v>
      </c>
      <c r="D78" s="3">
        <v>-1.32E-2</v>
      </c>
      <c r="E78" s="3" t="s">
        <v>21</v>
      </c>
      <c r="F78" s="3" t="s">
        <v>21</v>
      </c>
    </row>
    <row r="79" spans="1:6" x14ac:dyDescent="0.2">
      <c r="A79" s="3" t="s">
        <v>72</v>
      </c>
      <c r="B79" s="3">
        <v>-4.6600000000000003E-2</v>
      </c>
      <c r="C79" s="3">
        <v>-0.04</v>
      </c>
      <c r="D79" s="3">
        <v>-1.89E-2</v>
      </c>
      <c r="E79" s="3" t="s">
        <v>21</v>
      </c>
      <c r="F79" s="3" t="s">
        <v>21</v>
      </c>
    </row>
    <row r="80" spans="1:6" x14ac:dyDescent="0.2">
      <c r="A80" s="3" t="s">
        <v>73</v>
      </c>
      <c r="B80" s="3">
        <v>8.8400000000000006E-2</v>
      </c>
      <c r="C80" s="3">
        <v>6.7999999999999996E-3</v>
      </c>
      <c r="D80" s="3">
        <v>1.7100000000000001E-2</v>
      </c>
      <c r="E80" s="3" t="s">
        <v>21</v>
      </c>
      <c r="F80" s="3" t="s">
        <v>21</v>
      </c>
    </row>
    <row r="81" spans="1:6" x14ac:dyDescent="0.2">
      <c r="A81" s="3" t="s">
        <v>74</v>
      </c>
      <c r="B81" s="3">
        <v>0.15970000000000001</v>
      </c>
      <c r="C81" s="3">
        <v>-5.0000000000000001E-3</v>
      </c>
      <c r="D81" s="3">
        <v>1.8499999999999999E-2</v>
      </c>
      <c r="E81" s="3" t="s">
        <v>21</v>
      </c>
      <c r="F81" s="3" t="s">
        <v>21</v>
      </c>
    </row>
    <row r="82" spans="1:6" x14ac:dyDescent="0.2">
      <c r="A82" s="3" t="s">
        <v>75</v>
      </c>
      <c r="B82" s="3">
        <v>-6.1000000000000004E-3</v>
      </c>
      <c r="C82" s="3">
        <v>-1.23E-2</v>
      </c>
      <c r="D82" s="3">
        <v>-3.2199999999999999E-2</v>
      </c>
      <c r="E82" s="3" t="s">
        <v>21</v>
      </c>
      <c r="F82" s="3" t="s">
        <v>21</v>
      </c>
    </row>
    <row r="83" spans="1:6" x14ac:dyDescent="0.2">
      <c r="A83" s="3" t="s">
        <v>76</v>
      </c>
      <c r="B83" s="3">
        <v>6.6500000000000004E-2</v>
      </c>
      <c r="C83" s="3">
        <v>-2.52E-2</v>
      </c>
      <c r="D83" s="3">
        <v>2.3999999999999998E-3</v>
      </c>
      <c r="E83" s="3" t="s">
        <v>21</v>
      </c>
      <c r="F83" s="3" t="s">
        <v>21</v>
      </c>
    </row>
    <row r="84" spans="1:6" x14ac:dyDescent="0.2">
      <c r="A84" s="3" t="s">
        <v>77</v>
      </c>
      <c r="B84" s="3">
        <v>0.1235</v>
      </c>
      <c r="C84" s="3">
        <v>1.24E-2</v>
      </c>
      <c r="D84" s="3">
        <v>0.01</v>
      </c>
      <c r="E84" s="3" t="s">
        <v>21</v>
      </c>
      <c r="F84" s="3" t="s">
        <v>21</v>
      </c>
    </row>
    <row r="85" spans="1:6" x14ac:dyDescent="0.2">
      <c r="A85" s="3" t="s">
        <v>78</v>
      </c>
      <c r="B85" s="3">
        <v>0.3523</v>
      </c>
      <c r="C85" s="3">
        <v>4.6800000000000001E-2</v>
      </c>
      <c r="D85" s="3">
        <v>1.29E-2</v>
      </c>
      <c r="E85" s="3" t="s">
        <v>21</v>
      </c>
      <c r="F85" s="3" t="s">
        <v>21</v>
      </c>
    </row>
    <row r="86" spans="1:6" x14ac:dyDescent="0.2">
      <c r="A86" s="3" t="s">
        <v>79</v>
      </c>
      <c r="B86" s="3">
        <v>0.27960000000000002</v>
      </c>
      <c r="C86" s="3">
        <v>5.21E-2</v>
      </c>
      <c r="D86" s="3">
        <v>4.4499999999999998E-2</v>
      </c>
      <c r="E86" s="3">
        <v>1.67E-2</v>
      </c>
      <c r="F86" s="3" t="s">
        <v>21</v>
      </c>
    </row>
    <row r="87" spans="1:6" x14ac:dyDescent="0.2">
      <c r="A87" s="3" t="s">
        <v>80</v>
      </c>
      <c r="B87" s="3">
        <v>-3.95E-2</v>
      </c>
      <c r="C87" s="3">
        <v>4.6100000000000002E-2</v>
      </c>
      <c r="D87" s="3">
        <v>3.0200000000000001E-2</v>
      </c>
      <c r="E87" s="3">
        <v>-2.93E-2</v>
      </c>
      <c r="F87" s="3" t="s">
        <v>21</v>
      </c>
    </row>
    <row r="88" spans="1:6" x14ac:dyDescent="0.2">
      <c r="A88" s="3" t="s">
        <v>81</v>
      </c>
      <c r="B88" s="3">
        <v>0.19409999999999999</v>
      </c>
      <c r="C88" s="3">
        <v>-5.2299999999999999E-2</v>
      </c>
      <c r="D88" s="3">
        <v>-2.24E-2</v>
      </c>
      <c r="E88" s="3">
        <v>-3.61E-2</v>
      </c>
      <c r="F88" s="3" t="s">
        <v>21</v>
      </c>
    </row>
    <row r="89" spans="1:6" x14ac:dyDescent="0.2">
      <c r="A89" s="3" t="s">
        <v>82</v>
      </c>
      <c r="B89" s="3">
        <v>0.16669999999999999</v>
      </c>
      <c r="C89" s="3">
        <v>-7.1000000000000004E-3</v>
      </c>
      <c r="D89" s="3">
        <v>2.0899999999999998E-2</v>
      </c>
      <c r="E89" s="3">
        <v>3.0800000000000001E-2</v>
      </c>
      <c r="F89" s="3" t="s">
        <v>21</v>
      </c>
    </row>
    <row r="90" spans="1:6" x14ac:dyDescent="0.2">
      <c r="A90" s="3" t="s">
        <v>83</v>
      </c>
      <c r="B90" s="3">
        <v>-7.1099999999999997E-2</v>
      </c>
      <c r="C90" s="3">
        <v>-1.2999999999999999E-2</v>
      </c>
      <c r="D90" s="3">
        <v>-1.83E-2</v>
      </c>
      <c r="E90" s="3">
        <v>-1.61E-2</v>
      </c>
      <c r="F90" s="3" t="s">
        <v>21</v>
      </c>
    </row>
    <row r="91" spans="1:6" x14ac:dyDescent="0.2">
      <c r="A91" s="3" t="s">
        <v>84</v>
      </c>
      <c r="B91" s="3">
        <v>-0.1346</v>
      </c>
      <c r="C91" s="3">
        <v>-0.16420000000000001</v>
      </c>
      <c r="D91" s="3">
        <v>-1.8700000000000001E-2</v>
      </c>
      <c r="E91" s="3">
        <v>1.24E-2</v>
      </c>
      <c r="F91" s="3" t="s">
        <v>21</v>
      </c>
    </row>
    <row r="92" spans="1:6" x14ac:dyDescent="0.2">
      <c r="A92" s="3" t="s">
        <v>85</v>
      </c>
      <c r="B92" s="3">
        <v>0.1026</v>
      </c>
      <c r="C92" s="3">
        <v>-8.2000000000000007E-3</v>
      </c>
      <c r="D92" s="3">
        <v>3.2199999999999999E-2</v>
      </c>
      <c r="E92" s="3">
        <v>-3.9199999999999999E-2</v>
      </c>
      <c r="F92" s="3" t="s">
        <v>21</v>
      </c>
    </row>
    <row r="93" spans="1:6" x14ac:dyDescent="0.2">
      <c r="A93" s="3" t="s">
        <v>86</v>
      </c>
      <c r="B93" s="3">
        <v>-7.4200000000000002E-2</v>
      </c>
      <c r="C93" s="3">
        <v>-1.7899999999999999E-2</v>
      </c>
      <c r="D93" s="3">
        <v>1.5E-3</v>
      </c>
      <c r="E93" s="3">
        <v>4.2999999999999997E-2</v>
      </c>
      <c r="F93" s="3" t="s">
        <v>21</v>
      </c>
    </row>
    <row r="94" spans="1:6" x14ac:dyDescent="0.2">
      <c r="A94" s="3" t="s">
        <v>87</v>
      </c>
      <c r="B94" s="3">
        <v>0.15870000000000001</v>
      </c>
      <c r="C94" s="3">
        <v>0.12479999999999999</v>
      </c>
      <c r="D94" s="3">
        <v>3.8300000000000001E-2</v>
      </c>
      <c r="E94" s="3">
        <v>-1.43E-2</v>
      </c>
      <c r="F94" s="3" t="s">
        <v>21</v>
      </c>
    </row>
    <row r="95" spans="1:6" x14ac:dyDescent="0.2">
      <c r="A95" s="3" t="s">
        <v>88</v>
      </c>
      <c r="B95" s="3">
        <v>9.9400000000000002E-2</v>
      </c>
      <c r="C95" s="3">
        <v>-3.1699999999999999E-2</v>
      </c>
      <c r="D95" s="3">
        <v>-9.4000000000000004E-3</v>
      </c>
      <c r="E95" s="3">
        <v>1.35E-2</v>
      </c>
      <c r="F95" s="3" t="s">
        <v>21</v>
      </c>
    </row>
    <row r="96" spans="1:6" x14ac:dyDescent="0.2">
      <c r="A96" s="3" t="s">
        <v>89</v>
      </c>
      <c r="B96" s="3">
        <v>0.14330000000000001</v>
      </c>
      <c r="C96" s="3">
        <v>-5.0000000000000001E-3</v>
      </c>
      <c r="D96" s="3">
        <v>8.0000000000000002E-3</v>
      </c>
      <c r="E96" s="3">
        <v>7.5999999999999998E-2</v>
      </c>
      <c r="F96" s="3" t="s">
        <v>21</v>
      </c>
    </row>
    <row r="97" spans="1:6" x14ac:dyDescent="0.2">
      <c r="A97" s="3" t="s">
        <v>90</v>
      </c>
      <c r="B97" s="3">
        <v>7.4200000000000002E-2</v>
      </c>
      <c r="C97" s="3">
        <v>2.07E-2</v>
      </c>
      <c r="D97" s="3">
        <v>-2.3699999999999999E-2</v>
      </c>
      <c r="E97" s="3">
        <v>-6.4000000000000003E-3</v>
      </c>
      <c r="F97" s="3" t="s">
        <v>21</v>
      </c>
    </row>
    <row r="98" spans="1:6" x14ac:dyDescent="0.2">
      <c r="A98" s="3" t="s">
        <v>91</v>
      </c>
      <c r="B98" s="3">
        <v>0.17760000000000001</v>
      </c>
      <c r="C98" s="3">
        <v>8.8300000000000003E-2</v>
      </c>
      <c r="D98" s="3">
        <v>4.3999999999999997E-2</v>
      </c>
      <c r="E98" s="3">
        <v>5.8200000000000002E-2</v>
      </c>
      <c r="F98" s="3" t="s">
        <v>21</v>
      </c>
    </row>
    <row r="99" spans="1:6" x14ac:dyDescent="0.2">
      <c r="A99" s="3" t="s">
        <v>92</v>
      </c>
      <c r="B99" s="3">
        <v>0.06</v>
      </c>
      <c r="C99" s="3">
        <v>-7.5399999999999995E-2</v>
      </c>
      <c r="D99" s="3">
        <v>-1.9E-3</v>
      </c>
      <c r="E99" s="3">
        <v>5.0500000000000003E-2</v>
      </c>
      <c r="F99" s="3" t="s">
        <v>21</v>
      </c>
    </row>
    <row r="100" spans="1:6" x14ac:dyDescent="0.2">
      <c r="A100" s="3" t="s">
        <v>93</v>
      </c>
      <c r="B100" s="3">
        <v>5.04E-2</v>
      </c>
      <c r="C100" s="3">
        <v>-1.09E-2</v>
      </c>
      <c r="D100" s="3">
        <v>2.4E-2</v>
      </c>
      <c r="E100" s="3">
        <v>9.9299999999999999E-2</v>
      </c>
      <c r="F100" s="3" t="s">
        <v>21</v>
      </c>
    </row>
    <row r="101" spans="1:6" x14ac:dyDescent="0.2">
      <c r="A101" s="3" t="s">
        <v>94</v>
      </c>
      <c r="B101" s="3">
        <v>-9.2999999999999999E-2</v>
      </c>
      <c r="C101" s="3">
        <v>-1.06E-2</v>
      </c>
      <c r="D101" s="3">
        <v>5.7000000000000002E-3</v>
      </c>
      <c r="E101" s="3">
        <v>-1.11E-2</v>
      </c>
      <c r="F101" s="3" t="s">
        <v>21</v>
      </c>
    </row>
    <row r="102" spans="1:6" x14ac:dyDescent="0.2">
      <c r="A102" s="3" t="s">
        <v>95</v>
      </c>
      <c r="B102" s="3">
        <v>-8.4199999999999997E-2</v>
      </c>
      <c r="C102" s="3">
        <v>2.7799999999999998E-2</v>
      </c>
      <c r="D102" s="3">
        <v>1.6500000000000001E-2</v>
      </c>
      <c r="E102" s="3">
        <v>3.6200000000000003E-2</v>
      </c>
      <c r="F102" s="3" t="s">
        <v>21</v>
      </c>
    </row>
    <row r="103" spans="1:6" x14ac:dyDescent="0.2">
      <c r="A103" s="3" t="s">
        <v>96</v>
      </c>
      <c r="B103" s="3">
        <v>0.12230000000000001</v>
      </c>
      <c r="C103" s="3">
        <v>-1.6000000000000001E-3</v>
      </c>
      <c r="D103" s="3">
        <v>1.26E-2</v>
      </c>
      <c r="E103" s="3">
        <v>0.1203</v>
      </c>
      <c r="F103" s="3">
        <v>2.35E-2</v>
      </c>
    </row>
    <row r="104" spans="1:6" x14ac:dyDescent="0.2">
      <c r="A104" s="3" t="s">
        <v>97</v>
      </c>
      <c r="B104" s="3">
        <v>-0.15090000000000001</v>
      </c>
      <c r="C104" s="3">
        <v>-2.6100000000000002E-2</v>
      </c>
      <c r="D104" s="3">
        <v>-3.0099999999999998E-2</v>
      </c>
      <c r="E104" s="3">
        <v>-1.32E-2</v>
      </c>
      <c r="F104" s="3">
        <v>-2.7099999999999999E-2</v>
      </c>
    </row>
    <row r="105" spans="1:6" x14ac:dyDescent="0.2">
      <c r="A105" s="3" t="s">
        <v>98</v>
      </c>
      <c r="B105" s="3">
        <v>-4.1799999999999997E-2</v>
      </c>
      <c r="C105" s="3">
        <v>-3.85E-2</v>
      </c>
      <c r="D105" s="3">
        <v>2.3E-3</v>
      </c>
      <c r="E105" s="3">
        <v>-4.6699999999999998E-2</v>
      </c>
      <c r="F105" s="3">
        <v>3.0099999999999998E-2</v>
      </c>
    </row>
    <row r="106" spans="1:6" x14ac:dyDescent="0.2">
      <c r="A106" s="3" t="s">
        <v>99</v>
      </c>
      <c r="B106" s="3">
        <v>0.1867</v>
      </c>
      <c r="C106" s="3">
        <v>7.7000000000000002E-3</v>
      </c>
      <c r="D106" s="3">
        <v>4.8999999999999998E-3</v>
      </c>
      <c r="E106" s="3">
        <v>3.15E-2</v>
      </c>
      <c r="F106" s="3">
        <v>-3.5999999999999999E-3</v>
      </c>
    </row>
    <row r="107" spans="1:6" x14ac:dyDescent="0.2">
      <c r="A107" s="3" t="s">
        <v>100</v>
      </c>
      <c r="B107" s="3">
        <v>-1.6000000000000001E-3</v>
      </c>
      <c r="C107" s="3">
        <v>5.0200000000000002E-2</v>
      </c>
      <c r="D107" s="3">
        <v>2.18E-2</v>
      </c>
      <c r="E107" s="3">
        <v>-1.38E-2</v>
      </c>
      <c r="F107" s="3">
        <v>-6.7900000000000002E-2</v>
      </c>
    </row>
    <row r="108" spans="1:6" x14ac:dyDescent="0.2">
      <c r="A108" s="3" t="s">
        <v>101</v>
      </c>
      <c r="B108" s="3">
        <v>0.1346</v>
      </c>
      <c r="C108" s="3">
        <v>1.2E-2</v>
      </c>
      <c r="D108" s="3">
        <v>2.7E-2</v>
      </c>
      <c r="E108" s="3">
        <v>-4.53E-2</v>
      </c>
      <c r="F108" s="3">
        <v>-0.12330000000000001</v>
      </c>
    </row>
    <row r="109" spans="1:6" x14ac:dyDescent="0.2">
      <c r="A109" s="3" t="s">
        <v>102</v>
      </c>
      <c r="B109" s="3">
        <v>5.33E-2</v>
      </c>
      <c r="C109" s="3">
        <v>0.1268</v>
      </c>
      <c r="D109" s="3">
        <v>3.15E-2</v>
      </c>
      <c r="E109" s="3">
        <v>1.29E-2</v>
      </c>
      <c r="F109" s="3">
        <v>-8.2900000000000001E-2</v>
      </c>
    </row>
    <row r="110" spans="1:6" x14ac:dyDescent="0.2">
      <c r="A110" s="3" t="s">
        <v>103</v>
      </c>
      <c r="B110" s="3">
        <v>0.1305</v>
      </c>
      <c r="C110" s="3">
        <v>-1.1999999999999999E-3</v>
      </c>
      <c r="D110" s="3">
        <v>1.9900000000000001E-2</v>
      </c>
      <c r="E110" s="3">
        <v>6.8900000000000003E-2</v>
      </c>
      <c r="F110" s="3">
        <v>4.7600000000000003E-2</v>
      </c>
    </row>
    <row r="111" spans="1:6" x14ac:dyDescent="0.2">
      <c r="A111" s="3" t="s">
        <v>104</v>
      </c>
      <c r="B111" s="3">
        <v>-7.4399999999999994E-2</v>
      </c>
      <c r="C111" s="3">
        <v>5.6899999999999999E-2</v>
      </c>
      <c r="D111" s="3">
        <v>1.34E-2</v>
      </c>
      <c r="E111" s="3">
        <v>-1.83E-2</v>
      </c>
      <c r="F111" s="3">
        <v>-5.4600000000000003E-2</v>
      </c>
    </row>
    <row r="112" spans="1:6" x14ac:dyDescent="0.2">
      <c r="A112" s="3" t="s">
        <v>105</v>
      </c>
      <c r="B112" s="3">
        <v>1.0500000000000001E-2</v>
      </c>
      <c r="C112" s="3">
        <v>2.06E-2</v>
      </c>
      <c r="D112" s="3">
        <v>1.4999999999999999E-2</v>
      </c>
      <c r="E112" s="3">
        <v>2.5600000000000001E-2</v>
      </c>
      <c r="F112" s="3">
        <v>-6.5100000000000005E-2</v>
      </c>
    </row>
    <row r="113" spans="1:6" x14ac:dyDescent="0.2">
      <c r="A113" s="3" t="s">
        <v>106</v>
      </c>
      <c r="B113" s="3">
        <v>-1.3100000000000001E-2</v>
      </c>
      <c r="C113" s="3">
        <v>-5.9799999999999999E-2</v>
      </c>
      <c r="D113" s="3">
        <v>-1.9599999999999999E-2</v>
      </c>
      <c r="E113" s="3">
        <v>2.5499999999999998E-2</v>
      </c>
      <c r="F113" s="3">
        <v>6.0900000000000003E-2</v>
      </c>
    </row>
    <row r="114" spans="1:6" x14ac:dyDescent="0.2">
      <c r="A114" s="3" t="s">
        <v>107</v>
      </c>
      <c r="B114" s="3">
        <v>9.8100000000000007E-2</v>
      </c>
      <c r="C114" s="3">
        <v>1.4200000000000001E-2</v>
      </c>
      <c r="D114" s="3">
        <v>1.1599999999999999E-2</v>
      </c>
      <c r="E114" s="3">
        <v>-1.11E-2</v>
      </c>
      <c r="F114" s="3">
        <v>4.24E-2</v>
      </c>
    </row>
    <row r="115" spans="1:6" x14ac:dyDescent="0.2">
      <c r="A115" s="3" t="s">
        <v>108</v>
      </c>
      <c r="B115" s="3">
        <v>7.4200000000000002E-2</v>
      </c>
      <c r="C115" s="3">
        <v>8.43E-2</v>
      </c>
      <c r="D115" s="3">
        <v>4.4299999999999999E-2</v>
      </c>
      <c r="E115" s="3">
        <v>2.0500000000000001E-2</v>
      </c>
      <c r="F115" s="3">
        <v>-3.9600000000000003E-2</v>
      </c>
    </row>
    <row r="116" spans="1:6" x14ac:dyDescent="0.2">
      <c r="A116" s="3" t="s">
        <v>109</v>
      </c>
      <c r="B116" s="3">
        <v>0.21429999999999999</v>
      </c>
      <c r="C116" s="3">
        <v>4.7E-2</v>
      </c>
      <c r="D116" s="3">
        <v>3.39E-2</v>
      </c>
      <c r="E116" s="3">
        <v>-2.3099999999999999E-2</v>
      </c>
      <c r="F116" s="3">
        <v>-4.4499999999999998E-2</v>
      </c>
    </row>
    <row r="117" spans="1:6" x14ac:dyDescent="0.2">
      <c r="A117" s="3" t="s">
        <v>110</v>
      </c>
      <c r="B117" s="3">
        <v>7.0000000000000001E-3</v>
      </c>
      <c r="C117" s="3">
        <v>-1.2699999999999999E-2</v>
      </c>
      <c r="D117" s="3">
        <v>-1.46E-2</v>
      </c>
      <c r="E117" s="3">
        <v>-1.9400000000000001E-2</v>
      </c>
      <c r="F117" s="3">
        <v>8.2500000000000004E-2</v>
      </c>
    </row>
    <row r="118" spans="1:6" x14ac:dyDescent="0.2">
      <c r="A118" s="3" t="s">
        <v>111</v>
      </c>
      <c r="B118" s="3">
        <v>7.9600000000000004E-2</v>
      </c>
      <c r="C118" s="3">
        <v>5.1299999999999998E-2</v>
      </c>
      <c r="D118" s="3">
        <v>-3.1300000000000001E-2</v>
      </c>
      <c r="E118" s="3">
        <v>2.3599999999999999E-2</v>
      </c>
      <c r="F118" s="3">
        <v>0.1043</v>
      </c>
    </row>
    <row r="119" spans="1:6" x14ac:dyDescent="0.2">
      <c r="A119" s="3" t="s">
        <v>112</v>
      </c>
      <c r="B119" s="3">
        <v>5.0999999999999997E-2</v>
      </c>
      <c r="C119" s="3">
        <v>5.8299999999999998E-2</v>
      </c>
      <c r="D119" s="3">
        <v>1.2800000000000001E-2</v>
      </c>
      <c r="E119" s="3">
        <v>1.11E-2</v>
      </c>
      <c r="F119" s="3">
        <v>-4.7E-2</v>
      </c>
    </row>
    <row r="120" spans="1:6" x14ac:dyDescent="0.2">
      <c r="A120" s="3" t="s">
        <v>113</v>
      </c>
      <c r="B120" s="3">
        <v>0.1082</v>
      </c>
      <c r="C120" s="3">
        <v>9.4999999999999998E-3</v>
      </c>
      <c r="D120" s="3">
        <v>3.8699999999999998E-2</v>
      </c>
      <c r="E120" s="3">
        <v>0.1051</v>
      </c>
      <c r="F120" s="3">
        <v>0.12139999999999999</v>
      </c>
    </row>
    <row r="121" spans="1:6" x14ac:dyDescent="0.2">
      <c r="A121" s="3" t="s">
        <v>114</v>
      </c>
      <c r="B121" s="3">
        <v>0.23769999999999999</v>
      </c>
      <c r="C121" s="3">
        <v>-1.43E-2</v>
      </c>
      <c r="D121" s="3">
        <v>1.3599999999999999E-2</v>
      </c>
      <c r="E121" s="3">
        <v>6.9500000000000006E-2</v>
      </c>
      <c r="F121" s="3">
        <v>0.1714</v>
      </c>
    </row>
    <row r="122" spans="1:6" x14ac:dyDescent="0.2">
      <c r="A122" s="3" t="s">
        <v>115</v>
      </c>
      <c r="B122" s="3">
        <v>-4.07E-2</v>
      </c>
      <c r="C122" s="3">
        <v>-9.0999999999999998E-2</v>
      </c>
      <c r="D122" s="3">
        <v>-3.8699999999999998E-2</v>
      </c>
      <c r="E122" s="3">
        <v>-1.6500000000000001E-2</v>
      </c>
      <c r="F122" s="3">
        <v>-4.5900000000000003E-2</v>
      </c>
    </row>
    <row r="123" spans="1:6" x14ac:dyDescent="0.2">
      <c r="A123" s="3" t="s">
        <v>116</v>
      </c>
      <c r="B123" s="3">
        <v>8.6999999999999994E-2</v>
      </c>
      <c r="C123" s="3">
        <v>2.7799999999999998E-2</v>
      </c>
      <c r="D123" s="3">
        <v>-1.1299999999999999E-2</v>
      </c>
      <c r="E123" s="3">
        <v>6.6500000000000004E-2</v>
      </c>
      <c r="F123" s="3">
        <v>8.3699999999999997E-2</v>
      </c>
    </row>
    <row r="124" spans="1:6" x14ac:dyDescent="0.2">
      <c r="A124" s="3" t="s">
        <v>117</v>
      </c>
      <c r="B124" s="3">
        <v>-0.31659999999999999</v>
      </c>
      <c r="C124" s="3">
        <v>-9.1999999999999998E-3</v>
      </c>
      <c r="D124" s="3">
        <v>-6.0499999999999998E-2</v>
      </c>
      <c r="E124" s="3">
        <v>0.1084</v>
      </c>
      <c r="F124" s="3">
        <v>-4.4999999999999998E-2</v>
      </c>
    </row>
    <row r="125" spans="1:6" x14ac:dyDescent="0.2">
      <c r="A125" s="3" t="s">
        <v>118</v>
      </c>
      <c r="B125" s="3">
        <v>-7.6399999999999996E-2</v>
      </c>
      <c r="C125" s="3">
        <v>6.7100000000000007E-2</v>
      </c>
      <c r="D125" s="3">
        <v>-2.58E-2</v>
      </c>
      <c r="E125" s="3">
        <v>5.2299999999999999E-2</v>
      </c>
      <c r="F125" s="3">
        <v>0.1115</v>
      </c>
    </row>
    <row r="126" spans="1:6" x14ac:dyDescent="0.2">
      <c r="A126" s="3" t="s">
        <v>119</v>
      </c>
      <c r="B126" s="3">
        <v>0.14779999999999999</v>
      </c>
      <c r="C126" s="3">
        <v>1.12E-2</v>
      </c>
      <c r="D126" s="3">
        <v>-8.9999999999999993E-3</v>
      </c>
      <c r="E126" s="3">
        <v>-0.06</v>
      </c>
      <c r="F126" s="3">
        <v>1.17E-2</v>
      </c>
    </row>
    <row r="127" spans="1:6" x14ac:dyDescent="0.2">
      <c r="A127" s="3" t="s">
        <v>120</v>
      </c>
      <c r="B127" s="3">
        <v>0.2122</v>
      </c>
      <c r="C127" s="3">
        <v>4.8300000000000003E-2</v>
      </c>
      <c r="D127" s="3">
        <v>4.7699999999999999E-2</v>
      </c>
      <c r="E127" s="3">
        <v>-4.1599999999999998E-2</v>
      </c>
      <c r="F127" s="3">
        <v>0.13689999999999999</v>
      </c>
    </row>
    <row r="128" spans="1:6" x14ac:dyDescent="0.2">
      <c r="A128" s="3" t="s">
        <v>121</v>
      </c>
      <c r="B128" s="3">
        <v>8.5099999999999995E-2</v>
      </c>
      <c r="C128" s="3">
        <v>7.6600000000000001E-2</v>
      </c>
      <c r="D128" s="3">
        <v>1.5100000000000001E-2</v>
      </c>
      <c r="E128" s="3">
        <v>9.1999999999999998E-3</v>
      </c>
      <c r="F128" s="3">
        <v>0.1142</v>
      </c>
    </row>
    <row r="129" spans="1:6" x14ac:dyDescent="0.2">
      <c r="A129" s="3" t="s">
        <v>122</v>
      </c>
      <c r="B129" s="3">
        <v>-0.1129</v>
      </c>
      <c r="C129" s="3">
        <v>-8.4199999999999997E-2</v>
      </c>
      <c r="D129" s="3">
        <v>-8.3500000000000005E-2</v>
      </c>
      <c r="E129" s="3">
        <v>4.5199999999999997E-2</v>
      </c>
      <c r="F129" s="3">
        <v>0.10290000000000001</v>
      </c>
    </row>
    <row r="130" spans="1:6" x14ac:dyDescent="0.2">
      <c r="A130" s="3" t="s">
        <v>123</v>
      </c>
      <c r="B130" s="3">
        <v>-5.0700000000000002E-2</v>
      </c>
      <c r="C130" s="3">
        <v>7.9699999999999993E-2</v>
      </c>
      <c r="D130" s="3">
        <v>-8.9999999999999993E-3</v>
      </c>
      <c r="E130" s="3">
        <v>-1.44E-2</v>
      </c>
      <c r="F130" s="3">
        <v>-0.1203</v>
      </c>
    </row>
    <row r="131" spans="1:6" x14ac:dyDescent="0.2">
      <c r="A131" s="3" t="s">
        <v>124</v>
      </c>
      <c r="B131" s="3">
        <v>6.6600000000000006E-2</v>
      </c>
      <c r="C131" s="3">
        <v>-4.5199999999999997E-2</v>
      </c>
      <c r="D131" s="3">
        <v>1.55E-2</v>
      </c>
      <c r="E131" s="3">
        <v>-9.2899999999999996E-2</v>
      </c>
      <c r="F131" s="3">
        <v>-7.1199999999999999E-2</v>
      </c>
    </row>
    <row r="132" spans="1:6" x14ac:dyDescent="0.2">
      <c r="A132" s="3" t="s">
        <v>125</v>
      </c>
      <c r="B132" s="3">
        <v>-0.3296</v>
      </c>
      <c r="C132" s="3">
        <v>-3.9199999999999999E-2</v>
      </c>
      <c r="D132" s="3">
        <v>-9.4399999999999998E-2</v>
      </c>
      <c r="E132" s="3">
        <v>4.1099999999999998E-2</v>
      </c>
      <c r="F132" s="3">
        <v>-0.1169</v>
      </c>
    </row>
    <row r="133" spans="1:6" x14ac:dyDescent="0.2">
      <c r="A133" s="3" t="s">
        <v>126</v>
      </c>
      <c r="B133" s="3">
        <v>-5.3400000000000003E-2</v>
      </c>
      <c r="C133" s="3">
        <v>-0.2051</v>
      </c>
      <c r="D133" s="3">
        <v>-0.16520000000000001</v>
      </c>
      <c r="E133" s="3">
        <v>-0.16139999999999999</v>
      </c>
      <c r="F133" s="3">
        <v>-0.32219999999999999</v>
      </c>
    </row>
    <row r="134" spans="1:6" x14ac:dyDescent="0.2">
      <c r="A134" s="3" t="s">
        <v>127</v>
      </c>
      <c r="B134" s="3">
        <v>-0.13869999999999999</v>
      </c>
      <c r="C134" s="3">
        <v>-0.1171</v>
      </c>
      <c r="D134" s="3">
        <v>-6.9599999999999995E-2</v>
      </c>
      <c r="E134" s="3">
        <v>0.12570000000000001</v>
      </c>
      <c r="F134" s="3">
        <v>-0.24279999999999999</v>
      </c>
    </row>
    <row r="135" spans="1:6" x14ac:dyDescent="0.2">
      <c r="A135" s="3" t="s">
        <v>128</v>
      </c>
      <c r="B135" s="3">
        <v>-7.9000000000000001E-2</v>
      </c>
      <c r="C135" s="3">
        <v>3.1399999999999997E-2</v>
      </c>
      <c r="D135" s="3">
        <v>9.7999999999999997E-3</v>
      </c>
      <c r="E135" s="3">
        <v>7.7299999999999994E-2</v>
      </c>
      <c r="F135" s="3">
        <v>-0.21360000000000001</v>
      </c>
    </row>
    <row r="136" spans="1:6" x14ac:dyDescent="0.2">
      <c r="A136" s="3" t="s">
        <v>129</v>
      </c>
      <c r="B136" s="3">
        <v>5.6000000000000001E-2</v>
      </c>
      <c r="C136" s="3">
        <v>8.8999999999999996E-2</v>
      </c>
      <c r="D136" s="3">
        <v>-8.2100000000000006E-2</v>
      </c>
      <c r="E136" s="3">
        <v>5.5399999999999998E-2</v>
      </c>
      <c r="F136" s="3">
        <v>-0.1172</v>
      </c>
    </row>
    <row r="137" spans="1:6" x14ac:dyDescent="0.2">
      <c r="A137" s="3" t="s">
        <v>130</v>
      </c>
      <c r="B137" s="3">
        <v>-9.1000000000000004E-3</v>
      </c>
      <c r="C137" s="3">
        <v>9.4000000000000004E-3</v>
      </c>
      <c r="D137" s="3">
        <v>-0.1074</v>
      </c>
      <c r="E137" s="3">
        <v>1.4500000000000001E-2</v>
      </c>
      <c r="F137" s="3">
        <v>-7.4300000000000005E-2</v>
      </c>
    </row>
    <row r="138" spans="1:6" x14ac:dyDescent="0.2">
      <c r="A138" s="3" t="s">
        <v>131</v>
      </c>
      <c r="B138" s="3">
        <v>0.17699999999999999</v>
      </c>
      <c r="C138" s="3">
        <v>5.28E-2</v>
      </c>
      <c r="D138" s="3">
        <v>8.3500000000000005E-2</v>
      </c>
      <c r="E138" s="3">
        <v>-2.5399999999999999E-2</v>
      </c>
      <c r="F138" s="3">
        <v>7.3899999999999993E-2</v>
      </c>
    </row>
    <row r="139" spans="1:6" x14ac:dyDescent="0.2">
      <c r="A139" s="3" t="s">
        <v>132</v>
      </c>
      <c r="B139" s="3">
        <v>0.19700000000000001</v>
      </c>
      <c r="C139" s="3">
        <v>6.5199999999999994E-2</v>
      </c>
      <c r="D139" s="3">
        <v>9.9299999999999999E-2</v>
      </c>
      <c r="E139" s="3">
        <v>-3.3300000000000003E-2</v>
      </c>
      <c r="F139" s="3">
        <v>-1.4500000000000001E-2</v>
      </c>
    </row>
    <row r="140" spans="1:6" x14ac:dyDescent="0.2">
      <c r="A140" s="3" t="s">
        <v>133</v>
      </c>
      <c r="B140" s="3">
        <v>7.9299999999999995E-2</v>
      </c>
      <c r="C140" s="3">
        <v>3.5200000000000002E-2</v>
      </c>
      <c r="D140" s="3">
        <v>5.8500000000000003E-2</v>
      </c>
      <c r="E140" s="3">
        <v>0.1023</v>
      </c>
      <c r="F140" s="3">
        <v>0.27139999999999997</v>
      </c>
    </row>
    <row r="141" spans="1:6" x14ac:dyDescent="0.2">
      <c r="A141" s="3" t="s">
        <v>134</v>
      </c>
      <c r="B141" s="3">
        <v>4.87E-2</v>
      </c>
      <c r="C141" s="3">
        <v>-1.7500000000000002E-2</v>
      </c>
      <c r="D141" s="3">
        <v>-6.9999999999999999E-4</v>
      </c>
      <c r="E141" s="3">
        <v>-5.2200000000000003E-2</v>
      </c>
      <c r="F141" s="3">
        <v>4.2000000000000003E-2</v>
      </c>
    </row>
    <row r="142" spans="1:6" x14ac:dyDescent="0.2">
      <c r="A142" s="3" t="s">
        <v>135</v>
      </c>
      <c r="B142" s="3">
        <v>0.1472</v>
      </c>
      <c r="C142" s="3">
        <v>0.12939999999999999</v>
      </c>
      <c r="D142" s="3">
        <v>7.46E-2</v>
      </c>
      <c r="E142" s="3">
        <v>2.3800000000000002E-2</v>
      </c>
      <c r="F142" s="3">
        <v>-2.9499999999999998E-2</v>
      </c>
    </row>
    <row r="143" spans="1:6" x14ac:dyDescent="0.2">
      <c r="A143" s="3" t="s">
        <v>136</v>
      </c>
      <c r="B143" s="3">
        <v>2.9499999999999998E-2</v>
      </c>
      <c r="C143" s="3">
        <v>5.7000000000000002E-3</v>
      </c>
      <c r="D143" s="3">
        <v>3.6900000000000002E-2</v>
      </c>
      <c r="E143" s="3">
        <v>5.0000000000000001E-4</v>
      </c>
      <c r="F143" s="3">
        <v>-2.06E-2</v>
      </c>
    </row>
    <row r="144" spans="1:6" x14ac:dyDescent="0.2">
      <c r="A144" s="3" t="s">
        <v>137</v>
      </c>
      <c r="B144" s="3">
        <v>0.1019</v>
      </c>
      <c r="C144" s="3">
        <v>1.32E-2</v>
      </c>
      <c r="D144" s="3">
        <v>3.5499999999999997E-2</v>
      </c>
      <c r="E144" s="3">
        <v>5.8400000000000001E-2</v>
      </c>
      <c r="F144" s="3">
        <v>3.8999999999999998E-3</v>
      </c>
    </row>
    <row r="145" spans="1:6" x14ac:dyDescent="0.2">
      <c r="A145" s="3" t="s">
        <v>138</v>
      </c>
      <c r="B145" s="3">
        <v>1.7000000000000001E-2</v>
      </c>
      <c r="C145" s="3">
        <v>8.3999999999999995E-3</v>
      </c>
      <c r="D145" s="3">
        <v>-1.9199999999999998E-2</v>
      </c>
      <c r="E145" s="3">
        <v>3.7199999999999997E-2</v>
      </c>
      <c r="F145" s="3">
        <v>8.6499999999999994E-2</v>
      </c>
    </row>
    <row r="146" spans="1:6" x14ac:dyDescent="0.2">
      <c r="A146" s="3" t="s">
        <v>139</v>
      </c>
      <c r="B146" s="3">
        <v>6.0499999999999998E-2</v>
      </c>
      <c r="C146" s="3">
        <v>5.2299999999999999E-2</v>
      </c>
      <c r="D146" s="3">
        <v>6.1600000000000002E-2</v>
      </c>
      <c r="E146" s="3">
        <v>0.12790000000000001</v>
      </c>
      <c r="F146" s="3">
        <v>-4.3E-3</v>
      </c>
    </row>
    <row r="147" spans="1:6" x14ac:dyDescent="0.2">
      <c r="A147" s="3" t="s">
        <v>140</v>
      </c>
      <c r="B147" s="3">
        <v>5.4100000000000002E-2</v>
      </c>
      <c r="C147" s="3">
        <v>3.5999999999999997E-2</v>
      </c>
      <c r="D147" s="3">
        <v>1.9099999999999999E-2</v>
      </c>
      <c r="E147" s="3">
        <v>-7.1999999999999995E-2</v>
      </c>
      <c r="F147" s="3">
        <v>3.3E-3</v>
      </c>
    </row>
    <row r="148" spans="1:6" x14ac:dyDescent="0.2">
      <c r="A148" s="3" t="s">
        <v>141</v>
      </c>
      <c r="B148" s="3">
        <v>-8.8599999999999998E-2</v>
      </c>
      <c r="C148" s="3">
        <v>-6.5000000000000002E-2</v>
      </c>
      <c r="D148" s="3">
        <v>-3.6299999999999999E-2</v>
      </c>
      <c r="E148" s="3">
        <v>-1.26E-2</v>
      </c>
      <c r="F148" s="3">
        <v>-9.2700000000000005E-2</v>
      </c>
    </row>
    <row r="149" spans="1:6" x14ac:dyDescent="0.2">
      <c r="A149" s="3" t="s">
        <v>142</v>
      </c>
      <c r="B149" s="3">
        <v>6.54E-2</v>
      </c>
      <c r="C149" s="3">
        <v>4.3700000000000003E-2</v>
      </c>
      <c r="D149" s="3">
        <v>3.1199999999999999E-2</v>
      </c>
      <c r="E149" s="3">
        <v>3.27E-2</v>
      </c>
      <c r="F149" s="3">
        <v>8.9200000000000002E-2</v>
      </c>
    </row>
    <row r="150" spans="1:6" x14ac:dyDescent="0.2">
      <c r="A150" s="3" t="s">
        <v>143</v>
      </c>
      <c r="B150" s="3">
        <v>0.14849999999999999</v>
      </c>
      <c r="C150" s="3">
        <v>8.6E-3</v>
      </c>
      <c r="D150" s="3">
        <v>6.0900000000000003E-2</v>
      </c>
      <c r="E150" s="3">
        <v>-4.4000000000000003E-3</v>
      </c>
      <c r="F150" s="3">
        <v>3.7900000000000003E-2</v>
      </c>
    </row>
    <row r="151" spans="1:6" x14ac:dyDescent="0.2">
      <c r="A151" s="3" t="s">
        <v>144</v>
      </c>
      <c r="B151" s="3">
        <v>0.111</v>
      </c>
      <c r="C151" s="3">
        <v>5.7999999999999996E-3</v>
      </c>
      <c r="D151" s="3">
        <v>1.55E-2</v>
      </c>
      <c r="E151" s="3">
        <v>5.8799999999999998E-2</v>
      </c>
      <c r="F151" s="3">
        <v>2.58E-2</v>
      </c>
    </row>
    <row r="152" spans="1:6" x14ac:dyDescent="0.2">
      <c r="A152" s="3" t="s">
        <v>145</v>
      </c>
      <c r="B152" s="3">
        <v>-1.61E-2</v>
      </c>
      <c r="C152" s="3">
        <v>-2.3900000000000001E-2</v>
      </c>
      <c r="D152" s="3">
        <v>-7.9500000000000001E-2</v>
      </c>
      <c r="E152" s="3">
        <v>3.0499999999999999E-2</v>
      </c>
      <c r="F152" s="3">
        <v>-0.1764</v>
      </c>
    </row>
    <row r="153" spans="1:6" x14ac:dyDescent="0.2">
      <c r="A153" s="3" t="s">
        <v>146</v>
      </c>
      <c r="B153" s="3">
        <v>-2.0799999999999999E-2</v>
      </c>
      <c r="C153" s="3">
        <v>-1.4200000000000001E-2</v>
      </c>
      <c r="D153" s="3">
        <v>-5.1700000000000003E-2</v>
      </c>
      <c r="E153" s="3">
        <v>2.35E-2</v>
      </c>
      <c r="F153" s="3">
        <v>-2.3E-3</v>
      </c>
    </row>
    <row r="154" spans="1:6" x14ac:dyDescent="0.2">
      <c r="A154" s="3" t="s">
        <v>147</v>
      </c>
      <c r="B154" s="3">
        <v>2.2700000000000001E-2</v>
      </c>
      <c r="C154" s="3">
        <v>3.9800000000000002E-2</v>
      </c>
      <c r="D154" s="3">
        <v>6.83E-2</v>
      </c>
      <c r="E154" s="3">
        <v>-5.0900000000000001E-2</v>
      </c>
      <c r="F154" s="3">
        <v>4.0599999999999997E-2</v>
      </c>
    </row>
    <row r="155" spans="1:6" x14ac:dyDescent="0.2">
      <c r="A155" s="3" t="s">
        <v>148</v>
      </c>
      <c r="B155" s="3">
        <v>-5.5E-2</v>
      </c>
      <c r="C155" s="3">
        <v>-3.6299999999999999E-2</v>
      </c>
      <c r="D155" s="3">
        <v>-4.4999999999999998E-2</v>
      </c>
      <c r="E155" s="3">
        <v>5.7099999999999998E-2</v>
      </c>
      <c r="F155" s="3">
        <v>-9.6799999999999997E-2</v>
      </c>
    </row>
    <row r="156" spans="1:6" x14ac:dyDescent="0.2">
      <c r="A156" s="3" t="s">
        <v>149</v>
      </c>
      <c r="B156" s="3">
        <v>0.16719999999999999</v>
      </c>
      <c r="C156" s="3">
        <v>8.9399999999999993E-2</v>
      </c>
      <c r="D156" s="3">
        <v>8.9599999999999999E-2</v>
      </c>
      <c r="E156" s="3">
        <v>4.7800000000000002E-2</v>
      </c>
      <c r="F156" s="3">
        <v>9.1499999999999998E-2</v>
      </c>
    </row>
    <row r="157" spans="1:6" x14ac:dyDescent="0.2">
      <c r="A157" s="3" t="s">
        <v>150</v>
      </c>
      <c r="B157" s="3">
        <v>6.0699999999999997E-2</v>
      </c>
      <c r="C157" s="3">
        <v>7.0499999999999993E-2</v>
      </c>
      <c r="D157" s="3">
        <v>3.8199999999999998E-2</v>
      </c>
      <c r="E157" s="3">
        <v>3.6799999999999999E-2</v>
      </c>
      <c r="F157" s="3">
        <v>9.4999999999999998E-3</v>
      </c>
    </row>
    <row r="158" spans="1:6" x14ac:dyDescent="0.2">
      <c r="A158" s="3" t="s">
        <v>151</v>
      </c>
      <c r="B158" s="3">
        <v>3.3799999999999997E-2</v>
      </c>
      <c r="C158" s="3">
        <v>-1.0500000000000001E-2</v>
      </c>
      <c r="D158" s="3">
        <v>0</v>
      </c>
      <c r="E158" s="3">
        <v>2.1100000000000001E-2</v>
      </c>
      <c r="F158" s="3">
        <v>2.47E-2</v>
      </c>
    </row>
    <row r="159" spans="1:6" x14ac:dyDescent="0.2">
      <c r="A159" s="3" t="s">
        <v>152</v>
      </c>
      <c r="B159" s="3">
        <v>3.6700000000000003E-2</v>
      </c>
      <c r="C159" s="3">
        <v>3.7499999999999999E-2</v>
      </c>
      <c r="D159" s="3">
        <v>6.6799999999999998E-2</v>
      </c>
      <c r="E159" s="3">
        <v>2.4400000000000002E-2</v>
      </c>
      <c r="F159" s="3">
        <v>8.2100000000000006E-2</v>
      </c>
    </row>
    <row r="160" spans="1:6" x14ac:dyDescent="0.2">
      <c r="A160" s="3" t="s">
        <v>153</v>
      </c>
      <c r="B160" s="3">
        <v>5.1999999999999998E-2</v>
      </c>
      <c r="C160" s="3">
        <v>0.1038</v>
      </c>
      <c r="D160" s="3">
        <v>2.3300000000000001E-2</v>
      </c>
      <c r="E160" s="3">
        <v>-6.3799999999999996E-2</v>
      </c>
      <c r="F160" s="3">
        <v>-0.01</v>
      </c>
    </row>
    <row r="161" spans="1:6" x14ac:dyDescent="0.2">
      <c r="A161" s="3" t="s">
        <v>154</v>
      </c>
      <c r="B161" s="3">
        <v>4.0899999999999999E-2</v>
      </c>
      <c r="C161" s="3">
        <v>3.2000000000000002E-3</v>
      </c>
      <c r="D161" s="3">
        <v>3.4700000000000002E-2</v>
      </c>
      <c r="E161" s="3">
        <v>0.06</v>
      </c>
      <c r="F161" s="3">
        <v>1.4999999999999999E-2</v>
      </c>
    </row>
    <row r="162" spans="1:6" x14ac:dyDescent="0.2">
      <c r="A162" s="3" t="s">
        <v>155</v>
      </c>
      <c r="B162" s="3">
        <v>-1.3299999999999999E-2</v>
      </c>
      <c r="C162" s="3">
        <v>7.4000000000000003E-3</v>
      </c>
      <c r="D162" s="3">
        <v>1E-4</v>
      </c>
      <c r="E162" s="3">
        <v>1.6E-2</v>
      </c>
      <c r="F162" s="3">
        <v>8.6999999999999994E-2</v>
      </c>
    </row>
    <row r="163" spans="1:6" x14ac:dyDescent="0.2">
      <c r="A163" s="3" t="s">
        <v>156</v>
      </c>
      <c r="B163" s="3">
        <v>4.7000000000000002E-3</v>
      </c>
      <c r="C163" s="3">
        <v>4.6100000000000002E-2</v>
      </c>
      <c r="D163" s="3">
        <v>2.9000000000000001E-2</v>
      </c>
      <c r="E163" s="3">
        <v>8.9399999999999993E-2</v>
      </c>
      <c r="F163" s="3">
        <v>5.9900000000000002E-2</v>
      </c>
    </row>
    <row r="164" spans="1:6" x14ac:dyDescent="0.2">
      <c r="A164" s="3" t="s">
        <v>157</v>
      </c>
      <c r="B164" s="3">
        <v>-6.6E-3</v>
      </c>
      <c r="C164" s="3">
        <v>-5.3E-3</v>
      </c>
      <c r="D164" s="3">
        <v>-1.12E-2</v>
      </c>
      <c r="E164" s="3">
        <v>-1.7899999999999999E-2</v>
      </c>
      <c r="F164" s="3">
        <v>-0.10299999999999999</v>
      </c>
    </row>
    <row r="165" spans="1:6" x14ac:dyDescent="0.2">
      <c r="A165" s="3" t="s">
        <v>158</v>
      </c>
      <c r="B165" s="3">
        <v>-3.5000000000000003E-2</v>
      </c>
      <c r="C165" s="3">
        <v>1.55E-2</v>
      </c>
      <c r="D165" s="3">
        <v>-1.6899999999999998E-2</v>
      </c>
      <c r="E165" s="3">
        <v>-2.4299999999999999E-2</v>
      </c>
      <c r="F165" s="3">
        <v>-8.0500000000000002E-2</v>
      </c>
    </row>
    <row r="166" spans="1:6" x14ac:dyDescent="0.2">
      <c r="A166" s="3" t="s">
        <v>159</v>
      </c>
      <c r="B166" s="3">
        <v>0.1633</v>
      </c>
      <c r="C166" s="3">
        <v>0.06</v>
      </c>
      <c r="D166" s="3">
        <v>-0.02</v>
      </c>
      <c r="E166" s="3">
        <v>8.4199999999999997E-2</v>
      </c>
      <c r="F166" s="3">
        <v>4.7999999999999996E-3</v>
      </c>
    </row>
    <row r="167" spans="1:6" x14ac:dyDescent="0.2">
      <c r="A167" s="3" t="s">
        <v>160</v>
      </c>
      <c r="B167" s="3">
        <v>-1.4500000000000001E-2</v>
      </c>
      <c r="C167" s="3">
        <v>-5.04E-2</v>
      </c>
      <c r="D167" s="3">
        <v>-5.5E-2</v>
      </c>
      <c r="E167" s="3">
        <v>0.1227</v>
      </c>
      <c r="F167" s="3">
        <v>-7.7799999999999994E-2</v>
      </c>
    </row>
    <row r="168" spans="1:6" x14ac:dyDescent="0.2">
      <c r="A168" s="3" t="s">
        <v>161</v>
      </c>
      <c r="B168" s="3">
        <v>-9.1000000000000004E-3</v>
      </c>
      <c r="C168" s="3">
        <v>1.72E-2</v>
      </c>
      <c r="D168" s="3">
        <v>-6.9400000000000003E-2</v>
      </c>
      <c r="E168" s="3">
        <v>-0.1106</v>
      </c>
      <c r="F168" s="3">
        <v>-0.11650000000000001</v>
      </c>
    </row>
    <row r="169" spans="1:6" x14ac:dyDescent="0.2">
      <c r="A169" s="3" t="s">
        <v>162</v>
      </c>
      <c r="B169" s="3">
        <v>6.1499999999999999E-2</v>
      </c>
      <c r="C169" s="3">
        <v>5.5800000000000002E-2</v>
      </c>
      <c r="D169" s="3">
        <v>0.1091</v>
      </c>
      <c r="E169" s="3">
        <v>5.8700000000000002E-2</v>
      </c>
      <c r="F169" s="3">
        <v>0.17219999999999999</v>
      </c>
    </row>
    <row r="170" spans="1:6" x14ac:dyDescent="0.2">
      <c r="A170" s="3" t="s">
        <v>163</v>
      </c>
      <c r="B170" s="3">
        <v>-5.5800000000000002E-2</v>
      </c>
      <c r="C170" s="3">
        <v>2.23E-2</v>
      </c>
      <c r="D170" s="3">
        <v>-4.1000000000000003E-3</v>
      </c>
      <c r="E170" s="3">
        <v>1.67E-2</v>
      </c>
      <c r="F170" s="3">
        <v>8.5099999999999995E-2</v>
      </c>
    </row>
    <row r="171" spans="1:6" x14ac:dyDescent="0.2">
      <c r="A171" s="3" t="s">
        <v>164</v>
      </c>
      <c r="B171" s="3">
        <v>5.9700000000000003E-2</v>
      </c>
      <c r="C171" s="3">
        <v>-2.1899999999999999E-2</v>
      </c>
      <c r="D171" s="3">
        <v>1.04E-2</v>
      </c>
      <c r="E171" s="3">
        <v>-0.1066</v>
      </c>
      <c r="F171" s="3">
        <v>-1.7299999999999999E-2</v>
      </c>
    </row>
    <row r="172" spans="1:6" x14ac:dyDescent="0.2">
      <c r="A172" s="3" t="s">
        <v>165</v>
      </c>
      <c r="B172" s="3">
        <v>0.12709999999999999</v>
      </c>
      <c r="C172" s="3">
        <v>4.7399999999999998E-2</v>
      </c>
      <c r="D172" s="3">
        <v>4.6399999999999997E-2</v>
      </c>
      <c r="E172" s="3">
        <v>0.114</v>
      </c>
      <c r="F172" s="3">
        <v>-7.6E-3</v>
      </c>
    </row>
    <row r="173" spans="1:6" x14ac:dyDescent="0.2">
      <c r="A173" s="3" t="s">
        <v>166</v>
      </c>
      <c r="B173" s="3">
        <v>0.1883</v>
      </c>
      <c r="C173" s="3">
        <v>2.5399999999999999E-2</v>
      </c>
      <c r="D173" s="3">
        <v>4.3400000000000001E-2</v>
      </c>
      <c r="E173" s="3">
        <v>-2.9700000000000001E-2</v>
      </c>
      <c r="F173" s="3">
        <v>8.2000000000000003E-2</v>
      </c>
    </row>
    <row r="174" spans="1:6" x14ac:dyDescent="0.2">
      <c r="A174" s="3" t="s">
        <v>167</v>
      </c>
      <c r="B174" s="3">
        <v>0.1053</v>
      </c>
      <c r="C174" s="3">
        <v>6.0600000000000001E-2</v>
      </c>
      <c r="D174" s="3">
        <v>3.2199999999999999E-2</v>
      </c>
      <c r="E174" s="3">
        <v>-1.32E-2</v>
      </c>
      <c r="F174" s="3">
        <v>-4.1300000000000003E-2</v>
      </c>
    </row>
    <row r="175" spans="1:6" x14ac:dyDescent="0.2">
      <c r="A175" s="3" t="s">
        <v>168</v>
      </c>
      <c r="B175" s="3">
        <v>-2.5999999999999999E-2</v>
      </c>
      <c r="C175" s="3">
        <v>-7.4999999999999997E-3</v>
      </c>
      <c r="D175" s="3">
        <v>-6.7000000000000002E-3</v>
      </c>
      <c r="E175" s="3">
        <v>-1.5E-3</v>
      </c>
      <c r="F175" s="3">
        <v>1.15E-2</v>
      </c>
    </row>
    <row r="176" spans="1:6" x14ac:dyDescent="0.2">
      <c r="A176" s="3" t="s">
        <v>169</v>
      </c>
      <c r="B176" s="3">
        <v>-1.0699999999999999E-2</v>
      </c>
      <c r="C176" s="3">
        <v>-6.4500000000000002E-2</v>
      </c>
      <c r="D176" s="3">
        <v>-6.0100000000000001E-2</v>
      </c>
      <c r="E176" s="3">
        <v>-6.3399999999999998E-2</v>
      </c>
      <c r="F176" s="3">
        <v>-0.1782</v>
      </c>
    </row>
    <row r="177" spans="1:6" x14ac:dyDescent="0.2">
      <c r="A177" s="3" t="s">
        <v>170</v>
      </c>
      <c r="B177" s="3">
        <v>1.09E-2</v>
      </c>
      <c r="C177" s="3">
        <v>1.3899999999999999E-2</v>
      </c>
      <c r="D177" s="3">
        <v>4.0599999999999997E-2</v>
      </c>
      <c r="E177" s="3">
        <v>2.35E-2</v>
      </c>
      <c r="F177" s="3">
        <v>-2.3900000000000001E-2</v>
      </c>
    </row>
    <row r="178" spans="1:6" x14ac:dyDescent="0.2">
      <c r="A178" s="3" t="s">
        <v>171</v>
      </c>
      <c r="B178" s="3">
        <v>4.58E-2</v>
      </c>
      <c r="C178" s="3">
        <v>2E-3</v>
      </c>
      <c r="D178" s="3">
        <v>1.18E-2</v>
      </c>
      <c r="E178" s="3">
        <v>8.3999999999999995E-3</v>
      </c>
      <c r="F178" s="3">
        <v>2.6700000000000002E-2</v>
      </c>
    </row>
    <row r="179" spans="1:6" x14ac:dyDescent="0.2">
      <c r="A179" s="3" t="s">
        <v>172</v>
      </c>
      <c r="B179" s="3">
        <v>9.3799999999999994E-2</v>
      </c>
      <c r="C179" s="3">
        <v>-1.5E-3</v>
      </c>
      <c r="D179" s="3">
        <v>2.5100000000000001E-2</v>
      </c>
      <c r="E179" s="3">
        <v>4.9399999999999999E-2</v>
      </c>
      <c r="F179" s="3">
        <v>9.8199999999999996E-2</v>
      </c>
    </row>
    <row r="180" spans="1:6" x14ac:dyDescent="0.2">
      <c r="A180" s="3" t="s">
        <v>173</v>
      </c>
      <c r="B180" s="3">
        <v>2.8E-3</v>
      </c>
      <c r="C180" s="3">
        <v>6.4699999999999994E-2</v>
      </c>
      <c r="D180" s="3">
        <v>2.5399999999999999E-2</v>
      </c>
      <c r="E180" s="3">
        <v>4.6699999999999998E-2</v>
      </c>
      <c r="F180" s="3">
        <v>-4.9299999999999997E-2</v>
      </c>
    </row>
    <row r="181" spans="1:6" x14ac:dyDescent="0.2">
      <c r="A181" s="3" t="s">
        <v>174</v>
      </c>
      <c r="B181" s="3">
        <v>-0.1076</v>
      </c>
      <c r="C181" s="3">
        <v>-6.2300000000000001E-2</v>
      </c>
      <c r="D181" s="3">
        <v>-1.8200000000000001E-2</v>
      </c>
      <c r="E181" s="3">
        <v>-2.9399999999999999E-2</v>
      </c>
      <c r="F181" s="3">
        <v>-6.8599999999999994E-2</v>
      </c>
    </row>
    <row r="182" spans="1:6" x14ac:dyDescent="0.2">
      <c r="A182" s="3" t="s">
        <v>175</v>
      </c>
      <c r="B182" s="3">
        <v>-1.2200000000000001E-2</v>
      </c>
      <c r="C182" s="3">
        <v>-1.8599999999999998E-2</v>
      </c>
      <c r="D182" s="3">
        <v>5.7000000000000002E-3</v>
      </c>
      <c r="E182" s="3">
        <v>-4.7000000000000002E-3</v>
      </c>
      <c r="F182" s="3">
        <v>2.4500000000000001E-2</v>
      </c>
    </row>
    <row r="183" spans="1:6" x14ac:dyDescent="0.2">
      <c r="A183" s="3" t="s">
        <v>176</v>
      </c>
      <c r="B183" s="3">
        <v>-9.0700000000000003E-2</v>
      </c>
      <c r="C183" s="3">
        <v>7.7999999999999996E-3</v>
      </c>
      <c r="D183" s="3">
        <v>8.9999999999999993E-3</v>
      </c>
      <c r="E183" s="3">
        <v>-2.4299999999999999E-2</v>
      </c>
      <c r="F183" s="3">
        <v>2.4899999999999999E-2</v>
      </c>
    </row>
    <row r="184" spans="1:6" x14ac:dyDescent="0.2">
      <c r="A184" s="3" t="s">
        <v>177</v>
      </c>
      <c r="B184" s="3">
        <v>-0.14410000000000001</v>
      </c>
      <c r="C184" s="3">
        <v>6.0100000000000001E-2</v>
      </c>
      <c r="D184" s="3">
        <v>5.1200000000000002E-2</v>
      </c>
      <c r="E184" s="3">
        <v>-5.1000000000000004E-3</v>
      </c>
      <c r="F184" s="3">
        <v>5.7200000000000001E-2</v>
      </c>
    </row>
    <row r="185" spans="1:6" x14ac:dyDescent="0.2">
      <c r="A185" s="3" t="s">
        <v>178</v>
      </c>
      <c r="B185" s="3">
        <v>-2.5399999999999999E-2</v>
      </c>
      <c r="C185" s="3">
        <v>-6.7999999999999996E-3</v>
      </c>
      <c r="D185" s="3">
        <v>1.2800000000000001E-2</v>
      </c>
      <c r="E185" s="3">
        <v>-5.0900000000000001E-2</v>
      </c>
      <c r="F185" s="3">
        <v>-6.2899999999999998E-2</v>
      </c>
    </row>
    <row r="186" spans="1:6" x14ac:dyDescent="0.2">
      <c r="A186" s="3" t="s">
        <v>179</v>
      </c>
      <c r="B186" s="3">
        <v>2.8999999999999998E-3</v>
      </c>
      <c r="C186" s="3">
        <v>6.2100000000000002E-2</v>
      </c>
      <c r="D186" s="3">
        <v>3.7999999999999999E-2</v>
      </c>
      <c r="E186" s="3">
        <v>9.5999999999999992E-3</v>
      </c>
      <c r="F186" s="3">
        <v>5.11E-2</v>
      </c>
    </row>
    <row r="187" spans="1:6" x14ac:dyDescent="0.2">
      <c r="A187" s="3" t="s">
        <v>180</v>
      </c>
      <c r="B187" s="3">
        <v>2.9999999999999997E-4</v>
      </c>
      <c r="C187" s="3">
        <v>-5.04E-2</v>
      </c>
      <c r="D187" s="3">
        <v>1.9199999999999998E-2</v>
      </c>
      <c r="E187" s="3">
        <v>-7.5700000000000003E-2</v>
      </c>
      <c r="F187" s="3">
        <v>-4.58E-2</v>
      </c>
    </row>
    <row r="188" spans="1:6" x14ac:dyDescent="0.2">
      <c r="A188" s="3" t="s">
        <v>181</v>
      </c>
      <c r="B188" s="3">
        <v>2.2499999999999999E-2</v>
      </c>
      <c r="C188" s="3">
        <v>3.1800000000000002E-2</v>
      </c>
      <c r="D188" s="3">
        <v>2.3599999999999999E-2</v>
      </c>
      <c r="E188" s="3">
        <v>-6.2E-2</v>
      </c>
      <c r="F188" s="3">
        <v>-1.66E-2</v>
      </c>
    </row>
    <row r="189" spans="1:6" x14ac:dyDescent="0.2">
      <c r="A189" s="3" t="s">
        <v>182</v>
      </c>
      <c r="B189" s="3">
        <v>-0.1183</v>
      </c>
      <c r="C189" s="3">
        <v>-8.1299999999999997E-2</v>
      </c>
      <c r="D189" s="3">
        <v>-1.3299999999999999E-2</v>
      </c>
      <c r="E189" s="3">
        <v>-0.1106</v>
      </c>
      <c r="F189" s="3">
        <v>4.8099999999999997E-2</v>
      </c>
    </row>
    <row r="190" spans="1:6" x14ac:dyDescent="0.2">
      <c r="A190" s="3" t="s">
        <v>183</v>
      </c>
      <c r="B190" s="3">
        <v>0.14119999999999999</v>
      </c>
      <c r="C190" s="3">
        <v>2.06E-2</v>
      </c>
      <c r="D190" s="3">
        <v>5.1700000000000003E-2</v>
      </c>
      <c r="E190" s="3">
        <v>7.4300000000000005E-2</v>
      </c>
      <c r="F190" s="3">
        <v>9.2999999999999999E-2</v>
      </c>
    </row>
    <row r="191" spans="1:6" x14ac:dyDescent="0.2">
      <c r="A191" s="3" t="s">
        <v>184</v>
      </c>
      <c r="B191" s="3">
        <v>8.3799999999999999E-2</v>
      </c>
      <c r="C191" s="3">
        <v>-6.08E-2</v>
      </c>
      <c r="D191" s="3">
        <v>-0.03</v>
      </c>
      <c r="E191" s="3">
        <v>5.1999999999999998E-2</v>
      </c>
      <c r="F191" s="3">
        <v>0.03</v>
      </c>
    </row>
    <row r="192" spans="1:6" x14ac:dyDescent="0.2">
      <c r="A192" s="3" t="s">
        <v>185</v>
      </c>
      <c r="B192" s="3">
        <v>-2.1499999999999998E-2</v>
      </c>
      <c r="C192" s="3">
        <v>1.6E-2</v>
      </c>
      <c r="D192" s="3">
        <v>3.1699999999999999E-2</v>
      </c>
      <c r="E192" s="3">
        <v>-4.7800000000000002E-2</v>
      </c>
      <c r="F192" s="3">
        <v>-4.24E-2</v>
      </c>
    </row>
    <row r="193" spans="1:6" x14ac:dyDescent="0.2">
      <c r="A193" s="3" t="s">
        <v>186</v>
      </c>
      <c r="B193" s="3">
        <v>9.64E-2</v>
      </c>
      <c r="C193" s="3">
        <v>-3.2199999999999999E-2</v>
      </c>
      <c r="D193" s="3">
        <v>4.6300000000000001E-2</v>
      </c>
      <c r="E193" s="3">
        <v>-3.3999999999999998E-3</v>
      </c>
      <c r="F193" s="3">
        <v>-5.8599999999999999E-2</v>
      </c>
    </row>
    <row r="194" spans="1:6" x14ac:dyDescent="0.2">
      <c r="A194" s="3" t="s">
        <v>187</v>
      </c>
      <c r="B194" s="3">
        <v>7.0099999999999996E-2</v>
      </c>
      <c r="C194" s="3">
        <v>7.9000000000000008E-3</v>
      </c>
      <c r="D194" s="3">
        <v>2.9600000000000001E-2</v>
      </c>
      <c r="E194" s="3">
        <v>-5.5100000000000003E-2</v>
      </c>
      <c r="F194" s="3">
        <v>-3.5499999999999997E-2</v>
      </c>
    </row>
    <row r="195" spans="1:6" x14ac:dyDescent="0.2">
      <c r="A195" s="3" t="s">
        <v>188</v>
      </c>
      <c r="B195" s="3">
        <v>8.8999999999999999E-3</v>
      </c>
      <c r="C195" s="3">
        <v>4.3900000000000002E-2</v>
      </c>
      <c r="D195" s="3">
        <v>2.5899999999999999E-2</v>
      </c>
      <c r="E195" s="3">
        <v>-3.7900000000000003E-2</v>
      </c>
      <c r="F195" s="3">
        <v>5.5599999999999997E-2</v>
      </c>
    </row>
    <row r="196" spans="1:6" x14ac:dyDescent="0.2">
      <c r="A196" s="3" t="s">
        <v>189</v>
      </c>
      <c r="B196" s="3">
        <v>-0.1077</v>
      </c>
      <c r="C196" s="3">
        <v>-5.8099999999999999E-2</v>
      </c>
      <c r="D196" s="3">
        <v>-3.5200000000000002E-2</v>
      </c>
      <c r="E196" s="3">
        <v>3.4200000000000001E-2</v>
      </c>
      <c r="F196" s="3">
        <v>-1.47E-2</v>
      </c>
    </row>
    <row r="197" spans="1:6" x14ac:dyDescent="0.2">
      <c r="A197" s="3" t="s">
        <v>190</v>
      </c>
      <c r="B197" s="3">
        <v>5.7500000000000002E-2</v>
      </c>
      <c r="C197" s="3">
        <v>5.3800000000000001E-2</v>
      </c>
      <c r="D197" s="3">
        <v>4.5499999999999999E-2</v>
      </c>
      <c r="E197" s="3">
        <v>6.2700000000000006E-2</v>
      </c>
      <c r="F197" s="3">
        <v>5.57E-2</v>
      </c>
    </row>
    <row r="198" spans="1:6" x14ac:dyDescent="0.2">
      <c r="A198" s="3" t="s">
        <v>191</v>
      </c>
      <c r="B198" s="3">
        <v>0.02</v>
      </c>
      <c r="C198" s="3">
        <v>3.95E-2</v>
      </c>
      <c r="D198" s="3">
        <v>8.3000000000000001E-3</v>
      </c>
      <c r="E198" s="3">
        <v>-3.1399999999999997E-2</v>
      </c>
      <c r="F198" s="3">
        <v>-4.1000000000000003E-3</v>
      </c>
    </row>
    <row r="199" spans="1:6" x14ac:dyDescent="0.2">
      <c r="A199" s="3" t="s">
        <v>192</v>
      </c>
      <c r="B199" s="3">
        <v>9.9400000000000002E-2</v>
      </c>
      <c r="C199" s="3">
        <v>2.07E-2</v>
      </c>
      <c r="D199" s="3">
        <v>7.0000000000000001E-3</v>
      </c>
      <c r="E199" s="3">
        <v>4.8999999999999998E-3</v>
      </c>
      <c r="F199" s="3">
        <v>-7.4000000000000003E-3</v>
      </c>
    </row>
    <row r="200" spans="1:6" x14ac:dyDescent="0.2">
      <c r="A200" s="3" t="s">
        <v>193</v>
      </c>
      <c r="B200" s="3">
        <v>7.8700000000000006E-2</v>
      </c>
      <c r="C200" s="3">
        <v>-5.62E-2</v>
      </c>
      <c r="D200" s="3">
        <v>2.3199999999999998E-2</v>
      </c>
      <c r="E200" s="3">
        <v>-3.0499999999999999E-2</v>
      </c>
      <c r="F200" s="3">
        <v>3.7400000000000003E-2</v>
      </c>
    </row>
    <row r="201" spans="1:6" x14ac:dyDescent="0.2">
      <c r="A201" s="3" t="s">
        <v>194</v>
      </c>
      <c r="B201" s="3">
        <v>2.7699999999999999E-2</v>
      </c>
      <c r="C201" s="3">
        <v>-1.6799999999999999E-2</v>
      </c>
      <c r="D201" s="3">
        <v>2.06E-2</v>
      </c>
      <c r="E201" s="3">
        <v>6.3200000000000006E-2</v>
      </c>
      <c r="F201" s="3">
        <v>3.1800000000000002E-2</v>
      </c>
    </row>
    <row r="202" spans="1:6" x14ac:dyDescent="0.2">
      <c r="A202" s="3" t="s">
        <v>195</v>
      </c>
      <c r="B202" s="3">
        <v>2.87E-2</v>
      </c>
      <c r="C202" s="3">
        <v>5.74E-2</v>
      </c>
      <c r="D202" s="3">
        <v>-1.34E-2</v>
      </c>
      <c r="E202" s="3">
        <v>-3.6299999999999999E-2</v>
      </c>
      <c r="F202" s="3">
        <v>-6.6000000000000003E-2</v>
      </c>
    </row>
    <row r="203" spans="1:6" x14ac:dyDescent="0.2">
      <c r="A203" s="3" t="s">
        <v>196</v>
      </c>
      <c r="B203" s="3">
        <v>7.7499999999999999E-2</v>
      </c>
      <c r="C203" s="3">
        <v>9.1999999999999998E-3</v>
      </c>
      <c r="D203" s="3">
        <v>3.95E-2</v>
      </c>
      <c r="E203" s="3">
        <v>3.8E-3</v>
      </c>
      <c r="F203" s="3">
        <v>-1.5299999999999999E-2</v>
      </c>
    </row>
    <row r="204" spans="1:6" x14ac:dyDescent="0.2">
      <c r="A204" s="3" t="s">
        <v>197</v>
      </c>
      <c r="B204" s="3">
        <v>-1.7100000000000001E-2</v>
      </c>
      <c r="C204" s="3">
        <v>-1.2800000000000001E-2</v>
      </c>
      <c r="D204" s="3">
        <v>-1.38E-2</v>
      </c>
      <c r="E204" s="3">
        <v>-6.1800000000000001E-2</v>
      </c>
      <c r="F204" s="3">
        <v>-3.78E-2</v>
      </c>
    </row>
    <row r="205" spans="1:6" x14ac:dyDescent="0.2">
      <c r="A205" s="3" t="s">
        <v>198</v>
      </c>
      <c r="B205" s="3">
        <v>7.1999999999999995E-2</v>
      </c>
      <c r="C205" s="3">
        <v>-0.13400000000000001</v>
      </c>
      <c r="D205" s="3">
        <v>2.3599999999999999E-2</v>
      </c>
      <c r="E205" s="3">
        <v>-3.0499999999999999E-2</v>
      </c>
      <c r="F205" s="3">
        <v>-0.1099</v>
      </c>
    </row>
    <row r="206" spans="1:6" x14ac:dyDescent="0.2">
      <c r="A206" s="3" t="s">
        <v>199</v>
      </c>
      <c r="B206" s="3">
        <v>0.106</v>
      </c>
      <c r="C206" s="3">
        <v>-6.7999999999999996E-3</v>
      </c>
      <c r="D206" s="3">
        <v>2.75E-2</v>
      </c>
      <c r="E206" s="3">
        <v>-4.8999999999999998E-3</v>
      </c>
      <c r="F206" s="3">
        <v>-0.16489999999999999</v>
      </c>
    </row>
    <row r="207" spans="1:6" x14ac:dyDescent="0.2">
      <c r="A207" s="3" t="s">
        <v>200</v>
      </c>
      <c r="B207" s="3">
        <v>-7.1900000000000006E-2</v>
      </c>
      <c r="C207" s="3">
        <v>-1.0699999999999999E-2</v>
      </c>
      <c r="D207" s="3">
        <v>-2.5999999999999999E-3</v>
      </c>
      <c r="E207" s="3">
        <v>1.3100000000000001E-2</v>
      </c>
      <c r="F207" s="3">
        <v>-0.2041</v>
      </c>
    </row>
    <row r="208" spans="1:6" x14ac:dyDescent="0.2">
      <c r="A208" s="3" t="s">
        <v>201</v>
      </c>
      <c r="B208" s="3">
        <v>6.1400000000000003E-2</v>
      </c>
      <c r="C208" s="3">
        <v>-4.4400000000000002E-2</v>
      </c>
      <c r="D208" s="3">
        <v>-2.9600000000000001E-2</v>
      </c>
      <c r="E208" s="3">
        <v>8.6900000000000005E-2</v>
      </c>
      <c r="F208" s="3">
        <v>-0.12479999999999999</v>
      </c>
    </row>
    <row r="209" spans="1:6" x14ac:dyDescent="0.2">
      <c r="A209" s="3" t="s">
        <v>202</v>
      </c>
      <c r="B209" s="3">
        <v>0.1007</v>
      </c>
      <c r="C209" s="3">
        <v>6.3700000000000007E-2</v>
      </c>
      <c r="D209" s="3">
        <v>5.62E-2</v>
      </c>
      <c r="E209" s="3">
        <v>-5.91E-2</v>
      </c>
      <c r="F209" s="3">
        <v>1.5699999999999999E-2</v>
      </c>
    </row>
    <row r="210" spans="1:6" x14ac:dyDescent="0.2">
      <c r="A210" s="3" t="s">
        <v>203</v>
      </c>
      <c r="B210" s="3">
        <v>-3.1399999999999997E-2</v>
      </c>
      <c r="C210" s="3">
        <v>-8.8999999999999999E-3</v>
      </c>
      <c r="D210" s="3">
        <v>-1.5699999999999999E-2</v>
      </c>
      <c r="E210" s="3">
        <v>-2.1499999999999998E-2</v>
      </c>
      <c r="F210" s="3">
        <v>-6.9599999999999995E-2</v>
      </c>
    </row>
    <row r="211" spans="1:6" x14ac:dyDescent="0.2">
      <c r="A211" s="3" t="s">
        <v>204</v>
      </c>
      <c r="B211" s="3">
        <v>5.7999999999999996E-3</v>
      </c>
      <c r="C211" s="3">
        <v>6.7199999999999996E-2</v>
      </c>
      <c r="D211" s="3">
        <v>9.7999999999999997E-3</v>
      </c>
      <c r="E211" s="3">
        <v>-1.6999999999999999E-3</v>
      </c>
      <c r="F211" s="3">
        <v>0.21790000000000001</v>
      </c>
    </row>
    <row r="212" spans="1:6" x14ac:dyDescent="0.2">
      <c r="A212" s="3" t="s">
        <v>205</v>
      </c>
      <c r="B212" s="3">
        <v>4.53E-2</v>
      </c>
      <c r="C212" s="3">
        <v>-2E-3</v>
      </c>
      <c r="D212" s="3">
        <v>1.29E-2</v>
      </c>
      <c r="E212" s="3">
        <v>5.5999999999999999E-3</v>
      </c>
      <c r="F212" s="3">
        <v>-9.7999999999999997E-3</v>
      </c>
    </row>
    <row r="213" spans="1:6" x14ac:dyDescent="0.2">
      <c r="A213" s="3" t="s">
        <v>206</v>
      </c>
      <c r="B213" s="3">
        <v>-3.73E-2</v>
      </c>
      <c r="C213" s="3">
        <v>-4.1200000000000001E-2</v>
      </c>
      <c r="D213" s="3">
        <v>-2.0299999999999999E-2</v>
      </c>
      <c r="E213" s="3">
        <v>-1.52E-2</v>
      </c>
      <c r="F213" s="3">
        <v>-2.12E-2</v>
      </c>
    </row>
    <row r="214" spans="1:6" x14ac:dyDescent="0.2">
      <c r="A214" s="3" t="s">
        <v>207</v>
      </c>
      <c r="B214" s="3">
        <v>-3.2899999999999999E-2</v>
      </c>
      <c r="C214" s="3">
        <v>-4.1000000000000003E-3</v>
      </c>
      <c r="D214" s="3">
        <v>2.2599999999999999E-2</v>
      </c>
      <c r="E214" s="3">
        <v>-6.6199999999999995E-2</v>
      </c>
      <c r="F214" s="3">
        <v>-0.21579999999999999</v>
      </c>
    </row>
    <row r="215" spans="1:6" x14ac:dyDescent="0.2">
      <c r="A215" s="3" t="s">
        <v>208</v>
      </c>
      <c r="B215" s="3">
        <v>-6.6199999999999995E-2</v>
      </c>
      <c r="C215" s="3">
        <v>-7.9500000000000001E-2</v>
      </c>
      <c r="D215" s="3">
        <v>-6.0999999999999999E-2</v>
      </c>
      <c r="E215" s="3">
        <v>3.7100000000000001E-2</v>
      </c>
      <c r="F215" s="3">
        <v>1.9199999999999998E-2</v>
      </c>
    </row>
    <row r="216" spans="1:6" x14ac:dyDescent="0.2">
      <c r="A216" s="3" t="s">
        <v>209</v>
      </c>
      <c r="B216" s="3">
        <v>-2.18E-2</v>
      </c>
      <c r="C216" s="3">
        <v>-1.9699999999999999E-2</v>
      </c>
      <c r="D216" s="3">
        <v>-2.5399999999999999E-2</v>
      </c>
      <c r="E216" s="3">
        <v>-1.7999999999999999E-2</v>
      </c>
      <c r="F216" s="3">
        <v>-7.6100000000000001E-2</v>
      </c>
    </row>
    <row r="217" spans="1:6" x14ac:dyDescent="0.2">
      <c r="A217" s="3" t="s">
        <v>210</v>
      </c>
      <c r="B217" s="3">
        <v>8.3400000000000002E-2</v>
      </c>
      <c r="C217" s="3">
        <v>-3.3700000000000001E-2</v>
      </c>
      <c r="D217" s="3">
        <v>8.5099999999999995E-2</v>
      </c>
      <c r="E217" s="3">
        <v>2.2800000000000001E-2</v>
      </c>
      <c r="F217" s="3">
        <v>8.8999999999999999E-3</v>
      </c>
    </row>
    <row r="218" spans="1:6" x14ac:dyDescent="0.2">
      <c r="A218" s="3" t="s">
        <v>211</v>
      </c>
      <c r="B218" s="3">
        <v>-5.7999999999999996E-3</v>
      </c>
      <c r="C218" s="3">
        <v>4.5999999999999999E-3</v>
      </c>
      <c r="D218" s="3">
        <v>3.7000000000000002E-3</v>
      </c>
      <c r="E218" s="3">
        <v>-6.7500000000000004E-2</v>
      </c>
      <c r="F218" s="3">
        <v>-0.12690000000000001</v>
      </c>
    </row>
    <row r="219" spans="1:6" x14ac:dyDescent="0.2">
      <c r="A219" s="3" t="s">
        <v>212</v>
      </c>
      <c r="B219" s="3">
        <v>-0.11020000000000001</v>
      </c>
      <c r="C219" s="3">
        <v>-1.29E-2</v>
      </c>
      <c r="D219" s="3">
        <v>-1.72E-2</v>
      </c>
      <c r="E219" s="3">
        <v>-4.4999999999999997E-3</v>
      </c>
      <c r="F219" s="3">
        <v>-0.14929999999999999</v>
      </c>
    </row>
    <row r="220" spans="1:6" x14ac:dyDescent="0.2">
      <c r="A220" s="3" t="s">
        <v>213</v>
      </c>
      <c r="B220" s="3">
        <v>-7.5200000000000003E-2</v>
      </c>
      <c r="C220" s="3">
        <v>-9.3200000000000005E-2</v>
      </c>
      <c r="D220" s="3">
        <v>-4.9799999999999997E-2</v>
      </c>
      <c r="E220" s="3">
        <v>5.4100000000000002E-2</v>
      </c>
      <c r="F220" s="3">
        <v>-0.1227</v>
      </c>
    </row>
    <row r="221" spans="1:6" x14ac:dyDescent="0.2">
      <c r="A221" s="3" t="s">
        <v>214</v>
      </c>
      <c r="B221" s="3">
        <v>-1.2999999999999999E-3</v>
      </c>
      <c r="C221" s="3">
        <v>6.08E-2</v>
      </c>
      <c r="D221" s="3">
        <v>-8.0000000000000004E-4</v>
      </c>
      <c r="E221" s="3">
        <v>0.10929999999999999</v>
      </c>
      <c r="F221" s="3">
        <v>-6.7400000000000002E-2</v>
      </c>
    </row>
    <row r="222" spans="1:6" x14ac:dyDescent="0.2">
      <c r="A222" s="3" t="s">
        <v>215</v>
      </c>
      <c r="B222" s="3">
        <v>0.12720000000000001</v>
      </c>
      <c r="C222" s="3">
        <v>0.15579999999999999</v>
      </c>
      <c r="D222" s="3">
        <v>6.7199999999999996E-2</v>
      </c>
      <c r="E222" s="3">
        <v>-8.3999999999999995E-3</v>
      </c>
      <c r="F222" s="3">
        <v>7.7799999999999994E-2</v>
      </c>
    </row>
    <row r="223" spans="1:6" x14ac:dyDescent="0.2">
      <c r="A223" s="3" t="s">
        <v>216</v>
      </c>
      <c r="B223" s="3">
        <v>-0.1399</v>
      </c>
      <c r="C223" s="3">
        <v>-3.6400000000000002E-2</v>
      </c>
      <c r="D223" s="3">
        <v>3.8999999999999998E-3</v>
      </c>
      <c r="E223" s="3">
        <v>5.11E-2</v>
      </c>
      <c r="F223" s="3">
        <v>0.16489999999999999</v>
      </c>
    </row>
    <row r="224" spans="1:6" x14ac:dyDescent="0.2">
      <c r="A224" s="3" t="s">
        <v>217</v>
      </c>
      <c r="B224" s="3">
        <v>7.1800000000000003E-2</v>
      </c>
      <c r="C224" s="3">
        <v>6.3500000000000001E-2</v>
      </c>
      <c r="D224" s="3">
        <v>1.7000000000000001E-2</v>
      </c>
      <c r="E224" s="3">
        <v>-6.1400000000000003E-2</v>
      </c>
      <c r="F224" s="3">
        <v>5.04E-2</v>
      </c>
    </row>
    <row r="225" spans="1:6" x14ac:dyDescent="0.2">
      <c r="A225" s="3" t="s">
        <v>218</v>
      </c>
      <c r="B225" s="3">
        <v>-4.2700000000000002E-2</v>
      </c>
      <c r="C225" s="3">
        <v>-1.2699999999999999E-2</v>
      </c>
      <c r="D225" s="3">
        <v>3.5000000000000001E-3</v>
      </c>
      <c r="E225" s="3">
        <v>8.9700000000000002E-2</v>
      </c>
      <c r="F225" s="3">
        <v>-2.53E-2</v>
      </c>
    </row>
    <row r="226" spans="1:6" x14ac:dyDescent="0.2">
      <c r="A226" s="3" t="s">
        <v>219</v>
      </c>
      <c r="B226" s="3">
        <v>9.01E-2</v>
      </c>
      <c r="C226" s="3">
        <v>5.8200000000000002E-2</v>
      </c>
      <c r="D226" s="3">
        <v>3.6499999999999998E-2</v>
      </c>
      <c r="E226" s="3">
        <v>1.9800000000000002E-2</v>
      </c>
      <c r="F226" s="3">
        <v>-0.15640000000000001</v>
      </c>
    </row>
    <row r="227" spans="1:6" x14ac:dyDescent="0.2">
      <c r="A227" s="3" t="s">
        <v>220</v>
      </c>
      <c r="B227" s="3">
        <v>2.3599999999999999E-2</v>
      </c>
      <c r="C227" s="3">
        <v>-2.3E-3</v>
      </c>
      <c r="D227" s="3">
        <v>1.1999999999999999E-3</v>
      </c>
      <c r="E227" s="3">
        <v>-3.2599999999999997E-2</v>
      </c>
      <c r="F227" s="3">
        <v>6.1499999999999999E-2</v>
      </c>
    </row>
    <row r="228" spans="1:6" x14ac:dyDescent="0.2">
      <c r="A228" s="3" t="s">
        <v>221</v>
      </c>
      <c r="B228" s="3">
        <v>6.5500000000000003E-2</v>
      </c>
      <c r="C228" s="3">
        <v>-2.0000000000000001E-4</v>
      </c>
      <c r="D228" s="3">
        <v>1E-4</v>
      </c>
      <c r="E228" s="3">
        <v>6.8999999999999999E-3</v>
      </c>
      <c r="F228" s="3">
        <v>5.5E-2</v>
      </c>
    </row>
    <row r="229" spans="1:6" x14ac:dyDescent="0.2">
      <c r="A229" s="3" t="s">
        <v>222</v>
      </c>
      <c r="B229" s="3">
        <v>4.3E-3</v>
      </c>
      <c r="C229" s="3">
        <v>-3.2500000000000001E-2</v>
      </c>
      <c r="D229" s="3">
        <v>-1.7299999999999999E-2</v>
      </c>
      <c r="E229" s="3">
        <v>-2.9399999999999999E-2</v>
      </c>
      <c r="F229" s="3">
        <v>-3.6600000000000001E-2</v>
      </c>
    </row>
    <row r="230" spans="1:6" x14ac:dyDescent="0.2">
      <c r="A230" s="3" t="s">
        <v>223</v>
      </c>
      <c r="B230" s="3">
        <v>-2.1499999999999998E-2</v>
      </c>
      <c r="C230" s="3">
        <v>6.5000000000000002E-2</v>
      </c>
      <c r="D230" s="3">
        <v>3.6799999999999999E-2</v>
      </c>
      <c r="E230" s="3">
        <v>-8.3599999999999994E-2</v>
      </c>
      <c r="F230" s="3">
        <v>3.7999999999999999E-2</v>
      </c>
    </row>
    <row r="231" spans="1:6" x14ac:dyDescent="0.2">
      <c r="A231" s="3" t="s">
        <v>224</v>
      </c>
      <c r="B231" s="3">
        <v>4.8000000000000001E-2</v>
      </c>
      <c r="C231" s="3">
        <v>2.3199999999999998E-2</v>
      </c>
      <c r="D231" s="3">
        <v>2.0299999999999999E-2</v>
      </c>
      <c r="E231" s="3">
        <v>-1.9199999999999998E-2</v>
      </c>
      <c r="F231" s="3">
        <v>7.2300000000000003E-2</v>
      </c>
    </row>
    <row r="232" spans="1:6" x14ac:dyDescent="0.2">
      <c r="A232" s="3" t="s">
        <v>225</v>
      </c>
      <c r="B232" s="3">
        <v>4.7699999999999999E-2</v>
      </c>
      <c r="C232" s="3">
        <v>5.1400000000000001E-2</v>
      </c>
      <c r="D232" s="3">
        <v>1.7899999999999999E-2</v>
      </c>
      <c r="E232" s="3">
        <v>5.4199999999999998E-2</v>
      </c>
      <c r="F232" s="3">
        <v>-3.4099999999999998E-2</v>
      </c>
    </row>
    <row r="233" spans="1:6" x14ac:dyDescent="0.2">
      <c r="A233" s="3" t="s">
        <v>226</v>
      </c>
      <c r="B233" s="3">
        <v>0.13370000000000001</v>
      </c>
      <c r="C233" s="3">
        <v>3.8600000000000002E-2</v>
      </c>
      <c r="D233" s="3">
        <v>3.9300000000000002E-2</v>
      </c>
      <c r="E233" s="3">
        <v>3.1800000000000002E-2</v>
      </c>
      <c r="F233" s="3">
        <v>1.15E-2</v>
      </c>
    </row>
    <row r="234" spans="1:6" x14ac:dyDescent="0.2">
      <c r="A234" s="3" t="s">
        <v>227</v>
      </c>
      <c r="B234" s="3">
        <v>4.87E-2</v>
      </c>
      <c r="C234" s="3">
        <v>-3.1600000000000003E-2</v>
      </c>
      <c r="D234" s="3">
        <v>1.2999999999999999E-3</v>
      </c>
      <c r="E234" s="3">
        <v>-4.3E-3</v>
      </c>
      <c r="F234" s="3">
        <v>-7.0699999999999999E-2</v>
      </c>
    </row>
    <row r="235" spans="1:6" x14ac:dyDescent="0.2">
      <c r="A235" s="3" t="s">
        <v>228</v>
      </c>
      <c r="B235" s="3">
        <v>-1E-4</v>
      </c>
      <c r="C235" s="3">
        <v>-7.9500000000000001E-2</v>
      </c>
      <c r="D235" s="3">
        <v>9.9000000000000008E-3</v>
      </c>
      <c r="E235" s="3">
        <v>1.7299999999999999E-2</v>
      </c>
      <c r="F235" s="3">
        <v>-3.7600000000000001E-2</v>
      </c>
    </row>
    <row r="236" spans="1:6" x14ac:dyDescent="0.2">
      <c r="A236" s="3" t="s">
        <v>229</v>
      </c>
      <c r="B236" s="3">
        <v>6.7799999999999999E-2</v>
      </c>
      <c r="C236" s="3">
        <v>-3.85E-2</v>
      </c>
      <c r="D236" s="3">
        <v>1.41E-2</v>
      </c>
      <c r="E236" s="3">
        <v>-1.1999999999999999E-3</v>
      </c>
      <c r="F236" s="3">
        <v>-2.7300000000000001E-2</v>
      </c>
    </row>
    <row r="237" spans="1:6" x14ac:dyDescent="0.2">
      <c r="A237" s="3" t="s">
        <v>230</v>
      </c>
      <c r="B237" s="3">
        <v>-5.7200000000000001E-2</v>
      </c>
      <c r="C237" s="3">
        <v>7.9000000000000008E-3</v>
      </c>
      <c r="D237" s="3">
        <v>6.4000000000000003E-3</v>
      </c>
      <c r="E237" s="3">
        <v>-2.1600000000000001E-2</v>
      </c>
      <c r="F237" s="3">
        <v>-4.6199999999999998E-2</v>
      </c>
    </row>
    <row r="238" spans="1:6" x14ac:dyDescent="0.2">
      <c r="A238" s="3" t="s">
        <v>231</v>
      </c>
      <c r="B238" s="3">
        <v>3.27E-2</v>
      </c>
      <c r="C238" s="3">
        <v>-5.9499999999999997E-2</v>
      </c>
      <c r="D238" s="3">
        <v>2.06E-2</v>
      </c>
      <c r="E238" s="3">
        <v>2.3099999999999999E-2</v>
      </c>
      <c r="F238" s="3">
        <v>8.2100000000000006E-2</v>
      </c>
    </row>
    <row r="239" spans="1:6" x14ac:dyDescent="0.2">
      <c r="A239" s="3" t="s">
        <v>232</v>
      </c>
      <c r="B239" s="3">
        <v>0.1071</v>
      </c>
      <c r="C239" s="3">
        <v>-8.9999999999999998E-4</v>
      </c>
      <c r="D239" s="3">
        <v>2.8999999999999998E-3</v>
      </c>
      <c r="E239" s="3">
        <v>4.2000000000000003E-2</v>
      </c>
      <c r="F239" s="3">
        <v>-6.3200000000000006E-2</v>
      </c>
    </row>
    <row r="240" spans="1:6" x14ac:dyDescent="0.2">
      <c r="A240" s="3" t="s">
        <v>233</v>
      </c>
      <c r="B240" s="3">
        <v>-6.0199999999999997E-2</v>
      </c>
      <c r="C240" s="3">
        <v>1.43E-2</v>
      </c>
      <c r="D240" s="3">
        <v>2.01E-2</v>
      </c>
      <c r="E240" s="3">
        <v>-3.3700000000000001E-2</v>
      </c>
      <c r="F240" s="3">
        <v>8.3099999999999993E-2</v>
      </c>
    </row>
    <row r="241" spans="1:6" x14ac:dyDescent="0.2">
      <c r="A241" s="3" t="s">
        <v>234</v>
      </c>
      <c r="B241" s="3">
        <v>9.6799999999999997E-2</v>
      </c>
      <c r="C241" s="3">
        <v>6.1899999999999997E-2</v>
      </c>
      <c r="D241" s="3">
        <v>2.3599999999999999E-2</v>
      </c>
      <c r="E241" s="3">
        <v>-7.4999999999999997E-3</v>
      </c>
      <c r="F241" s="3">
        <v>4.7899999999999998E-2</v>
      </c>
    </row>
    <row r="242" spans="1:6" x14ac:dyDescent="0.2">
      <c r="A242" s="3" t="s">
        <v>235</v>
      </c>
      <c r="B242" s="3">
        <v>2.0299999999999999E-2</v>
      </c>
      <c r="C242" s="3">
        <v>9.4000000000000004E-3</v>
      </c>
      <c r="D242" s="3">
        <v>3.0599999999999999E-2</v>
      </c>
      <c r="E242" s="3">
        <v>3.5999999999999999E-3</v>
      </c>
      <c r="F242" s="3">
        <v>4.9399999999999999E-2</v>
      </c>
    </row>
    <row r="243" spans="1:6" x14ac:dyDescent="0.2">
      <c r="A243" s="3" t="s">
        <v>236</v>
      </c>
      <c r="B243" s="3">
        <v>-1.52E-2</v>
      </c>
      <c r="C243" s="3">
        <v>-3.5999999999999999E-3</v>
      </c>
      <c r="D243" s="3">
        <v>1.21E-2</v>
      </c>
      <c r="E243" s="3">
        <v>2.1100000000000001E-2</v>
      </c>
      <c r="F243" s="3">
        <v>4.7100000000000003E-2</v>
      </c>
    </row>
    <row r="244" spans="1:6" x14ac:dyDescent="0.2">
      <c r="A244" s="3" t="s">
        <v>237</v>
      </c>
      <c r="B244" s="3">
        <v>-1.06E-2</v>
      </c>
      <c r="C244" s="3">
        <v>6.7000000000000004E-2</v>
      </c>
      <c r="D244" s="3">
        <v>5.6399999999999999E-2</v>
      </c>
      <c r="E244" s="3">
        <v>3.2300000000000002E-2</v>
      </c>
      <c r="F244" s="3">
        <v>8.0799999999999997E-2</v>
      </c>
    </row>
    <row r="245" spans="1:6" x14ac:dyDescent="0.2">
      <c r="A245" s="3" t="s">
        <v>238</v>
      </c>
      <c r="B245" s="3">
        <v>6.8099999999999994E-2</v>
      </c>
      <c r="C245" s="3">
        <v>-3.8399999999999997E-2</v>
      </c>
      <c r="D245" s="3">
        <v>-3.6400000000000002E-2</v>
      </c>
      <c r="E245" s="3">
        <v>-2.0799999999999999E-2</v>
      </c>
      <c r="F245" s="3">
        <v>-4.7E-2</v>
      </c>
    </row>
    <row r="246" spans="1:6" x14ac:dyDescent="0.2">
      <c r="A246" s="3" t="s">
        <v>239</v>
      </c>
      <c r="B246" s="3">
        <v>-5.8099999999999999E-2</v>
      </c>
      <c r="C246" s="3">
        <v>-1.54E-2</v>
      </c>
      <c r="D246" s="3">
        <v>-2.7400000000000001E-2</v>
      </c>
      <c r="E246" s="3">
        <v>6.3E-3</v>
      </c>
      <c r="F246" s="3">
        <v>5.8200000000000002E-2</v>
      </c>
    </row>
    <row r="247" spans="1:6" x14ac:dyDescent="0.2">
      <c r="A247" s="3" t="s">
        <v>240</v>
      </c>
      <c r="B247" s="3">
        <v>-1.4999999999999999E-2</v>
      </c>
      <c r="C247" s="3">
        <v>-5.5199999999999999E-2</v>
      </c>
      <c r="D247" s="3">
        <v>5.1999999999999998E-3</v>
      </c>
      <c r="E247" s="3">
        <v>-9.4999999999999998E-3</v>
      </c>
      <c r="F247" s="3">
        <v>5.4199999999999998E-2</v>
      </c>
    </row>
    <row r="248" spans="1:6" x14ac:dyDescent="0.2">
      <c r="A248" s="3" t="s">
        <v>241</v>
      </c>
      <c r="B248" s="3">
        <v>0.1351</v>
      </c>
      <c r="C248" s="3">
        <v>-1.44E-2</v>
      </c>
      <c r="D248" s="3">
        <v>2.4299999999999999E-2</v>
      </c>
      <c r="E248" s="3">
        <v>-1.2E-2</v>
      </c>
      <c r="F248" s="3">
        <v>-1.8100000000000002E-2</v>
      </c>
    </row>
    <row r="249" spans="1:6" x14ac:dyDescent="0.2">
      <c r="A249" s="3" t="s">
        <v>242</v>
      </c>
      <c r="B249" s="3">
        <v>-9.4000000000000004E-3</v>
      </c>
      <c r="C249" s="3">
        <v>-1.14E-2</v>
      </c>
      <c r="D249" s="3">
        <v>5.7999999999999996E-3</v>
      </c>
      <c r="E249" s="3">
        <v>-3.6200000000000003E-2</v>
      </c>
      <c r="F249" s="3">
        <v>0.1114</v>
      </c>
    </row>
    <row r="250" spans="1:6" x14ac:dyDescent="0.2">
      <c r="A250" s="3" t="s">
        <v>243</v>
      </c>
      <c r="B250" s="3">
        <v>2.8000000000000001E-2</v>
      </c>
      <c r="C250" s="3">
        <v>3.7400000000000003E-2</v>
      </c>
      <c r="D250" s="3">
        <v>3.6999999999999998E-2</v>
      </c>
      <c r="E250" s="3">
        <v>-2.24E-2</v>
      </c>
      <c r="F250" s="3">
        <v>-5.1799999999999999E-2</v>
      </c>
    </row>
    <row r="251" spans="1:6" x14ac:dyDescent="0.2">
      <c r="A251" s="3" t="s">
        <v>244</v>
      </c>
      <c r="B251" s="3">
        <v>0.20039999999999999</v>
      </c>
      <c r="C251" s="3">
        <v>2.1700000000000001E-2</v>
      </c>
      <c r="D251" s="3">
        <v>3.1899999999999998E-2</v>
      </c>
      <c r="E251" s="3">
        <v>-2.1399999999999999E-2</v>
      </c>
      <c r="F251" s="3">
        <v>3.0099999999999998E-2</v>
      </c>
    </row>
    <row r="252" spans="1:6" x14ac:dyDescent="0.2">
      <c r="A252" s="3" t="s">
        <v>245</v>
      </c>
      <c r="B252" s="3">
        <v>-8.3000000000000001E-3</v>
      </c>
      <c r="C252" s="3">
        <v>3.2300000000000002E-2</v>
      </c>
      <c r="D252" s="3">
        <v>5.8999999999999999E-3</v>
      </c>
      <c r="E252" s="3">
        <v>-6.6E-3</v>
      </c>
      <c r="F252" s="3">
        <v>5.5100000000000003E-2</v>
      </c>
    </row>
    <row r="253" spans="1:6" x14ac:dyDescent="0.2">
      <c r="A253" s="3" t="s">
        <v>246</v>
      </c>
      <c r="B253" s="3">
        <v>-3.0499999999999999E-2</v>
      </c>
      <c r="C253" s="3">
        <v>-0.2366</v>
      </c>
      <c r="D253" s="3">
        <v>-6.9099999999999995E-2</v>
      </c>
      <c r="E253" s="3">
        <v>2.12E-2</v>
      </c>
      <c r="F253" s="3">
        <v>-0.1115</v>
      </c>
    </row>
    <row r="254" spans="1:6" x14ac:dyDescent="0.2">
      <c r="A254" s="3" t="s">
        <v>247</v>
      </c>
      <c r="B254" s="3">
        <v>-0.1812</v>
      </c>
      <c r="C254" s="3">
        <v>9.0300000000000005E-2</v>
      </c>
      <c r="D254" s="3">
        <v>1.8499999999999999E-2</v>
      </c>
      <c r="E254" s="3">
        <v>3.3999999999999998E-3</v>
      </c>
      <c r="F254" s="3">
        <v>-0.22189999999999999</v>
      </c>
    </row>
    <row r="255" spans="1:6" x14ac:dyDescent="0.2">
      <c r="A255" s="3" t="s">
        <v>248</v>
      </c>
      <c r="B255" s="3">
        <v>-0.1167</v>
      </c>
      <c r="C255" s="3">
        <v>-8.5300000000000001E-2</v>
      </c>
      <c r="D255" s="3">
        <v>-8.7900000000000006E-2</v>
      </c>
      <c r="E255" s="3">
        <v>4.9399999999999999E-2</v>
      </c>
      <c r="F255" s="3">
        <v>-9.9699999999999997E-2</v>
      </c>
    </row>
    <row r="256" spans="1:6" x14ac:dyDescent="0.2">
      <c r="A256" s="3" t="s">
        <v>249</v>
      </c>
      <c r="B256" s="3">
        <v>5.5199999999999999E-2</v>
      </c>
      <c r="C256" s="3">
        <v>0.1825</v>
      </c>
      <c r="D256" s="3">
        <v>8.0100000000000005E-2</v>
      </c>
      <c r="E256" s="3">
        <v>2.8899999999999999E-2</v>
      </c>
      <c r="F256" s="3">
        <v>0.1749</v>
      </c>
    </row>
    <row r="257" spans="1:6" x14ac:dyDescent="0.2">
      <c r="A257" s="3" t="s">
        <v>250</v>
      </c>
      <c r="B257" s="3">
        <v>4.48E-2</v>
      </c>
      <c r="C257" s="3">
        <v>3.9699999999999999E-2</v>
      </c>
      <c r="D257" s="3">
        <v>3.2399999999999998E-2</v>
      </c>
      <c r="E257" s="3">
        <v>-6.1000000000000004E-3</v>
      </c>
      <c r="F257" s="3">
        <v>5.2900000000000003E-2</v>
      </c>
    </row>
    <row r="258" spans="1:6" x14ac:dyDescent="0.2">
      <c r="A258" s="3" t="s">
        <v>251</v>
      </c>
      <c r="B258" s="3">
        <v>9.7000000000000003E-2</v>
      </c>
      <c r="C258" s="3">
        <v>2.1499999999999998E-2</v>
      </c>
      <c r="D258" s="3">
        <v>1.8100000000000002E-2</v>
      </c>
      <c r="E258" s="3">
        <v>-1.6E-2</v>
      </c>
      <c r="F258" s="3">
        <v>4.5999999999999999E-2</v>
      </c>
    </row>
    <row r="259" spans="1:6" x14ac:dyDescent="0.2">
      <c r="A259" s="3" t="s">
        <v>252</v>
      </c>
      <c r="B259" s="3">
        <v>5.6399999999999999E-2</v>
      </c>
      <c r="C259" s="3">
        <v>-5.8999999999999999E-3</v>
      </c>
      <c r="D259" s="3">
        <v>4.0899999999999999E-2</v>
      </c>
      <c r="E259" s="3">
        <v>-6.6E-3</v>
      </c>
      <c r="F259" s="3">
        <v>6.3200000000000006E-2</v>
      </c>
    </row>
    <row r="260" spans="1:6" x14ac:dyDescent="0.2">
      <c r="A260" s="3" t="s">
        <v>253</v>
      </c>
      <c r="B260" s="3">
        <v>-0.1242</v>
      </c>
      <c r="C260" s="3">
        <v>-8.3799999999999999E-2</v>
      </c>
      <c r="D260" s="3">
        <v>-6.3799999999999996E-2</v>
      </c>
      <c r="E260" s="3">
        <v>1.7600000000000001E-2</v>
      </c>
      <c r="F260" s="3">
        <v>-0.1648</v>
      </c>
    </row>
    <row r="261" spans="1:6" x14ac:dyDescent="0.2">
      <c r="A261" s="3" t="s">
        <v>254</v>
      </c>
      <c r="B261" s="3">
        <v>0.1305</v>
      </c>
      <c r="C261" s="3">
        <v>8.5900000000000004E-2</v>
      </c>
      <c r="D261" s="3">
        <v>6.9599999999999995E-2</v>
      </c>
      <c r="E261" s="3">
        <v>0.08</v>
      </c>
      <c r="F261" s="3">
        <v>8.4699999999999998E-2</v>
      </c>
    </row>
    <row r="262" spans="1:6" x14ac:dyDescent="0.2">
      <c r="A262" s="3" t="s">
        <v>255</v>
      </c>
      <c r="B262" s="3">
        <v>7.6399999999999996E-2</v>
      </c>
      <c r="C262" s="3">
        <v>7.4999999999999997E-2</v>
      </c>
      <c r="D262" s="3">
        <v>1.5100000000000001E-2</v>
      </c>
      <c r="E262" s="3">
        <v>1E-4</v>
      </c>
      <c r="F262" s="3">
        <v>0</v>
      </c>
    </row>
    <row r="263" spans="1:6" x14ac:dyDescent="0.2">
      <c r="A263" s="3" t="s">
        <v>256</v>
      </c>
      <c r="B263" s="3">
        <v>-1.6400000000000001E-2</v>
      </c>
      <c r="C263" s="3">
        <v>-7.5200000000000003E-2</v>
      </c>
      <c r="D263" s="3">
        <v>-1.67E-2</v>
      </c>
      <c r="E263" s="3">
        <v>7.9100000000000004E-2</v>
      </c>
      <c r="F263" s="3">
        <v>-4.82E-2</v>
      </c>
    </row>
    <row r="264" spans="1:6" x14ac:dyDescent="0.2">
      <c r="A264" s="3" t="s">
        <v>257</v>
      </c>
      <c r="B264" s="3">
        <v>7.2999999999999995E-2</v>
      </c>
      <c r="C264" s="3">
        <v>7.2999999999999995E-2</v>
      </c>
      <c r="D264" s="3">
        <v>1.95E-2</v>
      </c>
      <c r="E264" s="3">
        <v>-3.39E-2</v>
      </c>
      <c r="F264" s="3">
        <v>-1.0500000000000001E-2</v>
      </c>
    </row>
    <row r="265" spans="1:6" x14ac:dyDescent="0.2">
      <c r="A265" s="3" t="s">
        <v>258</v>
      </c>
      <c r="B265" s="3">
        <v>0.11070000000000001</v>
      </c>
      <c r="C265" s="3">
        <v>-8.0399999999999999E-2</v>
      </c>
      <c r="D265" s="3">
        <v>2.2100000000000002E-2</v>
      </c>
      <c r="E265" s="3">
        <v>2.5600000000000001E-2</v>
      </c>
      <c r="F265" s="3">
        <v>-3.5000000000000001E-3</v>
      </c>
    </row>
    <row r="266" spans="1:6" x14ac:dyDescent="0.2">
      <c r="A266" s="3" t="s">
        <v>259</v>
      </c>
      <c r="B266" s="3">
        <v>7.7499999999999999E-2</v>
      </c>
      <c r="C266" s="3">
        <v>1.72E-2</v>
      </c>
      <c r="D266" s="3">
        <v>3.6200000000000003E-2</v>
      </c>
      <c r="E266" s="3">
        <v>-3.2099999999999997E-2</v>
      </c>
      <c r="F266" s="3">
        <v>2.8299999999999999E-2</v>
      </c>
    </row>
    <row r="267" spans="1:6" x14ac:dyDescent="0.2">
      <c r="A267" s="3" t="s">
        <v>260</v>
      </c>
      <c r="B267" s="3">
        <v>9.8799999999999999E-2</v>
      </c>
      <c r="C267" s="3">
        <v>-3.0000000000000001E-3</v>
      </c>
      <c r="D267" s="3">
        <v>2.9000000000000001E-2</v>
      </c>
      <c r="E267" s="3">
        <v>3.6600000000000001E-2</v>
      </c>
      <c r="F267" s="3">
        <v>0.1024</v>
      </c>
    </row>
    <row r="268" spans="1:6" x14ac:dyDescent="0.2">
      <c r="A268" s="3" t="s">
        <v>261</v>
      </c>
      <c r="B268" s="3">
        <v>5.3999999999999999E-2</v>
      </c>
      <c r="C268" s="3">
        <v>7.2300000000000003E-2</v>
      </c>
      <c r="D268" s="3">
        <v>-4.0000000000000002E-4</v>
      </c>
      <c r="E268" s="3">
        <v>4.4999999999999998E-2</v>
      </c>
      <c r="F268" s="3">
        <v>-0.15379999999999999</v>
      </c>
    </row>
    <row r="269" spans="1:6" x14ac:dyDescent="0.2">
      <c r="A269" s="3" t="s">
        <v>262</v>
      </c>
      <c r="B269" s="3">
        <v>-0.1147</v>
      </c>
      <c r="C269" s="3">
        <v>-8.4900000000000003E-2</v>
      </c>
      <c r="D269" s="3">
        <v>-7.9200000000000007E-2</v>
      </c>
      <c r="E269" s="3">
        <v>-6.4000000000000003E-3</v>
      </c>
      <c r="F269" s="3">
        <v>-0.12820000000000001</v>
      </c>
    </row>
    <row r="270" spans="1:6" x14ac:dyDescent="0.2">
      <c r="A270" s="3" t="s">
        <v>263</v>
      </c>
      <c r="B270" s="3">
        <v>-6.9800000000000001E-2</v>
      </c>
      <c r="C270" s="3">
        <v>-0.1477</v>
      </c>
      <c r="D270" s="3">
        <v>-0.1246</v>
      </c>
      <c r="E270" s="3">
        <v>-2.2000000000000001E-3</v>
      </c>
      <c r="F270" s="3">
        <v>-0.55449999999999999</v>
      </c>
    </row>
    <row r="271" spans="1:6" x14ac:dyDescent="0.2">
      <c r="A271" s="3" t="s">
        <v>264</v>
      </c>
      <c r="B271" s="3">
        <v>0.15540000000000001</v>
      </c>
      <c r="C271" s="3">
        <v>0.13189999999999999</v>
      </c>
      <c r="D271" s="3">
        <v>0.127</v>
      </c>
      <c r="E271" s="3">
        <v>7.2599999999999998E-2</v>
      </c>
      <c r="F271" s="3">
        <v>-0.43230000000000002</v>
      </c>
    </row>
    <row r="272" spans="1:6" x14ac:dyDescent="0.2">
      <c r="A272" s="3" t="s">
        <v>265</v>
      </c>
      <c r="B272" s="3">
        <v>8.5000000000000006E-2</v>
      </c>
      <c r="C272" s="3">
        <v>8.0999999999999996E-3</v>
      </c>
      <c r="D272" s="3">
        <v>4.7600000000000003E-2</v>
      </c>
      <c r="E272" s="3">
        <v>2.5899999999999999E-2</v>
      </c>
      <c r="F272" s="3">
        <v>0.35360000000000003</v>
      </c>
    </row>
    <row r="273" spans="1:6" x14ac:dyDescent="0.2">
      <c r="A273" s="3" t="s">
        <v>266</v>
      </c>
      <c r="B273" s="3">
        <v>0.1474</v>
      </c>
      <c r="C273" s="3">
        <v>-3.3099999999999997E-2</v>
      </c>
      <c r="D273" s="3">
        <v>1.78E-2</v>
      </c>
      <c r="E273" s="3">
        <v>2.7400000000000001E-2</v>
      </c>
      <c r="F273" s="3">
        <v>8.4199999999999997E-2</v>
      </c>
    </row>
    <row r="274" spans="1:6" x14ac:dyDescent="0.2">
      <c r="A274" s="3" t="s">
        <v>267</v>
      </c>
      <c r="B274" s="3">
        <v>0.1651</v>
      </c>
      <c r="C274" s="3">
        <v>1.7999999999999999E-2</v>
      </c>
      <c r="D274" s="3">
        <v>5.8900000000000001E-2</v>
      </c>
      <c r="E274" s="3">
        <v>0.1079</v>
      </c>
      <c r="F274" s="3">
        <v>3.5999999999999997E-2</v>
      </c>
    </row>
    <row r="275" spans="1:6" x14ac:dyDescent="0.2">
      <c r="A275" s="3" t="s">
        <v>268</v>
      </c>
      <c r="B275" s="3">
        <v>0.21659999999999999</v>
      </c>
      <c r="C275" s="3">
        <v>1.61E-2</v>
      </c>
      <c r="D275" s="3">
        <v>6.9800000000000001E-2</v>
      </c>
      <c r="E275" s="3">
        <v>-3.2000000000000002E-3</v>
      </c>
      <c r="F275" s="3">
        <v>5.1900000000000002E-2</v>
      </c>
    </row>
    <row r="276" spans="1:6" x14ac:dyDescent="0.2">
      <c r="A276" s="3" t="s">
        <v>269</v>
      </c>
      <c r="B276" s="3">
        <v>-0.10249999999999999</v>
      </c>
      <c r="C276" s="3">
        <v>-1.3299999999999999E-2</v>
      </c>
      <c r="D276" s="3">
        <v>-3.7400000000000003E-2</v>
      </c>
      <c r="E276" s="3">
        <v>-4.1700000000000001E-2</v>
      </c>
      <c r="F276" s="3">
        <v>-7.4899999999999994E-2</v>
      </c>
    </row>
    <row r="277" spans="1:6" x14ac:dyDescent="0.2">
      <c r="A277" s="3" t="s">
        <v>270</v>
      </c>
      <c r="B277" s="3">
        <v>-0.06</v>
      </c>
      <c r="C277" s="3">
        <v>-8.2299999999999998E-2</v>
      </c>
      <c r="D277" s="3">
        <v>-2.4899999999999999E-2</v>
      </c>
      <c r="E277" s="3">
        <v>-5.1999999999999998E-3</v>
      </c>
      <c r="F277" s="3">
        <v>-0.1075</v>
      </c>
    </row>
    <row r="278" spans="1:6" x14ac:dyDescent="0.2">
      <c r="A278" s="3" t="s">
        <v>271</v>
      </c>
      <c r="B278" s="3">
        <v>9.5500000000000002E-2</v>
      </c>
      <c r="C278" s="3">
        <v>0.12180000000000001</v>
      </c>
      <c r="D278" s="3">
        <v>0.10879999999999999</v>
      </c>
      <c r="E278" s="3">
        <v>-5.4100000000000002E-2</v>
      </c>
      <c r="F278" s="3">
        <v>0.22650000000000001</v>
      </c>
    </row>
    <row r="279" spans="1:6" x14ac:dyDescent="0.2">
      <c r="A279" s="3" t="s">
        <v>272</v>
      </c>
      <c r="B279" s="3">
        <v>0.11459999999999999</v>
      </c>
      <c r="C279" s="3">
        <v>1.9099999999999999E-2</v>
      </c>
      <c r="D279" s="3">
        <v>3.7100000000000001E-2</v>
      </c>
      <c r="E279" s="3">
        <v>7.0099999999999996E-2</v>
      </c>
      <c r="F279" s="3">
        <v>6.59E-2</v>
      </c>
    </row>
    <row r="280" spans="1:6" x14ac:dyDescent="0.2">
      <c r="A280" s="3" t="s">
        <v>273</v>
      </c>
      <c r="B280" s="3">
        <v>-5.4999999999999997E-3</v>
      </c>
      <c r="C280" s="3">
        <v>-5.3800000000000001E-2</v>
      </c>
      <c r="D280" s="3">
        <v>-1.0200000000000001E-2</v>
      </c>
      <c r="E280" s="3">
        <v>-3.2199999999999999E-2</v>
      </c>
      <c r="F280" s="3">
        <v>6.5699999999999995E-2</v>
      </c>
    </row>
    <row r="281" spans="1:6" x14ac:dyDescent="0.2">
      <c r="A281" s="3" t="s">
        <v>274</v>
      </c>
      <c r="B281" s="3">
        <v>-7.9699999999999993E-2</v>
      </c>
      <c r="C281" s="3">
        <v>1.18E-2</v>
      </c>
      <c r="D281" s="3">
        <v>2.7799999999999998E-2</v>
      </c>
      <c r="E281" s="3">
        <v>-6.2600000000000003E-2</v>
      </c>
      <c r="F281" s="3">
        <v>0.17419999999999999</v>
      </c>
    </row>
    <row r="282" spans="1:6" x14ac:dyDescent="0.2">
      <c r="A282" s="3" t="s">
        <v>275</v>
      </c>
      <c r="B282" s="3">
        <v>7.3000000000000001E-3</v>
      </c>
      <c r="C282" s="3">
        <v>0.1205</v>
      </c>
      <c r="D282" s="3">
        <v>4.5400000000000003E-2</v>
      </c>
      <c r="E282" s="3">
        <v>-1.14E-2</v>
      </c>
      <c r="F282" s="3">
        <v>-1.89E-2</v>
      </c>
    </row>
    <row r="283" spans="1:6" x14ac:dyDescent="0.2">
      <c r="A283" s="3" t="s">
        <v>276</v>
      </c>
      <c r="B283" s="3">
        <v>7.6200000000000004E-2</v>
      </c>
      <c r="C283" s="3">
        <v>6.4699999999999994E-2</v>
      </c>
      <c r="D283" s="3">
        <v>5.2900000000000003E-2</v>
      </c>
      <c r="E283" s="3">
        <v>3.56E-2</v>
      </c>
      <c r="F283" s="3">
        <v>6.7599999999999993E-2</v>
      </c>
    </row>
    <row r="284" spans="1:6" x14ac:dyDescent="0.2">
      <c r="A284" s="3" t="s">
        <v>277</v>
      </c>
      <c r="B284" s="3">
        <v>-5.0500000000000003E-2</v>
      </c>
      <c r="C284" s="3">
        <v>2.4500000000000001E-2</v>
      </c>
      <c r="D284" s="3">
        <v>6.6E-3</v>
      </c>
      <c r="E284" s="3">
        <v>7.6799999999999993E-2</v>
      </c>
      <c r="F284" s="3">
        <v>4.9700000000000001E-2</v>
      </c>
    </row>
    <row r="285" spans="1:6" x14ac:dyDescent="0.2">
      <c r="A285" s="3" t="s">
        <v>278</v>
      </c>
      <c r="B285" s="3">
        <v>9.9099999999999994E-2</v>
      </c>
      <c r="C285" s="3">
        <v>1.9800000000000002E-2</v>
      </c>
      <c r="D285" s="3">
        <v>2.2499999999999999E-2</v>
      </c>
      <c r="E285" s="3">
        <v>-7.1499999999999994E-2</v>
      </c>
      <c r="F285" s="3">
        <v>9.8199999999999996E-2</v>
      </c>
    </row>
    <row r="286" spans="1:6" x14ac:dyDescent="0.2">
      <c r="A286" s="3" t="s">
        <v>279</v>
      </c>
      <c r="B286" s="3">
        <v>6.5000000000000002E-2</v>
      </c>
      <c r="C286" s="3">
        <v>-3.8399999999999997E-2</v>
      </c>
      <c r="D286" s="3">
        <v>2.4400000000000002E-2</v>
      </c>
      <c r="E286" s="3">
        <v>2.53E-2</v>
      </c>
      <c r="F286" s="3">
        <v>1.5599999999999999E-2</v>
      </c>
    </row>
    <row r="287" spans="1:6" x14ac:dyDescent="0.2">
      <c r="A287" s="3" t="s">
        <v>280</v>
      </c>
      <c r="B287" s="3">
        <v>4.2500000000000003E-2</v>
      </c>
      <c r="C287" s="3">
        <v>7.1999999999999998E-3</v>
      </c>
      <c r="D287" s="3">
        <v>2.98E-2</v>
      </c>
      <c r="E287" s="3">
        <v>-8.0000000000000004E-4</v>
      </c>
      <c r="F287" s="3">
        <v>-5.1700000000000003E-2</v>
      </c>
    </row>
    <row r="288" spans="1:6" x14ac:dyDescent="0.2">
      <c r="A288" s="3" t="s">
        <v>281</v>
      </c>
      <c r="B288" s="3">
        <v>-6.8000000000000005E-2</v>
      </c>
      <c r="C288" s="3">
        <v>-0.01</v>
      </c>
      <c r="D288" s="3">
        <v>-4.6600000000000003E-2</v>
      </c>
      <c r="E288" s="3">
        <v>-3.2199999999999999E-2</v>
      </c>
      <c r="F288" s="3">
        <v>9.4100000000000003E-2</v>
      </c>
    </row>
    <row r="289" spans="1:6" x14ac:dyDescent="0.2">
      <c r="A289" s="3" t="s">
        <v>282</v>
      </c>
      <c r="B289" s="3">
        <v>5.8700000000000002E-2</v>
      </c>
      <c r="C289" s="3">
        <v>-9.9500000000000005E-2</v>
      </c>
      <c r="D289" s="3">
        <v>7.0199999999999999E-2</v>
      </c>
      <c r="E289" s="3">
        <v>1.4800000000000001E-2</v>
      </c>
      <c r="F289" s="3">
        <v>8.7300000000000003E-2</v>
      </c>
    </row>
    <row r="290" spans="1:6" x14ac:dyDescent="0.2">
      <c r="A290" s="3" t="s">
        <v>283</v>
      </c>
      <c r="B290" s="3">
        <v>0.1051</v>
      </c>
      <c r="C290" s="3">
        <v>-9.7999999999999997E-3</v>
      </c>
      <c r="D290" s="3">
        <v>-8.0000000000000002E-3</v>
      </c>
      <c r="E290" s="3">
        <v>-6.8999999999999999E-3</v>
      </c>
      <c r="F290" s="3">
        <v>-0.16170000000000001</v>
      </c>
    </row>
    <row r="291" spans="1:6" x14ac:dyDescent="0.2">
      <c r="A291" s="3" t="s">
        <v>284</v>
      </c>
      <c r="B291" s="3">
        <v>7.4200000000000002E-2</v>
      </c>
      <c r="C291" s="3">
        <v>0.1414</v>
      </c>
      <c r="D291" s="3">
        <v>4.6300000000000001E-2</v>
      </c>
      <c r="E291" s="3">
        <v>3.3000000000000002E-2</v>
      </c>
      <c r="F291" s="3">
        <v>0.1346</v>
      </c>
    </row>
    <row r="292" spans="1:6" x14ac:dyDescent="0.2">
      <c r="A292" s="3" t="s">
        <v>285</v>
      </c>
      <c r="B292" s="3">
        <v>-1.5699999999999999E-2</v>
      </c>
      <c r="C292" s="3">
        <v>-6.9999999999999999E-4</v>
      </c>
      <c r="D292" s="3">
        <v>-5.2699999999999997E-2</v>
      </c>
      <c r="E292" s="3">
        <v>-1.6799999999999999E-2</v>
      </c>
      <c r="F292" s="3">
        <v>0.14940000000000001</v>
      </c>
    </row>
    <row r="293" spans="1:6" x14ac:dyDescent="0.2">
      <c r="A293" s="3" t="s">
        <v>286</v>
      </c>
      <c r="B293" s="3">
        <v>-5.4100000000000002E-2</v>
      </c>
      <c r="C293" s="3">
        <v>-7.1499999999999994E-2</v>
      </c>
      <c r="D293" s="3">
        <v>-2.9499999999999998E-2</v>
      </c>
      <c r="E293" s="3">
        <v>6.1199999999999997E-2</v>
      </c>
      <c r="F293" s="3">
        <v>0.08</v>
      </c>
    </row>
    <row r="294" spans="1:6" x14ac:dyDescent="0.2">
      <c r="A294" s="3" t="s">
        <v>287</v>
      </c>
      <c r="B294" s="3">
        <v>5.7500000000000002E-2</v>
      </c>
      <c r="C294" s="3">
        <v>6.13E-2</v>
      </c>
      <c r="D294" s="3">
        <v>3.7600000000000001E-2</v>
      </c>
      <c r="E294" s="3">
        <v>1.2699999999999999E-2</v>
      </c>
      <c r="F294" s="3">
        <v>9.8400000000000001E-2</v>
      </c>
    </row>
    <row r="295" spans="1:6" x14ac:dyDescent="0.2">
      <c r="A295" s="3" t="s">
        <v>288</v>
      </c>
      <c r="B295" s="3">
        <v>-9.7100000000000006E-2</v>
      </c>
      <c r="C295" s="3">
        <v>1.6799999999999999E-2</v>
      </c>
      <c r="D295" s="3">
        <v>-8.7800000000000003E-2</v>
      </c>
      <c r="E295" s="3">
        <v>-2.07E-2</v>
      </c>
      <c r="F295" s="3">
        <v>4.1000000000000002E-2</v>
      </c>
    </row>
    <row r="296" spans="1:6" x14ac:dyDescent="0.2">
      <c r="A296" s="3" t="s">
        <v>289</v>
      </c>
      <c r="B296" s="3">
        <v>-5.45E-2</v>
      </c>
      <c r="C296" s="3">
        <v>6.3E-2</v>
      </c>
      <c r="D296" s="3">
        <v>2.3E-3</v>
      </c>
      <c r="E296" s="3">
        <v>-3.2599999999999997E-2</v>
      </c>
      <c r="F296" s="3">
        <v>0.1077</v>
      </c>
    </row>
    <row r="297" spans="1:6" x14ac:dyDescent="0.2">
      <c r="A297" s="3" t="s">
        <v>290</v>
      </c>
      <c r="B297" s="3">
        <v>-8.14E-2</v>
      </c>
      <c r="C297" s="3">
        <v>1.6899999999999998E-2</v>
      </c>
      <c r="D297" s="3">
        <v>-8.2500000000000004E-2</v>
      </c>
      <c r="E297" s="3">
        <v>-1.5699999999999999E-2</v>
      </c>
      <c r="F297" s="3">
        <v>-5.9900000000000002E-2</v>
      </c>
    </row>
  </sheetData>
  <mergeCells count="1">
    <mergeCell ref="L13:M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indexes</vt:lpstr>
      <vt:lpstr>bonds</vt:lpstr>
      <vt:lpstr>stocks</vt:lpstr>
      <vt:lpstr>jwe8kdj3svgyvz0f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Iulian Obreja</cp:lastModifiedBy>
  <dcterms:created xsi:type="dcterms:W3CDTF">2024-10-31T16:00:33Z</dcterms:created>
  <dcterms:modified xsi:type="dcterms:W3CDTF">2025-09-26T20:27:18Z</dcterms:modified>
</cp:coreProperties>
</file>