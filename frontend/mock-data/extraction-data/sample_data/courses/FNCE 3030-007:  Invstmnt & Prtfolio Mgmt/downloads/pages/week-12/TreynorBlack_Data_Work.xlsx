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13_ncr:1_{41760BB9-A376-6647-B504-8AB9673ABED5}" xr6:coauthVersionLast="47" xr6:coauthVersionMax="47" xr10:uidLastSave="{00000000-0000-0000-0000-000000000000}"/>
  <bookViews>
    <workbookView xWindow="780" yWindow="1000" windowWidth="25780" windowHeight="15740" xr2:uid="{D5309341-C4C2-0247-A8A6-5E1BCFC50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3" i="1" l="1"/>
  <c r="N253" i="1"/>
  <c r="M253" i="1"/>
  <c r="L253" i="1"/>
  <c r="K253" i="1"/>
  <c r="J253" i="1"/>
  <c r="I253" i="1"/>
  <c r="O252" i="1"/>
  <c r="N252" i="1"/>
  <c r="M252" i="1"/>
  <c r="L252" i="1"/>
  <c r="K252" i="1"/>
  <c r="J252" i="1"/>
  <c r="I252" i="1"/>
  <c r="O251" i="1"/>
  <c r="N251" i="1"/>
  <c r="M251" i="1"/>
  <c r="L251" i="1"/>
  <c r="K251" i="1"/>
  <c r="J251" i="1"/>
  <c r="I251" i="1"/>
  <c r="O250" i="1"/>
  <c r="N250" i="1"/>
  <c r="M250" i="1"/>
  <c r="L250" i="1"/>
  <c r="K250" i="1"/>
  <c r="J250" i="1"/>
  <c r="I250" i="1"/>
  <c r="O249" i="1"/>
  <c r="N249" i="1"/>
  <c r="M249" i="1"/>
  <c r="L249" i="1"/>
  <c r="K249" i="1"/>
  <c r="J249" i="1"/>
  <c r="I249" i="1"/>
  <c r="O248" i="1"/>
  <c r="N248" i="1"/>
  <c r="M248" i="1"/>
  <c r="L248" i="1"/>
  <c r="K248" i="1"/>
  <c r="J248" i="1"/>
  <c r="I248" i="1"/>
  <c r="O247" i="1"/>
  <c r="N247" i="1"/>
  <c r="M247" i="1"/>
  <c r="L247" i="1"/>
  <c r="K247" i="1"/>
  <c r="J247" i="1"/>
  <c r="I247" i="1"/>
  <c r="O246" i="1"/>
  <c r="N246" i="1"/>
  <c r="M246" i="1"/>
  <c r="L246" i="1"/>
  <c r="K246" i="1"/>
  <c r="J246" i="1"/>
  <c r="I246" i="1"/>
  <c r="O245" i="1"/>
  <c r="N245" i="1"/>
  <c r="M245" i="1"/>
  <c r="L245" i="1"/>
  <c r="K245" i="1"/>
  <c r="J245" i="1"/>
  <c r="I245" i="1"/>
  <c r="O244" i="1"/>
  <c r="N244" i="1"/>
  <c r="M244" i="1"/>
  <c r="L244" i="1"/>
  <c r="K244" i="1"/>
  <c r="J244" i="1"/>
  <c r="I244" i="1"/>
  <c r="O243" i="1"/>
  <c r="N243" i="1"/>
  <c r="M243" i="1"/>
  <c r="L243" i="1"/>
  <c r="K243" i="1"/>
  <c r="J243" i="1"/>
  <c r="I243" i="1"/>
  <c r="O242" i="1"/>
  <c r="N242" i="1"/>
  <c r="M242" i="1"/>
  <c r="L242" i="1"/>
  <c r="K242" i="1"/>
  <c r="J242" i="1"/>
  <c r="I242" i="1"/>
  <c r="O241" i="1"/>
  <c r="N241" i="1"/>
  <c r="M241" i="1"/>
  <c r="L241" i="1"/>
  <c r="K241" i="1"/>
  <c r="J241" i="1"/>
  <c r="I241" i="1"/>
  <c r="O240" i="1"/>
  <c r="N240" i="1"/>
  <c r="M240" i="1"/>
  <c r="L240" i="1"/>
  <c r="K240" i="1"/>
  <c r="J240" i="1"/>
  <c r="I240" i="1"/>
  <c r="O239" i="1"/>
  <c r="N239" i="1"/>
  <c r="M239" i="1"/>
  <c r="L239" i="1"/>
  <c r="K239" i="1"/>
  <c r="J239" i="1"/>
  <c r="I239" i="1"/>
  <c r="O238" i="1"/>
  <c r="N238" i="1"/>
  <c r="M238" i="1"/>
  <c r="L238" i="1"/>
  <c r="K238" i="1"/>
  <c r="J238" i="1"/>
  <c r="I238" i="1"/>
  <c r="O237" i="1"/>
  <c r="N237" i="1"/>
  <c r="M237" i="1"/>
  <c r="L237" i="1"/>
  <c r="K237" i="1"/>
  <c r="J237" i="1"/>
  <c r="I237" i="1"/>
  <c r="O236" i="1"/>
  <c r="N236" i="1"/>
  <c r="M236" i="1"/>
  <c r="L236" i="1"/>
  <c r="K236" i="1"/>
  <c r="J236" i="1"/>
  <c r="I236" i="1"/>
  <c r="O235" i="1"/>
  <c r="N235" i="1"/>
  <c r="M235" i="1"/>
  <c r="L235" i="1"/>
  <c r="K235" i="1"/>
  <c r="J235" i="1"/>
  <c r="I235" i="1"/>
  <c r="O234" i="1"/>
  <c r="N234" i="1"/>
  <c r="M234" i="1"/>
  <c r="L234" i="1"/>
  <c r="K234" i="1"/>
  <c r="J234" i="1"/>
  <c r="I234" i="1"/>
  <c r="O233" i="1"/>
  <c r="N233" i="1"/>
  <c r="M233" i="1"/>
  <c r="L233" i="1"/>
  <c r="K233" i="1"/>
  <c r="J233" i="1"/>
  <c r="I233" i="1"/>
  <c r="O232" i="1"/>
  <c r="N232" i="1"/>
  <c r="M232" i="1"/>
  <c r="L232" i="1"/>
  <c r="K232" i="1"/>
  <c r="J232" i="1"/>
  <c r="I232" i="1"/>
  <c r="O231" i="1"/>
  <c r="N231" i="1"/>
  <c r="M231" i="1"/>
  <c r="L231" i="1"/>
  <c r="K231" i="1"/>
  <c r="J231" i="1"/>
  <c r="I231" i="1"/>
  <c r="O230" i="1"/>
  <c r="N230" i="1"/>
  <c r="M230" i="1"/>
  <c r="L230" i="1"/>
  <c r="K230" i="1"/>
  <c r="J230" i="1"/>
  <c r="I230" i="1"/>
  <c r="O229" i="1"/>
  <c r="N229" i="1"/>
  <c r="M229" i="1"/>
  <c r="L229" i="1"/>
  <c r="K229" i="1"/>
  <c r="J229" i="1"/>
  <c r="I229" i="1"/>
  <c r="O228" i="1"/>
  <c r="N228" i="1"/>
  <c r="M228" i="1"/>
  <c r="L228" i="1"/>
  <c r="K228" i="1"/>
  <c r="J228" i="1"/>
  <c r="I228" i="1"/>
  <c r="O227" i="1"/>
  <c r="N227" i="1"/>
  <c r="M227" i="1"/>
  <c r="L227" i="1"/>
  <c r="K227" i="1"/>
  <c r="J227" i="1"/>
  <c r="I227" i="1"/>
  <c r="O226" i="1"/>
  <c r="N226" i="1"/>
  <c r="M226" i="1"/>
  <c r="L226" i="1"/>
  <c r="K226" i="1"/>
  <c r="J226" i="1"/>
  <c r="I226" i="1"/>
  <c r="O225" i="1"/>
  <c r="N225" i="1"/>
  <c r="M225" i="1"/>
  <c r="L225" i="1"/>
  <c r="K225" i="1"/>
  <c r="J225" i="1"/>
  <c r="I225" i="1"/>
  <c r="O224" i="1"/>
  <c r="N224" i="1"/>
  <c r="M224" i="1"/>
  <c r="L224" i="1"/>
  <c r="K224" i="1"/>
  <c r="J224" i="1"/>
  <c r="I224" i="1"/>
  <c r="O223" i="1"/>
  <c r="N223" i="1"/>
  <c r="M223" i="1"/>
  <c r="L223" i="1"/>
  <c r="K223" i="1"/>
  <c r="J223" i="1"/>
  <c r="I223" i="1"/>
  <c r="O222" i="1"/>
  <c r="N222" i="1"/>
  <c r="M222" i="1"/>
  <c r="L222" i="1"/>
  <c r="K222" i="1"/>
  <c r="J222" i="1"/>
  <c r="I222" i="1"/>
  <c r="O221" i="1"/>
  <c r="N221" i="1"/>
  <c r="M221" i="1"/>
  <c r="L221" i="1"/>
  <c r="K221" i="1"/>
  <c r="J221" i="1"/>
  <c r="I221" i="1"/>
  <c r="O220" i="1"/>
  <c r="N220" i="1"/>
  <c r="M220" i="1"/>
  <c r="L220" i="1"/>
  <c r="K220" i="1"/>
  <c r="J220" i="1"/>
  <c r="I220" i="1"/>
  <c r="O219" i="1"/>
  <c r="N219" i="1"/>
  <c r="M219" i="1"/>
  <c r="L219" i="1"/>
  <c r="K219" i="1"/>
  <c r="J219" i="1"/>
  <c r="I219" i="1"/>
  <c r="O218" i="1"/>
  <c r="N218" i="1"/>
  <c r="M218" i="1"/>
  <c r="L218" i="1"/>
  <c r="K218" i="1"/>
  <c r="J218" i="1"/>
  <c r="I218" i="1"/>
  <c r="O217" i="1"/>
  <c r="N217" i="1"/>
  <c r="M217" i="1"/>
  <c r="L217" i="1"/>
  <c r="K217" i="1"/>
  <c r="J217" i="1"/>
  <c r="I217" i="1"/>
  <c r="O216" i="1"/>
  <c r="N216" i="1"/>
  <c r="M216" i="1"/>
  <c r="L216" i="1"/>
  <c r="K216" i="1"/>
  <c r="J216" i="1"/>
  <c r="I216" i="1"/>
  <c r="O215" i="1"/>
  <c r="N215" i="1"/>
  <c r="M215" i="1"/>
  <c r="L215" i="1"/>
  <c r="K215" i="1"/>
  <c r="J215" i="1"/>
  <c r="I215" i="1"/>
  <c r="O214" i="1"/>
  <c r="N214" i="1"/>
  <c r="M214" i="1"/>
  <c r="L214" i="1"/>
  <c r="K214" i="1"/>
  <c r="J214" i="1"/>
  <c r="I214" i="1"/>
  <c r="O213" i="1"/>
  <c r="N213" i="1"/>
  <c r="M213" i="1"/>
  <c r="L213" i="1"/>
  <c r="K213" i="1"/>
  <c r="J213" i="1"/>
  <c r="I213" i="1"/>
  <c r="O212" i="1"/>
  <c r="N212" i="1"/>
  <c r="M212" i="1"/>
  <c r="L212" i="1"/>
  <c r="K212" i="1"/>
  <c r="J212" i="1"/>
  <c r="I212" i="1"/>
  <c r="O211" i="1"/>
  <c r="N211" i="1"/>
  <c r="M211" i="1"/>
  <c r="L211" i="1"/>
  <c r="K211" i="1"/>
  <c r="J211" i="1"/>
  <c r="I211" i="1"/>
  <c r="O210" i="1"/>
  <c r="N210" i="1"/>
  <c r="M210" i="1"/>
  <c r="L210" i="1"/>
  <c r="K210" i="1"/>
  <c r="J210" i="1"/>
  <c r="I210" i="1"/>
  <c r="O209" i="1"/>
  <c r="N209" i="1"/>
  <c r="M209" i="1"/>
  <c r="L209" i="1"/>
  <c r="K209" i="1"/>
  <c r="J209" i="1"/>
  <c r="I209" i="1"/>
  <c r="O208" i="1"/>
  <c r="N208" i="1"/>
  <c r="M208" i="1"/>
  <c r="L208" i="1"/>
  <c r="K208" i="1"/>
  <c r="J208" i="1"/>
  <c r="I208" i="1"/>
  <c r="O207" i="1"/>
  <c r="N207" i="1"/>
  <c r="M207" i="1"/>
  <c r="L207" i="1"/>
  <c r="K207" i="1"/>
  <c r="J207" i="1"/>
  <c r="I207" i="1"/>
  <c r="O206" i="1"/>
  <c r="N206" i="1"/>
  <c r="M206" i="1"/>
  <c r="L206" i="1"/>
  <c r="K206" i="1"/>
  <c r="J206" i="1"/>
  <c r="I206" i="1"/>
  <c r="O205" i="1"/>
  <c r="N205" i="1"/>
  <c r="M205" i="1"/>
  <c r="L205" i="1"/>
  <c r="K205" i="1"/>
  <c r="J205" i="1"/>
  <c r="I205" i="1"/>
  <c r="O204" i="1"/>
  <c r="N204" i="1"/>
  <c r="M204" i="1"/>
  <c r="L204" i="1"/>
  <c r="K204" i="1"/>
  <c r="J204" i="1"/>
  <c r="I204" i="1"/>
  <c r="O203" i="1"/>
  <c r="N203" i="1"/>
  <c r="M203" i="1"/>
  <c r="L203" i="1"/>
  <c r="K203" i="1"/>
  <c r="J203" i="1"/>
  <c r="I203" i="1"/>
  <c r="O202" i="1"/>
  <c r="N202" i="1"/>
  <c r="M202" i="1"/>
  <c r="L202" i="1"/>
  <c r="K202" i="1"/>
  <c r="J202" i="1"/>
  <c r="I202" i="1"/>
  <c r="O201" i="1"/>
  <c r="N201" i="1"/>
  <c r="M201" i="1"/>
  <c r="L201" i="1"/>
  <c r="K201" i="1"/>
  <c r="J201" i="1"/>
  <c r="I201" i="1"/>
  <c r="O200" i="1"/>
  <c r="N200" i="1"/>
  <c r="M200" i="1"/>
  <c r="L200" i="1"/>
  <c r="K200" i="1"/>
  <c r="J200" i="1"/>
  <c r="I200" i="1"/>
  <c r="O199" i="1"/>
  <c r="N199" i="1"/>
  <c r="M199" i="1"/>
  <c r="L199" i="1"/>
  <c r="K199" i="1"/>
  <c r="J199" i="1"/>
  <c r="I199" i="1"/>
  <c r="O198" i="1"/>
  <c r="N198" i="1"/>
  <c r="M198" i="1"/>
  <c r="L198" i="1"/>
  <c r="K198" i="1"/>
  <c r="J198" i="1"/>
  <c r="I198" i="1"/>
  <c r="O197" i="1"/>
  <c r="N197" i="1"/>
  <c r="M197" i="1"/>
  <c r="L197" i="1"/>
  <c r="K197" i="1"/>
  <c r="J197" i="1"/>
  <c r="I197" i="1"/>
  <c r="O196" i="1"/>
  <c r="N196" i="1"/>
  <c r="M196" i="1"/>
  <c r="L196" i="1"/>
  <c r="K196" i="1"/>
  <c r="J196" i="1"/>
  <c r="I196" i="1"/>
  <c r="O195" i="1"/>
  <c r="N195" i="1"/>
  <c r="M195" i="1"/>
  <c r="L195" i="1"/>
  <c r="K195" i="1"/>
  <c r="J195" i="1"/>
  <c r="I195" i="1"/>
  <c r="O194" i="1"/>
  <c r="N194" i="1"/>
  <c r="M194" i="1"/>
  <c r="L194" i="1"/>
  <c r="K194" i="1"/>
  <c r="J194" i="1"/>
  <c r="I194" i="1"/>
  <c r="O193" i="1"/>
  <c r="N193" i="1"/>
  <c r="M193" i="1"/>
  <c r="L193" i="1"/>
  <c r="K193" i="1"/>
  <c r="J193" i="1"/>
  <c r="I193" i="1"/>
  <c r="O192" i="1"/>
  <c r="N192" i="1"/>
  <c r="M192" i="1"/>
  <c r="L192" i="1"/>
  <c r="K192" i="1"/>
  <c r="J192" i="1"/>
  <c r="I192" i="1"/>
  <c r="O191" i="1"/>
  <c r="N191" i="1"/>
  <c r="M191" i="1"/>
  <c r="L191" i="1"/>
  <c r="K191" i="1"/>
  <c r="J191" i="1"/>
  <c r="I191" i="1"/>
  <c r="O190" i="1"/>
  <c r="N190" i="1"/>
  <c r="M190" i="1"/>
  <c r="L190" i="1"/>
  <c r="K190" i="1"/>
  <c r="J190" i="1"/>
  <c r="I190" i="1"/>
  <c r="O189" i="1"/>
  <c r="N189" i="1"/>
  <c r="M189" i="1"/>
  <c r="L189" i="1"/>
  <c r="K189" i="1"/>
  <c r="J189" i="1"/>
  <c r="I189" i="1"/>
  <c r="O188" i="1"/>
  <c r="N188" i="1"/>
  <c r="M188" i="1"/>
  <c r="L188" i="1"/>
  <c r="K188" i="1"/>
  <c r="J188" i="1"/>
  <c r="I188" i="1"/>
  <c r="O187" i="1"/>
  <c r="N187" i="1"/>
  <c r="M187" i="1"/>
  <c r="L187" i="1"/>
  <c r="K187" i="1"/>
  <c r="J187" i="1"/>
  <c r="I187" i="1"/>
  <c r="O186" i="1"/>
  <c r="N186" i="1"/>
  <c r="M186" i="1"/>
  <c r="L186" i="1"/>
  <c r="K186" i="1"/>
  <c r="J186" i="1"/>
  <c r="I186" i="1"/>
  <c r="O185" i="1"/>
  <c r="N185" i="1"/>
  <c r="M185" i="1"/>
  <c r="L185" i="1"/>
  <c r="K185" i="1"/>
  <c r="J185" i="1"/>
  <c r="I185" i="1"/>
  <c r="O184" i="1"/>
  <c r="N184" i="1"/>
  <c r="M184" i="1"/>
  <c r="L184" i="1"/>
  <c r="K184" i="1"/>
  <c r="J184" i="1"/>
  <c r="I184" i="1"/>
  <c r="O183" i="1"/>
  <c r="N183" i="1"/>
  <c r="M183" i="1"/>
  <c r="L183" i="1"/>
  <c r="K183" i="1"/>
  <c r="J183" i="1"/>
  <c r="I183" i="1"/>
  <c r="O182" i="1"/>
  <c r="N182" i="1"/>
  <c r="M182" i="1"/>
  <c r="L182" i="1"/>
  <c r="K182" i="1"/>
  <c r="J182" i="1"/>
  <c r="I182" i="1"/>
  <c r="O181" i="1"/>
  <c r="N181" i="1"/>
  <c r="M181" i="1"/>
  <c r="L181" i="1"/>
  <c r="K181" i="1"/>
  <c r="J181" i="1"/>
  <c r="I181" i="1"/>
  <c r="O180" i="1"/>
  <c r="N180" i="1"/>
  <c r="M180" i="1"/>
  <c r="L180" i="1"/>
  <c r="K180" i="1"/>
  <c r="J180" i="1"/>
  <c r="I180" i="1"/>
  <c r="O179" i="1"/>
  <c r="N179" i="1"/>
  <c r="M179" i="1"/>
  <c r="L179" i="1"/>
  <c r="K179" i="1"/>
  <c r="J179" i="1"/>
  <c r="I179" i="1"/>
  <c r="O178" i="1"/>
  <c r="N178" i="1"/>
  <c r="M178" i="1"/>
  <c r="L178" i="1"/>
  <c r="K178" i="1"/>
  <c r="J178" i="1"/>
  <c r="I178" i="1"/>
  <c r="O177" i="1"/>
  <c r="N177" i="1"/>
  <c r="M177" i="1"/>
  <c r="L177" i="1"/>
  <c r="K177" i="1"/>
  <c r="J177" i="1"/>
  <c r="I177" i="1"/>
  <c r="O176" i="1"/>
  <c r="N176" i="1"/>
  <c r="M176" i="1"/>
  <c r="L176" i="1"/>
  <c r="K176" i="1"/>
  <c r="J176" i="1"/>
  <c r="I176" i="1"/>
  <c r="O175" i="1"/>
  <c r="N175" i="1"/>
  <c r="M175" i="1"/>
  <c r="L175" i="1"/>
  <c r="K175" i="1"/>
  <c r="J175" i="1"/>
  <c r="I175" i="1"/>
  <c r="O174" i="1"/>
  <c r="N174" i="1"/>
  <c r="M174" i="1"/>
  <c r="L174" i="1"/>
  <c r="K174" i="1"/>
  <c r="J174" i="1"/>
  <c r="I174" i="1"/>
  <c r="O173" i="1"/>
  <c r="N173" i="1"/>
  <c r="M173" i="1"/>
  <c r="L173" i="1"/>
  <c r="K173" i="1"/>
  <c r="J173" i="1"/>
  <c r="I173" i="1"/>
  <c r="O172" i="1"/>
  <c r="N172" i="1"/>
  <c r="M172" i="1"/>
  <c r="L172" i="1"/>
  <c r="K172" i="1"/>
  <c r="J172" i="1"/>
  <c r="I172" i="1"/>
  <c r="O171" i="1"/>
  <c r="N171" i="1"/>
  <c r="M171" i="1"/>
  <c r="L171" i="1"/>
  <c r="K171" i="1"/>
  <c r="J171" i="1"/>
  <c r="I171" i="1"/>
  <c r="O170" i="1"/>
  <c r="N170" i="1"/>
  <c r="M170" i="1"/>
  <c r="L170" i="1"/>
  <c r="K170" i="1"/>
  <c r="J170" i="1"/>
  <c r="I170" i="1"/>
  <c r="O169" i="1"/>
  <c r="N169" i="1"/>
  <c r="M169" i="1"/>
  <c r="L169" i="1"/>
  <c r="K169" i="1"/>
  <c r="J169" i="1"/>
  <c r="I169" i="1"/>
  <c r="O168" i="1"/>
  <c r="N168" i="1"/>
  <c r="M168" i="1"/>
  <c r="L168" i="1"/>
  <c r="K168" i="1"/>
  <c r="J168" i="1"/>
  <c r="I168" i="1"/>
  <c r="O167" i="1"/>
  <c r="N167" i="1"/>
  <c r="M167" i="1"/>
  <c r="L167" i="1"/>
  <c r="K167" i="1"/>
  <c r="J167" i="1"/>
  <c r="I167" i="1"/>
  <c r="O166" i="1"/>
  <c r="N166" i="1"/>
  <c r="M166" i="1"/>
  <c r="L166" i="1"/>
  <c r="K166" i="1"/>
  <c r="J166" i="1"/>
  <c r="I166" i="1"/>
  <c r="O165" i="1"/>
  <c r="N165" i="1"/>
  <c r="M165" i="1"/>
  <c r="L165" i="1"/>
  <c r="K165" i="1"/>
  <c r="J165" i="1"/>
  <c r="I165" i="1"/>
  <c r="O164" i="1"/>
  <c r="N164" i="1"/>
  <c r="M164" i="1"/>
  <c r="L164" i="1"/>
  <c r="K164" i="1"/>
  <c r="J164" i="1"/>
  <c r="I164" i="1"/>
  <c r="O163" i="1"/>
  <c r="N163" i="1"/>
  <c r="M163" i="1"/>
  <c r="L163" i="1"/>
  <c r="K163" i="1"/>
  <c r="J163" i="1"/>
  <c r="I163" i="1"/>
  <c r="O162" i="1"/>
  <c r="N162" i="1"/>
  <c r="M162" i="1"/>
  <c r="L162" i="1"/>
  <c r="K162" i="1"/>
  <c r="J162" i="1"/>
  <c r="I162" i="1"/>
  <c r="O161" i="1"/>
  <c r="N161" i="1"/>
  <c r="M161" i="1"/>
  <c r="L161" i="1"/>
  <c r="K161" i="1"/>
  <c r="J161" i="1"/>
  <c r="I161" i="1"/>
  <c r="O160" i="1"/>
  <c r="N160" i="1"/>
  <c r="M160" i="1"/>
  <c r="L160" i="1"/>
  <c r="K160" i="1"/>
  <c r="J160" i="1"/>
  <c r="I160" i="1"/>
  <c r="O159" i="1"/>
  <c r="N159" i="1"/>
  <c r="M159" i="1"/>
  <c r="L159" i="1"/>
  <c r="K159" i="1"/>
  <c r="J159" i="1"/>
  <c r="I159" i="1"/>
  <c r="O158" i="1"/>
  <c r="N158" i="1"/>
  <c r="M158" i="1"/>
  <c r="L158" i="1"/>
  <c r="K158" i="1"/>
  <c r="J158" i="1"/>
  <c r="I158" i="1"/>
  <c r="O157" i="1"/>
  <c r="N157" i="1"/>
  <c r="M157" i="1"/>
  <c r="L157" i="1"/>
  <c r="K157" i="1"/>
  <c r="J157" i="1"/>
  <c r="I157" i="1"/>
  <c r="O156" i="1"/>
  <c r="N156" i="1"/>
  <c r="M156" i="1"/>
  <c r="L156" i="1"/>
  <c r="K156" i="1"/>
  <c r="J156" i="1"/>
  <c r="I156" i="1"/>
  <c r="O155" i="1"/>
  <c r="N155" i="1"/>
  <c r="M155" i="1"/>
  <c r="L155" i="1"/>
  <c r="K155" i="1"/>
  <c r="J155" i="1"/>
  <c r="I155" i="1"/>
  <c r="O154" i="1"/>
  <c r="N154" i="1"/>
  <c r="M154" i="1"/>
  <c r="L154" i="1"/>
  <c r="K154" i="1"/>
  <c r="J154" i="1"/>
  <c r="I154" i="1"/>
  <c r="O153" i="1"/>
  <c r="N153" i="1"/>
  <c r="M153" i="1"/>
  <c r="L153" i="1"/>
  <c r="K153" i="1"/>
  <c r="J153" i="1"/>
  <c r="I153" i="1"/>
  <c r="O152" i="1"/>
  <c r="N152" i="1"/>
  <c r="M152" i="1"/>
  <c r="L152" i="1"/>
  <c r="K152" i="1"/>
  <c r="J152" i="1"/>
  <c r="I152" i="1"/>
  <c r="O151" i="1"/>
  <c r="N151" i="1"/>
  <c r="M151" i="1"/>
  <c r="L151" i="1"/>
  <c r="K151" i="1"/>
  <c r="J151" i="1"/>
  <c r="I151" i="1"/>
  <c r="O150" i="1"/>
  <c r="N150" i="1"/>
  <c r="M150" i="1"/>
  <c r="L150" i="1"/>
  <c r="K150" i="1"/>
  <c r="J150" i="1"/>
  <c r="I150" i="1"/>
  <c r="O149" i="1"/>
  <c r="N149" i="1"/>
  <c r="M149" i="1"/>
  <c r="L149" i="1"/>
  <c r="K149" i="1"/>
  <c r="J149" i="1"/>
  <c r="I149" i="1"/>
  <c r="O148" i="1"/>
  <c r="N148" i="1"/>
  <c r="M148" i="1"/>
  <c r="L148" i="1"/>
  <c r="K148" i="1"/>
  <c r="J148" i="1"/>
  <c r="I148" i="1"/>
  <c r="O147" i="1"/>
  <c r="N147" i="1"/>
  <c r="M147" i="1"/>
  <c r="L147" i="1"/>
  <c r="K147" i="1"/>
  <c r="J147" i="1"/>
  <c r="I147" i="1"/>
  <c r="O146" i="1"/>
  <c r="N146" i="1"/>
  <c r="M146" i="1"/>
  <c r="L146" i="1"/>
  <c r="K146" i="1"/>
  <c r="J146" i="1"/>
  <c r="I146" i="1"/>
  <c r="O145" i="1"/>
  <c r="N145" i="1"/>
  <c r="M145" i="1"/>
  <c r="L145" i="1"/>
  <c r="K145" i="1"/>
  <c r="J145" i="1"/>
  <c r="I145" i="1"/>
  <c r="O144" i="1"/>
  <c r="N144" i="1"/>
  <c r="M144" i="1"/>
  <c r="L144" i="1"/>
  <c r="K144" i="1"/>
  <c r="J144" i="1"/>
  <c r="I144" i="1"/>
  <c r="O143" i="1"/>
  <c r="N143" i="1"/>
  <c r="M143" i="1"/>
  <c r="L143" i="1"/>
  <c r="K143" i="1"/>
  <c r="J143" i="1"/>
  <c r="I143" i="1"/>
  <c r="O142" i="1"/>
  <c r="N142" i="1"/>
  <c r="M142" i="1"/>
  <c r="L142" i="1"/>
  <c r="K142" i="1"/>
  <c r="J142" i="1"/>
  <c r="I142" i="1"/>
  <c r="O141" i="1"/>
  <c r="N141" i="1"/>
  <c r="M141" i="1"/>
  <c r="L141" i="1"/>
  <c r="K141" i="1"/>
  <c r="J141" i="1"/>
  <c r="I141" i="1"/>
  <c r="O140" i="1"/>
  <c r="N140" i="1"/>
  <c r="M140" i="1"/>
  <c r="L140" i="1"/>
  <c r="K140" i="1"/>
  <c r="J140" i="1"/>
  <c r="I140" i="1"/>
  <c r="O139" i="1"/>
  <c r="N139" i="1"/>
  <c r="M139" i="1"/>
  <c r="L139" i="1"/>
  <c r="K139" i="1"/>
  <c r="J139" i="1"/>
  <c r="I139" i="1"/>
  <c r="O138" i="1"/>
  <c r="N138" i="1"/>
  <c r="M138" i="1"/>
  <c r="L138" i="1"/>
  <c r="K138" i="1"/>
  <c r="J138" i="1"/>
  <c r="I138" i="1"/>
  <c r="O137" i="1"/>
  <c r="N137" i="1"/>
  <c r="M137" i="1"/>
  <c r="L137" i="1"/>
  <c r="K137" i="1"/>
  <c r="J137" i="1"/>
  <c r="I137" i="1"/>
  <c r="O136" i="1"/>
  <c r="N136" i="1"/>
  <c r="M136" i="1"/>
  <c r="L136" i="1"/>
  <c r="K136" i="1"/>
  <c r="J136" i="1"/>
  <c r="I136" i="1"/>
  <c r="O135" i="1"/>
  <c r="N135" i="1"/>
  <c r="M135" i="1"/>
  <c r="L135" i="1"/>
  <c r="K135" i="1"/>
  <c r="J135" i="1"/>
  <c r="I135" i="1"/>
  <c r="O134" i="1"/>
  <c r="N134" i="1"/>
  <c r="M134" i="1"/>
  <c r="L134" i="1"/>
  <c r="K134" i="1"/>
  <c r="J134" i="1"/>
  <c r="I134" i="1"/>
  <c r="O133" i="1"/>
  <c r="N133" i="1"/>
  <c r="M133" i="1"/>
  <c r="L133" i="1"/>
  <c r="K133" i="1"/>
  <c r="J133" i="1"/>
  <c r="I133" i="1"/>
  <c r="O132" i="1"/>
  <c r="N132" i="1"/>
  <c r="M132" i="1"/>
  <c r="L132" i="1"/>
  <c r="K132" i="1"/>
  <c r="J132" i="1"/>
  <c r="I132" i="1"/>
  <c r="O131" i="1"/>
  <c r="N131" i="1"/>
  <c r="M131" i="1"/>
  <c r="L131" i="1"/>
  <c r="K131" i="1"/>
  <c r="J131" i="1"/>
  <c r="I131" i="1"/>
  <c r="O130" i="1"/>
  <c r="N130" i="1"/>
  <c r="M130" i="1"/>
  <c r="L130" i="1"/>
  <c r="K130" i="1"/>
  <c r="J130" i="1"/>
  <c r="I130" i="1"/>
  <c r="O129" i="1"/>
  <c r="N129" i="1"/>
  <c r="M129" i="1"/>
  <c r="L129" i="1"/>
  <c r="K129" i="1"/>
  <c r="J129" i="1"/>
  <c r="I129" i="1"/>
  <c r="O128" i="1"/>
  <c r="N128" i="1"/>
  <c r="M128" i="1"/>
  <c r="L128" i="1"/>
  <c r="K128" i="1"/>
  <c r="J128" i="1"/>
  <c r="I128" i="1"/>
  <c r="O127" i="1"/>
  <c r="N127" i="1"/>
  <c r="M127" i="1"/>
  <c r="L127" i="1"/>
  <c r="K127" i="1"/>
  <c r="J127" i="1"/>
  <c r="I127" i="1"/>
  <c r="O126" i="1"/>
  <c r="N126" i="1"/>
  <c r="M126" i="1"/>
  <c r="L126" i="1"/>
  <c r="K126" i="1"/>
  <c r="J126" i="1"/>
  <c r="I126" i="1"/>
  <c r="O125" i="1"/>
  <c r="N125" i="1"/>
  <c r="M125" i="1"/>
  <c r="L125" i="1"/>
  <c r="K125" i="1"/>
  <c r="J125" i="1"/>
  <c r="I125" i="1"/>
  <c r="O124" i="1"/>
  <c r="N124" i="1"/>
  <c r="M124" i="1"/>
  <c r="L124" i="1"/>
  <c r="K124" i="1"/>
  <c r="J124" i="1"/>
  <c r="I124" i="1"/>
  <c r="O123" i="1"/>
  <c r="N123" i="1"/>
  <c r="M123" i="1"/>
  <c r="L123" i="1"/>
  <c r="K123" i="1"/>
  <c r="J123" i="1"/>
  <c r="I123" i="1"/>
  <c r="O122" i="1"/>
  <c r="N122" i="1"/>
  <c r="M122" i="1"/>
  <c r="L122" i="1"/>
  <c r="K122" i="1"/>
  <c r="J122" i="1"/>
  <c r="I122" i="1"/>
  <c r="O121" i="1"/>
  <c r="N121" i="1"/>
  <c r="M121" i="1"/>
  <c r="L121" i="1"/>
  <c r="K121" i="1"/>
  <c r="J121" i="1"/>
  <c r="I121" i="1"/>
  <c r="O120" i="1"/>
  <c r="N120" i="1"/>
  <c r="M120" i="1"/>
  <c r="L120" i="1"/>
  <c r="K120" i="1"/>
  <c r="J120" i="1"/>
  <c r="I120" i="1"/>
  <c r="O119" i="1"/>
  <c r="N119" i="1"/>
  <c r="M119" i="1"/>
  <c r="L119" i="1"/>
  <c r="K119" i="1"/>
  <c r="J119" i="1"/>
  <c r="I119" i="1"/>
  <c r="O118" i="1"/>
  <c r="N118" i="1"/>
  <c r="M118" i="1"/>
  <c r="L118" i="1"/>
  <c r="K118" i="1"/>
  <c r="J118" i="1"/>
  <c r="I118" i="1"/>
  <c r="O117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O115" i="1"/>
  <c r="N115" i="1"/>
  <c r="M115" i="1"/>
  <c r="L115" i="1"/>
  <c r="K115" i="1"/>
  <c r="J115" i="1"/>
  <c r="I115" i="1"/>
  <c r="O114" i="1"/>
  <c r="N114" i="1"/>
  <c r="M114" i="1"/>
  <c r="L114" i="1"/>
  <c r="K114" i="1"/>
  <c r="J114" i="1"/>
  <c r="I114" i="1"/>
  <c r="O113" i="1"/>
  <c r="N113" i="1"/>
  <c r="M113" i="1"/>
  <c r="L113" i="1"/>
  <c r="K113" i="1"/>
  <c r="J113" i="1"/>
  <c r="I113" i="1"/>
  <c r="O112" i="1"/>
  <c r="N112" i="1"/>
  <c r="M112" i="1"/>
  <c r="L112" i="1"/>
  <c r="K112" i="1"/>
  <c r="J112" i="1"/>
  <c r="I112" i="1"/>
  <c r="O111" i="1"/>
  <c r="N111" i="1"/>
  <c r="M111" i="1"/>
  <c r="L111" i="1"/>
  <c r="K111" i="1"/>
  <c r="J111" i="1"/>
  <c r="I111" i="1"/>
  <c r="O110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O108" i="1"/>
  <c r="N108" i="1"/>
  <c r="M108" i="1"/>
  <c r="L108" i="1"/>
  <c r="K108" i="1"/>
  <c r="J108" i="1"/>
  <c r="I108" i="1"/>
  <c r="O107" i="1"/>
  <c r="N107" i="1"/>
  <c r="M107" i="1"/>
  <c r="L107" i="1"/>
  <c r="K107" i="1"/>
  <c r="J107" i="1"/>
  <c r="I107" i="1"/>
  <c r="O106" i="1"/>
  <c r="N106" i="1"/>
  <c r="M106" i="1"/>
  <c r="L106" i="1"/>
  <c r="K106" i="1"/>
  <c r="J106" i="1"/>
  <c r="I106" i="1"/>
  <c r="O105" i="1"/>
  <c r="N105" i="1"/>
  <c r="M105" i="1"/>
  <c r="L105" i="1"/>
  <c r="K105" i="1"/>
  <c r="J105" i="1"/>
  <c r="I105" i="1"/>
  <c r="O104" i="1"/>
  <c r="N104" i="1"/>
  <c r="M104" i="1"/>
  <c r="L104" i="1"/>
  <c r="K104" i="1"/>
  <c r="J104" i="1"/>
  <c r="I104" i="1"/>
  <c r="O103" i="1"/>
  <c r="N103" i="1"/>
  <c r="M103" i="1"/>
  <c r="L103" i="1"/>
  <c r="K103" i="1"/>
  <c r="J103" i="1"/>
  <c r="I103" i="1"/>
  <c r="O102" i="1"/>
  <c r="N102" i="1"/>
  <c r="M102" i="1"/>
  <c r="L102" i="1"/>
  <c r="K102" i="1"/>
  <c r="J102" i="1"/>
  <c r="I102" i="1"/>
  <c r="O101" i="1"/>
  <c r="N101" i="1"/>
  <c r="M101" i="1"/>
  <c r="L101" i="1"/>
  <c r="K101" i="1"/>
  <c r="J101" i="1"/>
  <c r="I101" i="1"/>
  <c r="O100" i="1"/>
  <c r="N100" i="1"/>
  <c r="M100" i="1"/>
  <c r="L100" i="1"/>
  <c r="K100" i="1"/>
  <c r="J100" i="1"/>
  <c r="I100" i="1"/>
  <c r="O99" i="1"/>
  <c r="N99" i="1"/>
  <c r="M99" i="1"/>
  <c r="L99" i="1"/>
  <c r="K99" i="1"/>
  <c r="J99" i="1"/>
  <c r="I99" i="1"/>
  <c r="O98" i="1"/>
  <c r="N98" i="1"/>
  <c r="M98" i="1"/>
  <c r="L98" i="1"/>
  <c r="K98" i="1"/>
  <c r="J98" i="1"/>
  <c r="I98" i="1"/>
  <c r="O97" i="1"/>
  <c r="N97" i="1"/>
  <c r="M97" i="1"/>
  <c r="L97" i="1"/>
  <c r="K97" i="1"/>
  <c r="J97" i="1"/>
  <c r="I97" i="1"/>
  <c r="O96" i="1"/>
  <c r="N96" i="1"/>
  <c r="M96" i="1"/>
  <c r="L96" i="1"/>
  <c r="K96" i="1"/>
  <c r="J96" i="1"/>
  <c r="I96" i="1"/>
  <c r="O95" i="1"/>
  <c r="N95" i="1"/>
  <c r="M95" i="1"/>
  <c r="L95" i="1"/>
  <c r="K95" i="1"/>
  <c r="J95" i="1"/>
  <c r="I95" i="1"/>
  <c r="O94" i="1"/>
  <c r="N94" i="1"/>
  <c r="M94" i="1"/>
  <c r="L94" i="1"/>
  <c r="K94" i="1"/>
  <c r="J94" i="1"/>
  <c r="I94" i="1"/>
  <c r="O93" i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I91" i="1"/>
  <c r="O90" i="1"/>
  <c r="N90" i="1"/>
  <c r="M90" i="1"/>
  <c r="L90" i="1"/>
  <c r="K90" i="1"/>
  <c r="J90" i="1"/>
  <c r="I90" i="1"/>
  <c r="O89" i="1"/>
  <c r="N89" i="1"/>
  <c r="M89" i="1"/>
  <c r="L89" i="1"/>
  <c r="K89" i="1"/>
  <c r="J89" i="1"/>
  <c r="I89" i="1"/>
  <c r="O88" i="1"/>
  <c r="N88" i="1"/>
  <c r="M88" i="1"/>
  <c r="L88" i="1"/>
  <c r="K88" i="1"/>
  <c r="J88" i="1"/>
  <c r="I88" i="1"/>
  <c r="O87" i="1"/>
  <c r="N87" i="1"/>
  <c r="M87" i="1"/>
  <c r="L87" i="1"/>
  <c r="K87" i="1"/>
  <c r="J87" i="1"/>
  <c r="I87" i="1"/>
  <c r="O86" i="1"/>
  <c r="N86" i="1"/>
  <c r="M86" i="1"/>
  <c r="L86" i="1"/>
  <c r="K86" i="1"/>
  <c r="J86" i="1"/>
  <c r="I86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I83" i="1"/>
  <c r="O82" i="1"/>
  <c r="N82" i="1"/>
  <c r="M82" i="1"/>
  <c r="L82" i="1"/>
  <c r="K82" i="1"/>
  <c r="J82" i="1"/>
  <c r="I82" i="1"/>
  <c r="O81" i="1"/>
  <c r="N81" i="1"/>
  <c r="M81" i="1"/>
  <c r="L81" i="1"/>
  <c r="K81" i="1"/>
  <c r="J81" i="1"/>
  <c r="I81" i="1"/>
  <c r="O80" i="1"/>
  <c r="N80" i="1"/>
  <c r="M80" i="1"/>
  <c r="L80" i="1"/>
  <c r="K80" i="1"/>
  <c r="J80" i="1"/>
  <c r="I80" i="1"/>
  <c r="O79" i="1"/>
  <c r="N79" i="1"/>
  <c r="M79" i="1"/>
  <c r="L79" i="1"/>
  <c r="K79" i="1"/>
  <c r="J79" i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5" i="1"/>
  <c r="N75" i="1"/>
  <c r="M75" i="1"/>
  <c r="L75" i="1"/>
  <c r="K75" i="1"/>
  <c r="J75" i="1"/>
  <c r="I75" i="1"/>
  <c r="O74" i="1"/>
  <c r="N74" i="1"/>
  <c r="M74" i="1"/>
  <c r="L74" i="1"/>
  <c r="K74" i="1"/>
  <c r="J74" i="1"/>
  <c r="I74" i="1"/>
  <c r="O73" i="1"/>
  <c r="N73" i="1"/>
  <c r="M73" i="1"/>
  <c r="L73" i="1"/>
  <c r="K73" i="1"/>
  <c r="J73" i="1"/>
  <c r="I73" i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I71" i="1"/>
  <c r="O70" i="1"/>
  <c r="N70" i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6" i="1"/>
  <c r="N66" i="1"/>
  <c r="M66" i="1"/>
  <c r="L66" i="1"/>
  <c r="K66" i="1"/>
  <c r="J66" i="1"/>
  <c r="I66" i="1"/>
  <c r="O65" i="1"/>
  <c r="N65" i="1"/>
  <c r="M65" i="1"/>
  <c r="L65" i="1"/>
  <c r="K65" i="1"/>
  <c r="J65" i="1"/>
  <c r="I65" i="1"/>
  <c r="O64" i="1"/>
  <c r="N64" i="1"/>
  <c r="M64" i="1"/>
  <c r="L64" i="1"/>
  <c r="K64" i="1"/>
  <c r="J64" i="1"/>
  <c r="I64" i="1"/>
  <c r="O63" i="1"/>
  <c r="N63" i="1"/>
  <c r="M63" i="1"/>
  <c r="L63" i="1"/>
  <c r="K63" i="1"/>
  <c r="J63" i="1"/>
  <c r="I63" i="1"/>
  <c r="O62" i="1"/>
  <c r="N62" i="1"/>
  <c r="M62" i="1"/>
  <c r="L62" i="1"/>
  <c r="K62" i="1"/>
  <c r="J62" i="1"/>
  <c r="I62" i="1"/>
  <c r="O61" i="1"/>
  <c r="N61" i="1"/>
  <c r="M61" i="1"/>
  <c r="L61" i="1"/>
  <c r="K61" i="1"/>
  <c r="J61" i="1"/>
  <c r="I61" i="1"/>
  <c r="O60" i="1"/>
  <c r="N60" i="1"/>
  <c r="M60" i="1"/>
  <c r="L60" i="1"/>
  <c r="K60" i="1"/>
  <c r="J60" i="1"/>
  <c r="I60" i="1"/>
  <c r="O59" i="1"/>
  <c r="N59" i="1"/>
  <c r="M59" i="1"/>
  <c r="L59" i="1"/>
  <c r="K59" i="1"/>
  <c r="J59" i="1"/>
  <c r="I59" i="1"/>
  <c r="O58" i="1"/>
  <c r="N58" i="1"/>
  <c r="M58" i="1"/>
  <c r="L58" i="1"/>
  <c r="K58" i="1"/>
  <c r="J58" i="1"/>
  <c r="I58" i="1"/>
  <c r="O57" i="1"/>
  <c r="N57" i="1"/>
  <c r="M57" i="1"/>
  <c r="L57" i="1"/>
  <c r="K57" i="1"/>
  <c r="J57" i="1"/>
  <c r="I57" i="1"/>
  <c r="O56" i="1"/>
  <c r="N56" i="1"/>
  <c r="M56" i="1"/>
  <c r="L56" i="1"/>
  <c r="K56" i="1"/>
  <c r="J56" i="1"/>
  <c r="I56" i="1"/>
  <c r="O55" i="1"/>
  <c r="N55" i="1"/>
  <c r="M55" i="1"/>
  <c r="L55" i="1"/>
  <c r="K55" i="1"/>
  <c r="J55" i="1"/>
  <c r="I55" i="1"/>
  <c r="O54" i="1"/>
  <c r="N54" i="1"/>
  <c r="M54" i="1"/>
  <c r="L54" i="1"/>
  <c r="K54" i="1"/>
  <c r="J54" i="1"/>
  <c r="I54" i="1"/>
  <c r="O53" i="1"/>
  <c r="N53" i="1"/>
  <c r="M53" i="1"/>
  <c r="L53" i="1"/>
  <c r="K53" i="1"/>
  <c r="J53" i="1"/>
  <c r="I53" i="1"/>
  <c r="O52" i="1"/>
  <c r="N52" i="1"/>
  <c r="M52" i="1"/>
  <c r="L52" i="1"/>
  <c r="K52" i="1"/>
  <c r="J52" i="1"/>
  <c r="I52" i="1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45" i="1"/>
  <c r="N45" i="1"/>
  <c r="M45" i="1"/>
  <c r="L45" i="1"/>
  <c r="K45" i="1"/>
  <c r="J45" i="1"/>
  <c r="I45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2" i="1"/>
  <c r="N42" i="1"/>
  <c r="M42" i="1"/>
  <c r="L42" i="1"/>
  <c r="K42" i="1"/>
  <c r="J42" i="1"/>
  <c r="I42" i="1"/>
  <c r="O41" i="1"/>
  <c r="N41" i="1"/>
  <c r="M41" i="1"/>
  <c r="L41" i="1"/>
  <c r="K41" i="1"/>
  <c r="J41" i="1"/>
  <c r="I41" i="1"/>
  <c r="O40" i="1"/>
  <c r="N40" i="1"/>
  <c r="M40" i="1"/>
  <c r="L40" i="1"/>
  <c r="K40" i="1"/>
  <c r="J40" i="1"/>
  <c r="I40" i="1"/>
  <c r="O39" i="1"/>
  <c r="N39" i="1"/>
  <c r="M39" i="1"/>
  <c r="L39" i="1"/>
  <c r="K39" i="1"/>
  <c r="J39" i="1"/>
  <c r="I39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L33" i="1"/>
  <c r="K33" i="1"/>
  <c r="J33" i="1"/>
  <c r="I33" i="1"/>
  <c r="O32" i="1"/>
  <c r="N32" i="1"/>
  <c r="M32" i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V10" i="1" s="1"/>
  <c r="L2" i="1"/>
  <c r="K2" i="1"/>
  <c r="J2" i="1"/>
  <c r="I2" i="1"/>
  <c r="R10" i="1" s="1"/>
  <c r="X13" i="1"/>
  <c r="X10" i="1"/>
  <c r="P2" i="1"/>
  <c r="X12" i="1"/>
  <c r="X11" i="1"/>
  <c r="X8" i="1"/>
  <c r="X7" i="1"/>
  <c r="W8" i="1" l="1"/>
  <c r="T7" i="1"/>
  <c r="T11" i="1"/>
  <c r="S8" i="1"/>
  <c r="U7" i="1"/>
  <c r="R7" i="1"/>
  <c r="V7" i="1"/>
  <c r="T8" i="1"/>
  <c r="T12" i="1" s="1"/>
  <c r="S10" i="1"/>
  <c r="W10" i="1"/>
  <c r="U11" i="1"/>
  <c r="S7" i="1"/>
  <c r="W7" i="1"/>
  <c r="U8" i="1"/>
  <c r="T10" i="1"/>
  <c r="R11" i="1"/>
  <c r="V11" i="1"/>
  <c r="R8" i="1"/>
  <c r="V8" i="1"/>
  <c r="V12" i="1" s="1"/>
  <c r="V13" i="1" s="1"/>
  <c r="U10" i="1"/>
  <c r="S11" i="1"/>
  <c r="W11" i="1"/>
  <c r="W12" i="1" s="1"/>
  <c r="U12" i="1" l="1"/>
  <c r="U13" i="1" s="1"/>
  <c r="R12" i="1"/>
  <c r="R13" i="1" s="1"/>
  <c r="S12" i="1"/>
  <c r="S13" i="1" s="1"/>
  <c r="T13" i="1"/>
  <c r="W13" i="1"/>
</calcChain>
</file>

<file path=xl/sharedStrings.xml><?xml version="1.0" encoding="utf-8"?>
<sst xmlns="http://schemas.openxmlformats.org/spreadsheetml/2006/main" count="283" uniqueCount="276">
  <si>
    <t>Date</t>
  </si>
  <si>
    <t>F</t>
  </si>
  <si>
    <t>GM</t>
  </si>
  <si>
    <t>T</t>
  </si>
  <si>
    <t>VZ</t>
  </si>
  <si>
    <t>WMT</t>
  </si>
  <si>
    <t>TGT</t>
  </si>
  <si>
    <t>S&amp;P 500 Return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</si>
  <si>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</si>
  <si>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</si>
  <si>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</si>
  <si>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</si>
  <si>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</si>
  <si>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</si>
  <si>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</si>
  <si>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</si>
  <si>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</si>
  <si>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</si>
  <si>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</si>
  <si>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</si>
  <si>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</si>
  <si>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</si>
  <si>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</si>
  <si>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</si>
  <si>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</si>
  <si>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</si>
  <si>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</si>
  <si>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</si>
  <si>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</si>
  <si>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</si>
  <si>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</si>
  <si>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</si>
  <si>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</si>
  <si>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</si>
  <si>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</si>
  <si>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</si>
  <si>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</si>
  <si>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</si>
  <si>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</si>
  <si>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</si>
  <si>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</si>
  <si>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</si>
  <si>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</si>
  <si>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</si>
  <si>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</si>
  <si>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</si>
  <si>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</si>
  <si>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</si>
  <si>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</si>
  <si>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</si>
  <si>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</si>
  <si>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</si>
  <si>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</si>
  <si>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</si>
  <si>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</si>
  <si>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</si>
  <si>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</si>
  <si>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</si>
  <si>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</si>
  <si>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</si>
  <si>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</si>
  <si>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</si>
  <si>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</si>
  <si>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</si>
  <si>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</si>
  <si>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</si>
  <si>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</si>
  <si>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</si>
  <si>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</si>
  <si>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</si>
  <si>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</si>
  <si>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</si>
  <si>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</si>
  <si>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</si>
  <si>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</si>
  <si>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</si>
  <si>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</si>
  <si>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</si>
  <si>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</si>
  <si>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</si>
  <si>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</si>
  <si>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</si>
  <si>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</si>
  <si>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</si>
  <si>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</si>
  <si>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</si>
  <si>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</si>
  <si>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</si>
  <si>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</si>
  <si>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</si>
  <si>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</si>
  <si>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</si>
  <si>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</si>
  <si>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</si>
  <si>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</si>
  <si>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</si>
  <si>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</si>
  <si>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</si>
  <si>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</si>
  <si>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</si>
  <si>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</si>
  <si>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</si>
  <si>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</si>
  <si>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</si>
  <si>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</si>
  <si>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</si>
  <si>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</si>
  <si>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</si>
  <si>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</si>
  <si>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</si>
  <si>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</si>
  <si>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</si>
  <si>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</si>
  <si>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</si>
  <si>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</si>
  <si>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</si>
  <si>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</si>
  <si>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</si>
  <si>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</si>
  <si>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</si>
  <si>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</si>
  <si>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</si>
  <si>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</si>
  <si>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</si>
  <si>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</si>
  <si>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</si>
  <si>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</si>
  <si>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</si>
  <si>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</si>
  <si>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</si>
  <si>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</si>
  <si>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</si>
  <si>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</si>
  <si>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</si>
  <si>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</si>
  <si>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</si>
  <si>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</si>
  <si>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</si>
  <si>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</si>
  <si>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</si>
  <si>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</si>
  <si>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</si>
  <si>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</si>
  <si>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</si>
  <si>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</si>
  <si>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</si>
  <si>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</si>
  <si>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</si>
  <si>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</si>
  <si>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</si>
  <si>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</si>
  <si>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</si>
  <si>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</si>
  <si>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</si>
  <si>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</si>
  <si>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</si>
  <si>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</si>
  <si>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</si>
  <si>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</si>
  <si>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</si>
  <si>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</si>
  <si>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</si>
  <si>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</si>
  <si>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</si>
  <si>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</si>
  <si>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</si>
  <si>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</si>
  <si>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</si>
  <si>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</si>
  <si>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</si>
  <si>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</si>
  <si>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</si>
  <si>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</si>
  <si>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</si>
  <si>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</si>
  <si>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</si>
  <si>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</si>
  <si>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</si>
  <si>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</si>
  <si>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</si>
  <si>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</si>
  <si>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</si>
  <si>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</si>
  <si>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</si>
  <si>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</si>
  <si>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</si>
  <si>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</si>
  <si>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</si>
  <si>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</si>
  <si>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</si>
  <si>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</si>
  <si>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</si>
  <si>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</si>
  <si>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</si>
  <si>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</si>
  <si>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</si>
  <si>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</si>
  <si>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</si>
  <si>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</si>
  <si>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</si>
  <si>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</si>
  <si>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</si>
  <si>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</si>
  <si>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</si>
  <si>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</si>
  <si>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</si>
  <si>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</si>
  <si>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</si>
  <si>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</si>
  <si>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</si>
  <si>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</si>
  <si>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</si>
  <si>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</si>
  <si>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</si>
  <si>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</si>
  <si>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</si>
  <si>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</si>
  <si>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</si>
  <si>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</si>
  <si>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</si>
  <si>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</si>
  <si>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</si>
  <si>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</si>
  <si>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</si>
  <si>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</si>
  <si>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</si>
  <si>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</si>
  <si>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</si>
  <si>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</si>
  <si>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</si>
  <si>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</si>
  <si>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</si>
  <si>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</si>
  <si>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</si>
  <si>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</si>
  <si>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</si>
  <si>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</si>
  <si>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</si>
  <si>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</si>
  <si>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</si>
  <si>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</si>
  <si>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</si>
  <si>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</si>
  <si>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</si>
  <si>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</si>
  <si>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</si>
  <si>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</si>
  <si>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</si>
  <si>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</si>
  <si>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</si>
  <si>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</si>
  <si>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</si>
  <si>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</si>
  <si>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</si>
  <si>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</si>
  <si>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</si>
  <si>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</si>
  <si>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</si>
  <si>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</si>
  <si>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</si>
  <si>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F Exc</t>
  </si>
  <si>
    <t>GM Exc</t>
  </si>
  <si>
    <t>T Exc</t>
  </si>
  <si>
    <t>VZ Exc</t>
  </si>
  <si>
    <t>WMT Exc</t>
  </si>
  <si>
    <t>TGT Exc</t>
  </si>
  <si>
    <t xml:space="preserve">Market (Index) = </t>
  </si>
  <si>
    <t>S&amp;P 500</t>
  </si>
  <si>
    <t xml:space="preserve">Risk-free rate, r_F = </t>
  </si>
  <si>
    <t>Run the index models for eaxh of the 6 stocks:</t>
  </si>
  <si>
    <t>Alpha</t>
  </si>
  <si>
    <t>Beta</t>
  </si>
  <si>
    <t>Total risk</t>
  </si>
  <si>
    <t>Total risk of the market</t>
  </si>
  <si>
    <t>Systematic risk</t>
  </si>
  <si>
    <t>Idiosyncratic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</si>
</sst>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E840-736A-A34E-871E-2934E48FCE10}">
  <dimension ref="A1:X253"/>
  <sheetViews>
    <sheetView tabSelected="1" workbookViewId="0">
      <selection activeCell="Q21" sqref="Q21"/>
    </sheetView>
  </sheetViews>
  <sheetFormatPr baseColWidth="10" defaultRowHeight="16" x14ac:dyDescent="0.2"/>
  <cols>
    <col min="8" max="8" width="13.5" bestFit="1" customWidth="1"/>
    <col min="9" max="15" width="10.83203125" style="4"/>
    <col min="16" max="16" width="13" customWidth="1"/>
    <col min="17" max="17" width="19.1640625" customWidth="1"/>
  </cols>
  <sheetData>
    <row r="1" spans="1:24" ht="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7</v>
      </c>
    </row>
    <row r="2" spans="1:24" x14ac:dyDescent="0.2">
      <c r="A2" t="s">
        <v>8</v>
      </c>
      <c r="B2">
        <v>0.21045700000000001</v>
      </c>
      <c r="C2">
        <v>4.8957000000000001E-2</v>
      </c>
      <c r="D2">
        <v>0.38545699999999999</v>
      </c>
      <c r="E2">
        <v>9.8756999999999998E-2</v>
      </c>
      <c r="F2">
        <v>6.3957E-2</v>
      </c>
      <c r="G2">
        <v>0.172457</v>
      </c>
      <c r="H2">
        <v>2.9356999999999998E-2</v>
      </c>
      <c r="I2" s="2">
        <f>B2-$R$3</f>
        <v>0.208957</v>
      </c>
      <c r="J2" s="2">
        <f t="shared" ref="J2:O17" si="0">C2-$R$3</f>
        <v>4.7456999999999999E-2</v>
      </c>
      <c r="K2" s="2">
        <f t="shared" si="0"/>
        <v>0.38395699999999999</v>
      </c>
      <c r="L2" s="2">
        <f t="shared" si="0"/>
        <v>9.7256999999999996E-2</v>
      </c>
      <c r="M2" s="2">
        <f t="shared" si="0"/>
        <v>6.2456999999999999E-2</v>
      </c>
      <c r="N2" s="2">
        <f t="shared" si="0"/>
        <v>0.170957</v>
      </c>
      <c r="O2" s="2">
        <f t="shared" si="0"/>
        <v>2.7856999999999996E-2</v>
      </c>
      <c r="P2" t="str">
        <f ca="1">_xlfn.FORMULATEXT(I2)</f>
        <v>=B2-$R$3</v>
      </c>
      <c r="Q2" t="s">
        <v>266</v>
      </c>
      <c r="R2" t="s">
        <v>267</v>
      </c>
    </row>
    <row r="3" spans="1:24" x14ac:dyDescent="0.2">
      <c r="A3" t="s">
        <v>9</v>
      </c>
      <c r="B3">
        <v>-1.7153000000000002E-2</v>
      </c>
      <c r="C3">
        <v>-1.6530000000000004E-3</v>
      </c>
      <c r="D3">
        <v>-4.4953000000000007E-2</v>
      </c>
      <c r="E3">
        <v>-0.102853</v>
      </c>
      <c r="F3">
        <v>-0.121753</v>
      </c>
      <c r="G3">
        <v>2.4747000000000002E-2</v>
      </c>
      <c r="H3">
        <v>-9.5952999999999997E-2</v>
      </c>
      <c r="I3" s="2">
        <f t="shared" ref="I3:O52" si="1">B3-$R$3</f>
        <v>-1.8653000000000003E-2</v>
      </c>
      <c r="J3" s="2">
        <f t="shared" si="0"/>
        <v>-3.1530000000000004E-3</v>
      </c>
      <c r="K3" s="2">
        <f t="shared" si="0"/>
        <v>-4.6453000000000008E-2</v>
      </c>
      <c r="L3" s="2">
        <f t="shared" si="0"/>
        <v>-0.104353</v>
      </c>
      <c r="M3" s="2">
        <f t="shared" si="0"/>
        <v>-0.123253</v>
      </c>
      <c r="N3" s="2">
        <f t="shared" si="0"/>
        <v>2.3247E-2</v>
      </c>
      <c r="O3" s="2">
        <f t="shared" si="0"/>
        <v>-9.7452999999999998E-2</v>
      </c>
      <c r="Q3" t="s">
        <v>268</v>
      </c>
      <c r="R3">
        <v>1.5E-3</v>
      </c>
    </row>
    <row r="4" spans="1:24" x14ac:dyDescent="0.2">
      <c r="A4" t="s">
        <v>10</v>
      </c>
      <c r="B4">
        <v>6.7800000000000004E-3</v>
      </c>
      <c r="C4">
        <v>-3.1919999999999997E-2</v>
      </c>
      <c r="D4">
        <v>-7.6620000000000008E-2</v>
      </c>
      <c r="E4">
        <v>-8.320000000000001E-3</v>
      </c>
      <c r="F4">
        <v>5.2799999999999991E-3</v>
      </c>
      <c r="G4">
        <v>-7.9219999999999999E-2</v>
      </c>
      <c r="H4">
        <v>-6.8519999999999998E-2</v>
      </c>
      <c r="I4" s="2">
        <f t="shared" si="1"/>
        <v>5.28E-3</v>
      </c>
      <c r="J4" s="2">
        <f t="shared" si="0"/>
        <v>-3.3419999999999998E-2</v>
      </c>
      <c r="K4" s="2">
        <f t="shared" si="0"/>
        <v>-7.8120000000000009E-2</v>
      </c>
      <c r="L4" s="2">
        <f t="shared" si="0"/>
        <v>-9.8200000000000006E-3</v>
      </c>
      <c r="M4" s="2">
        <f t="shared" si="0"/>
        <v>3.7799999999999991E-3</v>
      </c>
      <c r="N4" s="2">
        <f t="shared" si="0"/>
        <v>-8.072E-2</v>
      </c>
      <c r="O4" s="2">
        <f t="shared" si="0"/>
        <v>-7.0019999999999999E-2</v>
      </c>
    </row>
    <row r="5" spans="1:24" x14ac:dyDescent="0.2">
      <c r="A5" t="s">
        <v>11</v>
      </c>
      <c r="B5">
        <v>5.5135999999999998E-2</v>
      </c>
      <c r="C5">
        <v>5.3235999999999999E-2</v>
      </c>
      <c r="D5">
        <v>4.2136E-2</v>
      </c>
      <c r="E5">
        <v>0.121836</v>
      </c>
      <c r="F5">
        <v>2.0736000000000001E-2</v>
      </c>
      <c r="G5">
        <v>6.1835999999999995E-2</v>
      </c>
      <c r="H5">
        <v>7.2935999999999987E-2</v>
      </c>
      <c r="I5" s="2">
        <f t="shared" si="1"/>
        <v>5.3635999999999996E-2</v>
      </c>
      <c r="J5" s="2">
        <f t="shared" si="0"/>
        <v>5.1735999999999997E-2</v>
      </c>
      <c r="K5" s="2">
        <f t="shared" si="0"/>
        <v>4.0635999999999999E-2</v>
      </c>
      <c r="L5" s="2">
        <f t="shared" si="0"/>
        <v>0.120336</v>
      </c>
      <c r="M5" s="2">
        <f t="shared" si="0"/>
        <v>1.9236E-2</v>
      </c>
      <c r="N5" s="2">
        <f t="shared" si="0"/>
        <v>6.0335999999999994E-2</v>
      </c>
      <c r="O5" s="2">
        <f t="shared" si="0"/>
        <v>7.1435999999999986E-2</v>
      </c>
      <c r="Q5" t="s">
        <v>269</v>
      </c>
    </row>
    <row r="6" spans="1:24" x14ac:dyDescent="0.2">
      <c r="A6" t="s">
        <v>12</v>
      </c>
      <c r="B6">
        <v>-0.17718299999999998</v>
      </c>
      <c r="C6">
        <v>4.4317000000000002E-2</v>
      </c>
      <c r="D6">
        <v>-5.2982999999999995E-2</v>
      </c>
      <c r="E6">
        <v>-7.1830000000000001E-3</v>
      </c>
      <c r="F6">
        <v>-2.983E-3</v>
      </c>
      <c r="G6">
        <v>-1.8682999999999998E-2</v>
      </c>
      <c r="H6">
        <v>1.9170000000000003E-3</v>
      </c>
      <c r="I6" s="2">
        <f t="shared" si="1"/>
        <v>-0.17868299999999998</v>
      </c>
      <c r="J6" s="2">
        <f t="shared" si="0"/>
        <v>4.2817000000000001E-2</v>
      </c>
      <c r="K6" s="2">
        <f t="shared" si="0"/>
        <v>-5.4482999999999997E-2</v>
      </c>
      <c r="L6" s="2">
        <f t="shared" si="0"/>
        <v>-8.6829999999999997E-3</v>
      </c>
      <c r="M6" s="2">
        <f t="shared" si="0"/>
        <v>-4.483E-3</v>
      </c>
      <c r="N6" s="2">
        <f t="shared" si="0"/>
        <v>-2.0183E-2</v>
      </c>
      <c r="O6" s="2">
        <f t="shared" si="0"/>
        <v>4.1700000000000027E-4</v>
      </c>
      <c r="R6" s="3" t="s">
        <v>1</v>
      </c>
      <c r="S6" s="3" t="s">
        <v>2</v>
      </c>
      <c r="T6" s="3" t="s">
        <v>3</v>
      </c>
      <c r="U6" s="3" t="s">
        <v>4</v>
      </c>
      <c r="V6" s="3" t="s">
        <v>5</v>
      </c>
      <c r="W6" s="3" t="s">
        <v>6</v>
      </c>
    </row>
    <row r="7" spans="1:24" x14ac:dyDescent="0.2">
      <c r="A7" t="s">
        <v>13</v>
      </c>
      <c r="B7">
        <v>5.4220000000000006E-3</v>
      </c>
      <c r="C7">
        <v>0.12812199999999999</v>
      </c>
      <c r="D7">
        <v>3.8321999999999995E-2</v>
      </c>
      <c r="E7">
        <v>-2.7378E-2</v>
      </c>
      <c r="F7">
        <v>-5.8478000000000002E-2</v>
      </c>
      <c r="G7">
        <v>-8.7478E-2</v>
      </c>
      <c r="H7">
        <v>-2.7778000000000001E-2</v>
      </c>
      <c r="I7" s="2">
        <f t="shared" si="1"/>
        <v>3.9220000000000001E-3</v>
      </c>
      <c r="J7" s="2">
        <f t="shared" si="0"/>
        <v>0.12662199999999998</v>
      </c>
      <c r="K7" s="2">
        <f t="shared" si="0"/>
        <v>3.6821999999999994E-2</v>
      </c>
      <c r="L7" s="2">
        <f t="shared" si="0"/>
        <v>-2.8878000000000001E-2</v>
      </c>
      <c r="M7" s="2">
        <f t="shared" si="0"/>
        <v>-5.9978000000000004E-2</v>
      </c>
      <c r="N7" s="2">
        <f t="shared" si="0"/>
        <v>-8.8978000000000002E-2</v>
      </c>
      <c r="O7" s="2">
        <f t="shared" si="0"/>
        <v>-2.9278000000000002E-2</v>
      </c>
      <c r="Q7" t="s">
        <v>270</v>
      </c>
      <c r="R7">
        <f>INTERCEPT(I2:I253,$O$2:$O$253)</f>
        <v>2.095527795434129E-3</v>
      </c>
      <c r="S7">
        <f t="shared" ref="S7:W7" si="2">INTERCEPT(J2:J253,$O$2:$O$253)</f>
        <v>-1.122182031808807E-2</v>
      </c>
      <c r="T7">
        <f t="shared" si="2"/>
        <v>-2.2731871902279335E-4</v>
      </c>
      <c r="U7">
        <f t="shared" si="2"/>
        <v>1.2535829933479595E-3</v>
      </c>
      <c r="V7">
        <f t="shared" si="2"/>
        <v>2.7620260761410317E-3</v>
      </c>
      <c r="W7">
        <f t="shared" si="2"/>
        <v>6.3263013608546043E-3</v>
      </c>
      <c r="X7" t="str">
        <f ca="1">_xlfn.FORMULATEXT(R7)</f>
        <v>=INTERCEPT(I2:I253,$O$2:$O$253)</v>
      </c>
    </row>
    <row r="8" spans="1:24" x14ac:dyDescent="0.2">
      <c r="A8" t="s">
        <v>14</v>
      </c>
      <c r="B8">
        <v>3.4500999999999997E-2</v>
      </c>
      <c r="C8">
        <v>-1.4699E-2</v>
      </c>
      <c r="D8">
        <v>0.177401</v>
      </c>
      <c r="E8">
        <v>1.6500999999999998E-2</v>
      </c>
      <c r="F8">
        <v>0.14250099999999999</v>
      </c>
      <c r="G8">
        <v>0.11550099999999999</v>
      </c>
      <c r="H8">
        <v>-1.3799000000000001E-2</v>
      </c>
      <c r="I8" s="2">
        <f t="shared" si="1"/>
        <v>3.3000999999999996E-2</v>
      </c>
      <c r="J8" s="2">
        <f t="shared" si="0"/>
        <v>-1.6199000000000002E-2</v>
      </c>
      <c r="K8" s="2">
        <f t="shared" si="0"/>
        <v>0.175901</v>
      </c>
      <c r="L8" s="2">
        <f t="shared" si="0"/>
        <v>1.5000999999999999E-2</v>
      </c>
      <c r="M8" s="2">
        <f t="shared" si="0"/>
        <v>0.14100099999999999</v>
      </c>
      <c r="N8" s="2">
        <f t="shared" si="0"/>
        <v>0.11400099999999999</v>
      </c>
      <c r="O8" s="2">
        <f t="shared" si="0"/>
        <v>-1.5299E-2</v>
      </c>
      <c r="Q8" t="s">
        <v>271</v>
      </c>
      <c r="R8">
        <f>SLOPE(I2:I253,$O$2:$O$253)</f>
        <v>1.693157716350755</v>
      </c>
      <c r="S8">
        <f t="shared" ref="S8:W8" si="3">SLOPE(J2:J253,$O$2:$O$253)</f>
        <v>1.2078340781436487</v>
      </c>
      <c r="T8">
        <f t="shared" si="3"/>
        <v>0.66099598935953163</v>
      </c>
      <c r="U8">
        <f t="shared" si="3"/>
        <v>0.64095623224745446</v>
      </c>
      <c r="V8">
        <f t="shared" si="3"/>
        <v>0.43582386030860848</v>
      </c>
      <c r="W8">
        <f t="shared" si="3"/>
        <v>0.96134083212225874</v>
      </c>
      <c r="X8" t="str">
        <f ca="1">_xlfn.FORMULATEXT(R8)</f>
        <v>=SLOPE(I2:I253,$O$2:$O$253)</v>
      </c>
    </row>
    <row r="9" spans="1:24" x14ac:dyDescent="0.2">
      <c r="A9" t="s">
        <v>15</v>
      </c>
      <c r="B9">
        <v>-0.21349599999999999</v>
      </c>
      <c r="C9">
        <v>-0.13519600000000001</v>
      </c>
      <c r="D9">
        <v>-6.0895999999999999E-2</v>
      </c>
      <c r="E9">
        <v>-7.9596E-2</v>
      </c>
      <c r="F9">
        <v>-0.143396</v>
      </c>
      <c r="G9">
        <v>-0.106296</v>
      </c>
      <c r="H9">
        <v>-6.7096000000000003E-2</v>
      </c>
      <c r="I9" s="2">
        <f t="shared" si="1"/>
        <v>-0.21499599999999999</v>
      </c>
      <c r="J9" s="2">
        <f t="shared" si="0"/>
        <v>-0.13669600000000001</v>
      </c>
      <c r="K9" s="2">
        <f t="shared" si="0"/>
        <v>-6.2396E-2</v>
      </c>
      <c r="L9" s="2">
        <f t="shared" si="0"/>
        <v>-8.1096000000000001E-2</v>
      </c>
      <c r="M9" s="2">
        <f t="shared" si="0"/>
        <v>-0.144896</v>
      </c>
      <c r="N9" s="2">
        <f t="shared" si="0"/>
        <v>-0.107796</v>
      </c>
      <c r="O9" s="2">
        <f t="shared" si="0"/>
        <v>-6.8596000000000004E-2</v>
      </c>
    </row>
    <row r="10" spans="1:24" x14ac:dyDescent="0.2">
      <c r="A10" t="s">
        <v>16</v>
      </c>
      <c r="B10">
        <v>-0.12953000000000001</v>
      </c>
      <c r="C10">
        <v>-0.21913000000000002</v>
      </c>
      <c r="D10">
        <v>1.3070000000000002E-2</v>
      </c>
      <c r="E10">
        <v>7.9469999999999999E-2</v>
      </c>
      <c r="F10">
        <v>2.9070000000000002E-2</v>
      </c>
      <c r="G10">
        <v>-8.6429999999999993E-2</v>
      </c>
      <c r="H10">
        <v>-8.4429999999999991E-2</v>
      </c>
      <c r="I10" s="2">
        <f t="shared" si="1"/>
        <v>-0.13103000000000001</v>
      </c>
      <c r="J10" s="2">
        <f t="shared" si="0"/>
        <v>-0.22063000000000002</v>
      </c>
      <c r="K10" s="2">
        <f t="shared" si="0"/>
        <v>1.1570000000000002E-2</v>
      </c>
      <c r="L10" s="2">
        <f t="shared" si="0"/>
        <v>7.7969999999999998E-2</v>
      </c>
      <c r="M10" s="2">
        <f t="shared" si="0"/>
        <v>2.7570000000000001E-2</v>
      </c>
      <c r="N10" s="2">
        <f t="shared" si="0"/>
        <v>-8.7929999999999994E-2</v>
      </c>
      <c r="O10" s="2">
        <f t="shared" si="0"/>
        <v>-8.5929999999999992E-2</v>
      </c>
      <c r="Q10" t="s">
        <v>272</v>
      </c>
      <c r="R10">
        <f>_xlfn.VAR.S(I2:I253)</f>
        <v>1.9643181802074403E-2</v>
      </c>
      <c r="S10">
        <f t="shared" ref="S10:W10" si="4">_xlfn.VAR.S(J2:J253)</f>
        <v>1.2717095585230681E-2</v>
      </c>
      <c r="T10">
        <f t="shared" si="4"/>
        <v>4.5118558989946742E-3</v>
      </c>
      <c r="U10">
        <f t="shared" si="4"/>
        <v>3.4342490493266811E-3</v>
      </c>
      <c r="V10">
        <f t="shared" si="4"/>
        <v>2.6048461298711677E-3</v>
      </c>
      <c r="W10">
        <f t="shared" si="4"/>
        <v>5.7692546969805069E-3</v>
      </c>
      <c r="X10" t="str">
        <f t="shared" ref="X10:X13" ca="1" si="5">_xlfn.FORMULATEXT(R10)</f>
        <v>=VAR.S(I2:I253)</v>
      </c>
    </row>
    <row r="11" spans="1:24" x14ac:dyDescent="0.2">
      <c r="A11" t="s">
        <v>17</v>
      </c>
      <c r="B11">
        <v>-6.8454000000000001E-2</v>
      </c>
      <c r="C11">
        <v>-3.8954000000000003E-2</v>
      </c>
      <c r="D11">
        <v>-0.21195399999999998</v>
      </c>
      <c r="E11">
        <v>-7.5153999999999999E-2</v>
      </c>
      <c r="F11">
        <v>3.6245999999999994E-2</v>
      </c>
      <c r="G11">
        <v>-2.1054E-2</v>
      </c>
      <c r="H11">
        <v>1.5946000000000002E-2</v>
      </c>
      <c r="I11" s="2">
        <f t="shared" si="1"/>
        <v>-6.9954000000000002E-2</v>
      </c>
      <c r="J11" s="2">
        <f t="shared" si="0"/>
        <v>-4.0454000000000004E-2</v>
      </c>
      <c r="K11" s="2">
        <f t="shared" si="0"/>
        <v>-0.21345399999999998</v>
      </c>
      <c r="L11" s="2">
        <f t="shared" si="0"/>
        <v>-7.6654E-2</v>
      </c>
      <c r="M11" s="2">
        <f t="shared" si="0"/>
        <v>3.4745999999999992E-2</v>
      </c>
      <c r="N11" s="2">
        <f t="shared" si="0"/>
        <v>-2.2554000000000001E-2</v>
      </c>
      <c r="O11" s="2">
        <f t="shared" si="0"/>
        <v>1.4446000000000002E-2</v>
      </c>
      <c r="Q11" t="s">
        <v>273</v>
      </c>
      <c r="R11">
        <f>_xlfn.VAR.S($O$2:$O$253)</f>
        <v>1.8724782418012226E-3</v>
      </c>
      <c r="S11">
        <f t="shared" ref="S11:W11" si="6">_xlfn.VAR.S($O$2:$O$253)</f>
        <v>1.8724782418012226E-3</v>
      </c>
      <c r="T11">
        <f t="shared" si="6"/>
        <v>1.8724782418012226E-3</v>
      </c>
      <c r="U11">
        <f t="shared" si="6"/>
        <v>1.8724782418012226E-3</v>
      </c>
      <c r="V11">
        <f t="shared" si="6"/>
        <v>1.8724782418012226E-3</v>
      </c>
      <c r="W11">
        <f t="shared" si="6"/>
        <v>1.8724782418012226E-3</v>
      </c>
      <c r="X11" t="str">
        <f t="shared" ca="1" si="5"/>
        <v>=VAR.S($O$2:$O$253)</v>
      </c>
    </row>
    <row r="12" spans="1:24" x14ac:dyDescent="0.2">
      <c r="A12" t="s">
        <v>18</v>
      </c>
      <c r="B12">
        <v>0.17835100000000001</v>
      </c>
      <c r="C12">
        <v>0.214451</v>
      </c>
      <c r="D12">
        <v>0.145151</v>
      </c>
      <c r="E12">
        <v>-5.8148999999999999E-2</v>
      </c>
      <c r="F12">
        <v>7.1250999999999995E-2</v>
      </c>
      <c r="G12">
        <v>0.20525099999999999</v>
      </c>
      <c r="H12">
        <v>7.3451000000000002E-2</v>
      </c>
      <c r="I12" s="2">
        <f t="shared" si="1"/>
        <v>0.17685100000000001</v>
      </c>
      <c r="J12" s="2">
        <f t="shared" si="0"/>
        <v>0.212951</v>
      </c>
      <c r="K12" s="2">
        <f t="shared" si="0"/>
        <v>0.143651</v>
      </c>
      <c r="L12" s="2">
        <f t="shared" si="0"/>
        <v>-5.9649000000000001E-2</v>
      </c>
      <c r="M12" s="2">
        <f t="shared" si="0"/>
        <v>6.9750999999999994E-2</v>
      </c>
      <c r="N12" s="2">
        <f t="shared" si="0"/>
        <v>0.20375099999999999</v>
      </c>
      <c r="O12" s="2">
        <f t="shared" si="0"/>
        <v>7.1951000000000001E-2</v>
      </c>
      <c r="Q12" t="s">
        <v>274</v>
      </c>
      <c r="R12">
        <f>(R8^2)*R11</f>
        <v>5.3679888896548426E-3</v>
      </c>
      <c r="S12">
        <f t="shared" ref="S12:W12" si="7">(S8^2)*S11</f>
        <v>2.7316895254741519E-3</v>
      </c>
      <c r="T12">
        <f t="shared" si="7"/>
        <v>8.181151379116205E-4</v>
      </c>
      <c r="U12">
        <f t="shared" si="7"/>
        <v>7.6926067081780139E-4</v>
      </c>
      <c r="V12">
        <f t="shared" si="7"/>
        <v>3.5566308087846689E-4</v>
      </c>
      <c r="W12">
        <f t="shared" si="7"/>
        <v>1.7304998176747132E-3</v>
      </c>
      <c r="X12" t="str">
        <f t="shared" ca="1" si="5"/>
        <v>=(R8^2)*R11</v>
      </c>
    </row>
    <row r="13" spans="1:24" x14ac:dyDescent="0.2">
      <c r="A13" t="s">
        <v>19</v>
      </c>
      <c r="B13">
        <v>-0.17148400000000003</v>
      </c>
      <c r="C13">
        <v>-2.3584000000000001E-2</v>
      </c>
      <c r="D13">
        <v>3.7816000000000002E-2</v>
      </c>
      <c r="E13">
        <v>8.3160000000000005E-3</v>
      </c>
      <c r="F13">
        <v>4.3316E-2</v>
      </c>
      <c r="G13">
        <v>9.2016000000000001E-2</v>
      </c>
      <c r="H13">
        <v>6.1159999999999999E-3</v>
      </c>
      <c r="I13" s="2">
        <f t="shared" si="1"/>
        <v>-0.17298400000000003</v>
      </c>
      <c r="J13" s="2">
        <f t="shared" si="0"/>
        <v>-2.5084000000000002E-2</v>
      </c>
      <c r="K13" s="2">
        <f t="shared" si="0"/>
        <v>3.6316000000000001E-2</v>
      </c>
      <c r="L13" s="2">
        <f t="shared" si="0"/>
        <v>6.8160000000000009E-3</v>
      </c>
      <c r="M13" s="2">
        <f t="shared" si="0"/>
        <v>4.1815999999999999E-2</v>
      </c>
      <c r="N13" s="2">
        <f t="shared" si="0"/>
        <v>9.0515999999999999E-2</v>
      </c>
      <c r="O13" s="2">
        <f t="shared" si="0"/>
        <v>4.6160000000000003E-3</v>
      </c>
      <c r="Q13" t="s">
        <v>275</v>
      </c>
      <c r="R13">
        <f>R10-R12</f>
        <v>1.4275192912419559E-2</v>
      </c>
      <c r="S13">
        <f t="shared" ref="S13:W13" si="8">S10-S12</f>
        <v>9.9854060597565283E-3</v>
      </c>
      <c r="T13">
        <f t="shared" si="8"/>
        <v>3.6937407610830538E-3</v>
      </c>
      <c r="U13">
        <f t="shared" si="8"/>
        <v>2.6649883785088797E-3</v>
      </c>
      <c r="V13">
        <f t="shared" si="8"/>
        <v>2.2491830489927006E-3</v>
      </c>
      <c r="W13">
        <f t="shared" si="8"/>
        <v>4.0387548793057934E-3</v>
      </c>
      <c r="X13" t="str">
        <f t="shared" ca="1" si="5"/>
        <v>=R10-R12</v>
      </c>
    </row>
    <row r="14" spans="1:24" x14ac:dyDescent="0.2">
      <c r="A14" t="s">
        <v>20</v>
      </c>
      <c r="B14">
        <v>-2.1689999999999997E-2</v>
      </c>
      <c r="C14">
        <v>5.0909999999999997E-2</v>
      </c>
      <c r="D14">
        <v>-2.5689999999999998E-2</v>
      </c>
      <c r="E14">
        <v>-1.719E-2</v>
      </c>
      <c r="F14">
        <v>4.0809999999999999E-2</v>
      </c>
      <c r="G14">
        <v>8.0509999999999998E-2</v>
      </c>
      <c r="H14">
        <v>-1.6989999999999998E-2</v>
      </c>
      <c r="I14" s="2">
        <f t="shared" si="1"/>
        <v>-2.3189999999999999E-2</v>
      </c>
      <c r="J14" s="2">
        <f t="shared" si="0"/>
        <v>4.9409999999999996E-2</v>
      </c>
      <c r="K14" s="2">
        <f t="shared" si="0"/>
        <v>-2.7189999999999999E-2</v>
      </c>
      <c r="L14" s="2">
        <f t="shared" si="0"/>
        <v>-1.8690000000000002E-2</v>
      </c>
      <c r="M14" s="2">
        <f t="shared" si="0"/>
        <v>3.9309999999999998E-2</v>
      </c>
      <c r="N14" s="2">
        <f t="shared" si="0"/>
        <v>7.9009999999999997E-2</v>
      </c>
      <c r="O14" s="2">
        <f t="shared" si="0"/>
        <v>-1.8489999999999999E-2</v>
      </c>
    </row>
    <row r="15" spans="1:24" x14ac:dyDescent="0.2">
      <c r="A15" t="s">
        <v>21</v>
      </c>
      <c r="B15">
        <v>-2.8785000000000002E-2</v>
      </c>
      <c r="C15">
        <v>4.4815000000000001E-2</v>
      </c>
      <c r="D15">
        <v>-0.12328499999999999</v>
      </c>
      <c r="E15">
        <v>8.4150000000000006E-3</v>
      </c>
      <c r="F15">
        <v>3.2514999999999995E-2</v>
      </c>
      <c r="G15">
        <v>-5.6485E-2</v>
      </c>
      <c r="H15">
        <v>-2.2085E-2</v>
      </c>
      <c r="I15" s="2">
        <f t="shared" si="1"/>
        <v>-3.0285000000000003E-2</v>
      </c>
      <c r="J15" s="2">
        <f t="shared" si="0"/>
        <v>4.3314999999999999E-2</v>
      </c>
      <c r="K15" s="2">
        <f t="shared" si="0"/>
        <v>-0.12478499999999999</v>
      </c>
      <c r="L15" s="2">
        <f t="shared" si="0"/>
        <v>6.915000000000001E-3</v>
      </c>
      <c r="M15" s="2">
        <f t="shared" si="0"/>
        <v>3.1014999999999994E-2</v>
      </c>
      <c r="N15" s="2">
        <f t="shared" si="0"/>
        <v>-5.7985000000000002E-2</v>
      </c>
      <c r="O15" s="2">
        <f t="shared" si="0"/>
        <v>-2.3585000000000002E-2</v>
      </c>
    </row>
    <row r="16" spans="1:24" x14ac:dyDescent="0.2">
      <c r="A16" t="s">
        <v>22</v>
      </c>
      <c r="B16">
        <v>0.10685900000000001</v>
      </c>
      <c r="C16">
        <v>0.13965899999999998</v>
      </c>
      <c r="D16">
        <v>1.1459E-2</v>
      </c>
      <c r="E16">
        <v>-1.6341000000000001E-2</v>
      </c>
      <c r="F16">
        <v>-1.1641E-2</v>
      </c>
      <c r="G16">
        <v>2.7758999999999999E-2</v>
      </c>
      <c r="H16">
        <v>3.5359000000000002E-2</v>
      </c>
      <c r="I16" s="2">
        <f t="shared" si="1"/>
        <v>0.10535900000000001</v>
      </c>
      <c r="J16" s="2">
        <f t="shared" si="0"/>
        <v>0.13815899999999998</v>
      </c>
      <c r="K16" s="2">
        <f t="shared" si="0"/>
        <v>9.9590000000000008E-3</v>
      </c>
      <c r="L16" s="2">
        <f t="shared" si="0"/>
        <v>-1.7841000000000003E-2</v>
      </c>
      <c r="M16" s="2">
        <f t="shared" si="0"/>
        <v>-1.3141E-2</v>
      </c>
      <c r="N16" s="2">
        <f t="shared" si="0"/>
        <v>2.6258999999999998E-2</v>
      </c>
      <c r="O16" s="2">
        <f t="shared" si="0"/>
        <v>3.3859E-2</v>
      </c>
    </row>
    <row r="17" spans="1:15" x14ac:dyDescent="0.2">
      <c r="A17" t="s">
        <v>23</v>
      </c>
      <c r="B17">
        <v>-3.1245999999999999E-2</v>
      </c>
      <c r="C17">
        <v>5.9653999999999999E-2</v>
      </c>
      <c r="D17">
        <v>-0.16584599999999999</v>
      </c>
      <c r="E17">
        <v>-0.123946</v>
      </c>
      <c r="F17">
        <v>-9.0246000000000007E-2</v>
      </c>
      <c r="G17">
        <v>1.0754E-2</v>
      </c>
      <c r="H17">
        <v>-6.2946000000000002E-2</v>
      </c>
      <c r="I17" s="2">
        <f t="shared" si="1"/>
        <v>-3.2745999999999997E-2</v>
      </c>
      <c r="J17" s="2">
        <f t="shared" si="0"/>
        <v>5.8153999999999997E-2</v>
      </c>
      <c r="K17" s="2">
        <f t="shared" si="0"/>
        <v>-0.16734599999999999</v>
      </c>
      <c r="L17" s="2">
        <f t="shared" si="0"/>
        <v>-0.125446</v>
      </c>
      <c r="M17" s="2">
        <f t="shared" si="0"/>
        <v>-9.1746000000000008E-2</v>
      </c>
      <c r="N17" s="2">
        <f t="shared" si="0"/>
        <v>9.2540000000000001E-3</v>
      </c>
      <c r="O17" s="2">
        <f t="shared" si="0"/>
        <v>-6.4446000000000003E-2</v>
      </c>
    </row>
    <row r="18" spans="1:15" x14ac:dyDescent="0.2">
      <c r="A18" t="s">
        <v>24</v>
      </c>
      <c r="B18">
        <v>0.108458</v>
      </c>
      <c r="C18">
        <v>-2.5441999999999999E-2</v>
      </c>
      <c r="D18">
        <v>-8.9141999999999999E-2</v>
      </c>
      <c r="E18">
        <v>7.0657999999999999E-2</v>
      </c>
      <c r="F18">
        <v>-3.2941999999999999E-2</v>
      </c>
      <c r="G18">
        <v>-5.0541999999999997E-2</v>
      </c>
      <c r="H18">
        <v>-1.0542000000000001E-2</v>
      </c>
      <c r="I18" s="2">
        <f t="shared" si="1"/>
        <v>0.106958</v>
      </c>
      <c r="J18" s="2">
        <f t="shared" si="1"/>
        <v>-2.6942000000000001E-2</v>
      </c>
      <c r="K18" s="2">
        <f t="shared" si="1"/>
        <v>-9.0642E-2</v>
      </c>
      <c r="L18" s="2">
        <f t="shared" si="1"/>
        <v>6.9157999999999997E-2</v>
      </c>
      <c r="M18" s="2">
        <f t="shared" si="1"/>
        <v>-3.4442E-2</v>
      </c>
      <c r="N18" s="2">
        <f t="shared" si="1"/>
        <v>-5.2041999999999998E-2</v>
      </c>
      <c r="O18" s="2">
        <f t="shared" si="1"/>
        <v>-1.2042000000000001E-2</v>
      </c>
    </row>
    <row r="19" spans="1:15" x14ac:dyDescent="0.2">
      <c r="A19" t="s">
        <v>25</v>
      </c>
      <c r="B19">
        <v>-9.4811999999999994E-2</v>
      </c>
      <c r="C19">
        <v>-0.14131200000000002</v>
      </c>
      <c r="D19">
        <v>-0.10391199999999999</v>
      </c>
      <c r="E19">
        <v>-6.7611999999999992E-2</v>
      </c>
      <c r="F19">
        <v>1.6788000000000001E-2</v>
      </c>
      <c r="G19">
        <v>-8.2111999999999991E-2</v>
      </c>
      <c r="H19">
        <v>-7.3811999999999989E-2</v>
      </c>
      <c r="I19" s="2">
        <f t="shared" si="1"/>
        <v>-9.6311999999999995E-2</v>
      </c>
      <c r="J19" s="2">
        <f t="shared" si="1"/>
        <v>-0.14281200000000002</v>
      </c>
      <c r="K19" s="2">
        <f t="shared" si="1"/>
        <v>-0.10541199999999999</v>
      </c>
      <c r="L19" s="2">
        <f t="shared" si="1"/>
        <v>-6.9111999999999993E-2</v>
      </c>
      <c r="M19" s="2">
        <f t="shared" si="1"/>
        <v>1.5288000000000001E-2</v>
      </c>
      <c r="N19" s="2">
        <f t="shared" si="1"/>
        <v>-8.3611999999999992E-2</v>
      </c>
      <c r="O19" s="2">
        <f t="shared" si="1"/>
        <v>-7.531199999999999E-2</v>
      </c>
    </row>
    <row r="20" spans="1:15" x14ac:dyDescent="0.2">
      <c r="A20" t="s">
        <v>26</v>
      </c>
      <c r="B20">
        <v>-0.15340700000000002</v>
      </c>
      <c r="C20">
        <v>-0.130607</v>
      </c>
      <c r="D20">
        <v>-5.0106999999999999E-2</v>
      </c>
      <c r="E20">
        <v>-0.171407</v>
      </c>
      <c r="F20">
        <v>-0.10750699999999999</v>
      </c>
      <c r="G20">
        <v>-0.12620700000000001</v>
      </c>
      <c r="H20">
        <v>-8.0506999999999995E-2</v>
      </c>
      <c r="I20" s="2">
        <f t="shared" si="1"/>
        <v>-0.15490700000000002</v>
      </c>
      <c r="J20" s="2">
        <f t="shared" si="1"/>
        <v>-0.132107</v>
      </c>
      <c r="K20" s="2">
        <f t="shared" si="1"/>
        <v>-5.1607E-2</v>
      </c>
      <c r="L20" s="2">
        <f t="shared" si="1"/>
        <v>-0.17290700000000001</v>
      </c>
      <c r="M20" s="2">
        <f t="shared" si="1"/>
        <v>-0.10900699999999999</v>
      </c>
      <c r="N20" s="2">
        <f t="shared" si="1"/>
        <v>-0.12770700000000001</v>
      </c>
      <c r="O20" s="2">
        <f t="shared" si="1"/>
        <v>-8.2006999999999997E-2</v>
      </c>
    </row>
    <row r="21" spans="1:15" x14ac:dyDescent="0.2">
      <c r="A21" t="s">
        <v>27</v>
      </c>
      <c r="B21">
        <v>-0.12760199999999999</v>
      </c>
      <c r="C21">
        <v>3.8198000000000003E-2</v>
      </c>
      <c r="D21">
        <v>0.19899800000000001</v>
      </c>
      <c r="E21">
        <v>-6.2002000000000002E-2</v>
      </c>
      <c r="F21">
        <v>8.5998000000000005E-2</v>
      </c>
      <c r="G21">
        <v>2.5797999999999998E-2</v>
      </c>
      <c r="H21">
        <v>3.4979999999999998E-3</v>
      </c>
      <c r="I21" s="2">
        <f t="shared" si="1"/>
        <v>-0.12910199999999999</v>
      </c>
      <c r="J21" s="2">
        <f t="shared" si="1"/>
        <v>3.6698000000000001E-2</v>
      </c>
      <c r="K21" s="2">
        <f t="shared" si="1"/>
        <v>0.19749800000000001</v>
      </c>
      <c r="L21" s="2">
        <f t="shared" si="1"/>
        <v>-6.3502000000000003E-2</v>
      </c>
      <c r="M21" s="2">
        <f t="shared" si="1"/>
        <v>8.4498000000000004E-2</v>
      </c>
      <c r="N21" s="2">
        <f t="shared" si="1"/>
        <v>2.4297999999999997E-2</v>
      </c>
      <c r="O21" s="2">
        <f t="shared" si="1"/>
        <v>1.9979999999999998E-3</v>
      </c>
    </row>
    <row r="22" spans="1:15" x14ac:dyDescent="0.2">
      <c r="A22" t="s">
        <v>28</v>
      </c>
      <c r="B22">
        <v>-0.16881399999999999</v>
      </c>
      <c r="C22">
        <v>-0.188614</v>
      </c>
      <c r="D22">
        <v>-1.5713999999999999E-2</v>
      </c>
      <c r="E22">
        <v>-0.116214</v>
      </c>
      <c r="F22">
        <v>-7.9413999999999998E-2</v>
      </c>
      <c r="G22">
        <v>-0.138214</v>
      </c>
      <c r="H22">
        <v>-0.111414</v>
      </c>
      <c r="I22" s="2">
        <f t="shared" si="1"/>
        <v>-0.17031399999999999</v>
      </c>
      <c r="J22" s="2">
        <f t="shared" si="1"/>
        <v>-0.19011400000000001</v>
      </c>
      <c r="K22" s="2">
        <f t="shared" si="1"/>
        <v>-1.7214E-2</v>
      </c>
      <c r="L22" s="2">
        <f t="shared" si="1"/>
        <v>-0.117714</v>
      </c>
      <c r="M22" s="2">
        <f t="shared" si="1"/>
        <v>-8.0914E-2</v>
      </c>
      <c r="N22" s="2">
        <f t="shared" si="1"/>
        <v>-0.139714</v>
      </c>
      <c r="O22" s="2">
        <f t="shared" si="1"/>
        <v>-0.112914</v>
      </c>
    </row>
    <row r="23" spans="1:15" x14ac:dyDescent="0.2">
      <c r="A23" t="s">
        <v>29</v>
      </c>
      <c r="B23">
        <v>-0.127834</v>
      </c>
      <c r="C23">
        <v>-0.146534</v>
      </c>
      <c r="D23">
        <v>8.4465999999999999E-2</v>
      </c>
      <c r="E23">
        <v>0.39116600000000001</v>
      </c>
      <c r="F23">
        <v>8.6165999999999993E-2</v>
      </c>
      <c r="G23">
        <v>1.8965999999999997E-2</v>
      </c>
      <c r="H23">
        <v>8.5066000000000003E-2</v>
      </c>
      <c r="I23" s="2">
        <f t="shared" si="1"/>
        <v>-0.129334</v>
      </c>
      <c r="J23" s="2">
        <f t="shared" si="1"/>
        <v>-0.148034</v>
      </c>
      <c r="K23" s="2">
        <f t="shared" si="1"/>
        <v>8.2965999999999998E-2</v>
      </c>
      <c r="L23" s="2">
        <f t="shared" si="1"/>
        <v>0.38966600000000001</v>
      </c>
      <c r="M23" s="2">
        <f t="shared" si="1"/>
        <v>8.4665999999999991E-2</v>
      </c>
      <c r="N23" s="2">
        <f t="shared" si="1"/>
        <v>1.7465999999999995E-2</v>
      </c>
      <c r="O23" s="2">
        <f t="shared" si="1"/>
        <v>8.3566000000000001E-2</v>
      </c>
    </row>
    <row r="24" spans="1:15" x14ac:dyDescent="0.2">
      <c r="A24" t="s">
        <v>30</v>
      </c>
      <c r="B24">
        <v>0.34403400000000001</v>
      </c>
      <c r="C24">
        <v>0.210534</v>
      </c>
      <c r="D24">
        <v>6.8234000000000003E-2</v>
      </c>
      <c r="E24">
        <v>0.107934</v>
      </c>
      <c r="F24">
        <v>5.3339999999999993E-3</v>
      </c>
      <c r="G24">
        <v>0.15573400000000001</v>
      </c>
      <c r="H24">
        <v>5.5933999999999998E-2</v>
      </c>
      <c r="I24" s="2">
        <f t="shared" si="1"/>
        <v>0.34253400000000001</v>
      </c>
      <c r="J24" s="2">
        <f t="shared" si="1"/>
        <v>0.209034</v>
      </c>
      <c r="K24" s="2">
        <f t="shared" si="1"/>
        <v>6.6734000000000002E-2</v>
      </c>
      <c r="L24" s="2">
        <f t="shared" si="1"/>
        <v>0.106434</v>
      </c>
      <c r="M24" s="2">
        <f t="shared" si="1"/>
        <v>3.8339999999999993E-3</v>
      </c>
      <c r="N24" s="2">
        <f t="shared" si="1"/>
        <v>0.15423400000000001</v>
      </c>
      <c r="O24" s="2">
        <f t="shared" si="1"/>
        <v>5.4433999999999996E-2</v>
      </c>
    </row>
    <row r="25" spans="1:15" x14ac:dyDescent="0.2">
      <c r="A25" t="s">
        <v>31</v>
      </c>
      <c r="B25">
        <v>-0.18387899999999999</v>
      </c>
      <c r="C25">
        <v>-7.2578999999999991E-2</v>
      </c>
      <c r="D25">
        <v>-6.3379000000000005E-2</v>
      </c>
      <c r="E25">
        <v>-7.5778999999999999E-2</v>
      </c>
      <c r="F25">
        <v>-6.2578999999999996E-2</v>
      </c>
      <c r="G25">
        <v>-0.13847899999999999</v>
      </c>
      <c r="H25">
        <v>-6.1379000000000003E-2</v>
      </c>
      <c r="I25" s="2">
        <f t="shared" si="1"/>
        <v>-0.18537899999999999</v>
      </c>
      <c r="J25" s="2">
        <f t="shared" si="1"/>
        <v>-7.4078999999999992E-2</v>
      </c>
      <c r="K25" s="2">
        <f t="shared" si="1"/>
        <v>-6.4879000000000006E-2</v>
      </c>
      <c r="L25" s="2">
        <f t="shared" si="1"/>
        <v>-7.7279E-2</v>
      </c>
      <c r="M25" s="2">
        <f t="shared" si="1"/>
        <v>-6.4078999999999997E-2</v>
      </c>
      <c r="N25" s="2">
        <f t="shared" si="1"/>
        <v>-0.13997899999999999</v>
      </c>
      <c r="O25" s="2">
        <f t="shared" si="1"/>
        <v>-6.2879000000000004E-2</v>
      </c>
    </row>
    <row r="26" spans="1:15" x14ac:dyDescent="0.2">
      <c r="A26" t="s">
        <v>32</v>
      </c>
      <c r="B26">
        <v>-1.0934000000000001E-2</v>
      </c>
      <c r="C26">
        <v>-1.5334E-2</v>
      </c>
      <c r="D26">
        <v>-0.254834</v>
      </c>
      <c r="E26">
        <v>-3.7339999999999999E-3</v>
      </c>
      <c r="F26">
        <v>-5.4633999999999995E-2</v>
      </c>
      <c r="G26">
        <v>-6.0634E-2</v>
      </c>
      <c r="H26">
        <v>-2.8334000000000002E-2</v>
      </c>
      <c r="I26" s="2">
        <f t="shared" si="1"/>
        <v>-1.2434000000000001E-2</v>
      </c>
      <c r="J26" s="2">
        <f t="shared" si="1"/>
        <v>-1.6834000000000002E-2</v>
      </c>
      <c r="K26" s="2">
        <f t="shared" si="1"/>
        <v>-0.25633400000000001</v>
      </c>
      <c r="L26" s="2">
        <f t="shared" si="1"/>
        <v>-5.2339999999999999E-3</v>
      </c>
      <c r="M26" s="2">
        <f t="shared" si="1"/>
        <v>-5.6133999999999996E-2</v>
      </c>
      <c r="N26" s="2">
        <f t="shared" si="1"/>
        <v>-6.2134000000000002E-2</v>
      </c>
      <c r="O26" s="2">
        <f t="shared" si="1"/>
        <v>-2.9834000000000003E-2</v>
      </c>
    </row>
    <row r="27" spans="1:15" x14ac:dyDescent="0.2">
      <c r="A27" t="s">
        <v>33</v>
      </c>
      <c r="B27">
        <v>-8.7570999999999996E-2</v>
      </c>
      <c r="C27">
        <v>-5.7671E-2</v>
      </c>
      <c r="D27">
        <v>-4.9170999999999999E-2</v>
      </c>
      <c r="E27">
        <v>-9.7570999999999991E-2</v>
      </c>
      <c r="F27">
        <v>4.529E-3</v>
      </c>
      <c r="G27">
        <v>1.6929E-2</v>
      </c>
      <c r="H27">
        <v>-1.7871000000000001E-2</v>
      </c>
      <c r="I27" s="2">
        <f t="shared" si="1"/>
        <v>-8.9070999999999997E-2</v>
      </c>
      <c r="J27" s="2">
        <f t="shared" si="1"/>
        <v>-5.9171000000000001E-2</v>
      </c>
      <c r="K27" s="2">
        <f t="shared" si="1"/>
        <v>-5.0671000000000001E-2</v>
      </c>
      <c r="L27" s="2">
        <f t="shared" si="1"/>
        <v>-9.9070999999999992E-2</v>
      </c>
      <c r="M27" s="2">
        <f t="shared" si="1"/>
        <v>3.029E-3</v>
      </c>
      <c r="N27" s="2">
        <f t="shared" si="1"/>
        <v>1.5429E-2</v>
      </c>
      <c r="O27" s="2">
        <f t="shared" si="1"/>
        <v>-1.9371000000000003E-2</v>
      </c>
    </row>
    <row r="28" spans="1:15" x14ac:dyDescent="0.2">
      <c r="A28" t="s">
        <v>34</v>
      </c>
      <c r="B28">
        <v>-9.7220000000000001E-2</v>
      </c>
      <c r="C28">
        <v>-5.4200000000000003E-3</v>
      </c>
      <c r="D28">
        <v>-0.11752000000000001</v>
      </c>
      <c r="E28">
        <v>2.128E-2</v>
      </c>
      <c r="F28">
        <v>8.338000000000001E-2</v>
      </c>
      <c r="G28">
        <v>2.0279999999999999E-2</v>
      </c>
      <c r="H28">
        <v>7.3799999999999994E-3</v>
      </c>
      <c r="I28" s="2">
        <f t="shared" si="1"/>
        <v>-9.8720000000000002E-2</v>
      </c>
      <c r="J28" s="2">
        <f t="shared" si="1"/>
        <v>-6.9200000000000008E-3</v>
      </c>
      <c r="K28" s="2">
        <f t="shared" si="1"/>
        <v>-0.11902000000000001</v>
      </c>
      <c r="L28" s="2">
        <f t="shared" si="1"/>
        <v>1.9779999999999999E-2</v>
      </c>
      <c r="M28" s="2">
        <f t="shared" si="1"/>
        <v>8.1880000000000008E-2</v>
      </c>
      <c r="N28" s="2">
        <f t="shared" si="1"/>
        <v>1.8779999999999998E-2</v>
      </c>
      <c r="O28" s="2">
        <f t="shared" si="1"/>
        <v>5.8799999999999998E-3</v>
      </c>
    </row>
    <row r="29" spans="1:15" x14ac:dyDescent="0.2">
      <c r="A29" t="s">
        <v>35</v>
      </c>
      <c r="B29">
        <v>0.38206099999999998</v>
      </c>
      <c r="C29">
        <v>7.1361000000000008E-2</v>
      </c>
      <c r="D29">
        <v>5.1560999999999996E-2</v>
      </c>
      <c r="E29">
        <v>6.8261000000000002E-2</v>
      </c>
      <c r="F29">
        <v>8.1561000000000008E-2</v>
      </c>
      <c r="G29">
        <v>0.141961</v>
      </c>
      <c r="H29">
        <v>8.0061000000000007E-2</v>
      </c>
      <c r="I29" s="2">
        <f t="shared" si="1"/>
        <v>0.38056099999999998</v>
      </c>
      <c r="J29" s="2">
        <f t="shared" si="1"/>
        <v>6.9861000000000006E-2</v>
      </c>
      <c r="K29" s="2">
        <f t="shared" si="1"/>
        <v>5.0060999999999994E-2</v>
      </c>
      <c r="L29" s="2">
        <f t="shared" si="1"/>
        <v>6.6761000000000001E-2</v>
      </c>
      <c r="M29" s="2">
        <f t="shared" si="1"/>
        <v>8.0061000000000007E-2</v>
      </c>
      <c r="N29" s="2">
        <f t="shared" si="1"/>
        <v>0.140461</v>
      </c>
      <c r="O29" s="2">
        <f t="shared" si="1"/>
        <v>7.8561000000000006E-2</v>
      </c>
    </row>
    <row r="30" spans="1:15" x14ac:dyDescent="0.2">
      <c r="A30" t="s">
        <v>36</v>
      </c>
      <c r="B30">
        <v>1.8497E-2</v>
      </c>
      <c r="C30">
        <v>-7.2030000000000002E-3</v>
      </c>
      <c r="D30">
        <v>0.14219700000000002</v>
      </c>
      <c r="E30">
        <v>1.1697000000000001E-2</v>
      </c>
      <c r="F30">
        <v>-6.6803000000000001E-2</v>
      </c>
      <c r="G30">
        <v>9.6396999999999997E-2</v>
      </c>
      <c r="H30">
        <v>4.9997E-2</v>
      </c>
      <c r="I30" s="2">
        <f t="shared" si="1"/>
        <v>1.6996999999999998E-2</v>
      </c>
      <c r="J30" s="2">
        <f t="shared" si="1"/>
        <v>-8.7030000000000007E-3</v>
      </c>
      <c r="K30" s="2">
        <f t="shared" si="1"/>
        <v>0.14069700000000002</v>
      </c>
      <c r="L30" s="2">
        <f t="shared" si="1"/>
        <v>1.0197000000000001E-2</v>
      </c>
      <c r="M30" s="2">
        <f t="shared" si="1"/>
        <v>-6.8303000000000003E-2</v>
      </c>
      <c r="N30" s="2">
        <f t="shared" si="1"/>
        <v>9.4896999999999995E-2</v>
      </c>
      <c r="O30" s="2">
        <f t="shared" si="1"/>
        <v>4.8496999999999998E-2</v>
      </c>
    </row>
    <row r="31" spans="1:15" x14ac:dyDescent="0.2">
      <c r="A31" t="s">
        <v>37</v>
      </c>
      <c r="B31">
        <v>4.5716E-2</v>
      </c>
      <c r="C31">
        <v>1.8016000000000001E-2</v>
      </c>
      <c r="D31">
        <v>-3.8839999999999999E-3</v>
      </c>
      <c r="E31">
        <v>4.1315999999999999E-2</v>
      </c>
      <c r="F31">
        <v>2.0816000000000001E-2</v>
      </c>
      <c r="G31">
        <v>3.2016000000000003E-2</v>
      </c>
      <c r="H31">
        <v>1.0315999999999999E-2</v>
      </c>
      <c r="I31" s="2">
        <f t="shared" si="1"/>
        <v>4.4215999999999998E-2</v>
      </c>
      <c r="J31" s="2">
        <f t="shared" si="1"/>
        <v>1.6515999999999999E-2</v>
      </c>
      <c r="K31" s="2">
        <f t="shared" si="1"/>
        <v>-5.3839999999999999E-3</v>
      </c>
      <c r="L31" s="2">
        <f t="shared" si="1"/>
        <v>3.9815999999999997E-2</v>
      </c>
      <c r="M31" s="2">
        <f t="shared" si="1"/>
        <v>1.9316E-2</v>
      </c>
      <c r="N31" s="2">
        <f t="shared" si="1"/>
        <v>3.0516000000000001E-2</v>
      </c>
      <c r="O31" s="2">
        <f t="shared" si="1"/>
        <v>8.8159999999999992E-3</v>
      </c>
    </row>
    <row r="32" spans="1:15" x14ac:dyDescent="0.2">
      <c r="A32" t="s">
        <v>38</v>
      </c>
      <c r="B32">
        <v>1.5126000000000002E-2</v>
      </c>
      <c r="C32">
        <v>3.9025999999999998E-2</v>
      </c>
      <c r="D32">
        <v>0.10372600000000001</v>
      </c>
      <c r="E32">
        <v>-0.104874</v>
      </c>
      <c r="F32">
        <v>4.1026E-2</v>
      </c>
      <c r="G32">
        <v>1.2026E-2</v>
      </c>
      <c r="H32">
        <v>1.5526E-2</v>
      </c>
      <c r="I32" s="2">
        <f t="shared" si="1"/>
        <v>1.3626000000000003E-2</v>
      </c>
      <c r="J32" s="2">
        <f t="shared" si="1"/>
        <v>3.7525999999999997E-2</v>
      </c>
      <c r="K32" s="2">
        <f t="shared" si="1"/>
        <v>0.10222600000000001</v>
      </c>
      <c r="L32" s="2">
        <f t="shared" si="1"/>
        <v>-0.106374</v>
      </c>
      <c r="M32" s="2">
        <f t="shared" si="1"/>
        <v>3.9525999999999999E-2</v>
      </c>
      <c r="N32" s="2">
        <f t="shared" si="1"/>
        <v>1.0526000000000001E-2</v>
      </c>
      <c r="O32" s="2">
        <f t="shared" si="1"/>
        <v>1.4026E-2</v>
      </c>
    </row>
    <row r="33" spans="1:15" x14ac:dyDescent="0.2">
      <c r="A33" t="s">
        <v>39</v>
      </c>
      <c r="B33">
        <v>4.4510999999999995E-2</v>
      </c>
      <c r="C33">
        <v>0.112111</v>
      </c>
      <c r="D33">
        <v>4.8210999999999997E-2</v>
      </c>
      <c r="E33">
        <v>8.4110000000000001E-3</v>
      </c>
      <c r="F33">
        <v>5.7610999999999996E-2</v>
      </c>
      <c r="G33">
        <v>6.0711000000000001E-2</v>
      </c>
      <c r="H33">
        <v>1.7211000000000001E-2</v>
      </c>
      <c r="I33" s="2">
        <f t="shared" si="1"/>
        <v>4.3010999999999994E-2</v>
      </c>
      <c r="J33" s="2">
        <f t="shared" si="1"/>
        <v>0.110611</v>
      </c>
      <c r="K33" s="2">
        <f t="shared" si="1"/>
        <v>4.6710999999999996E-2</v>
      </c>
      <c r="L33" s="2">
        <f t="shared" si="1"/>
        <v>6.9110000000000005E-3</v>
      </c>
      <c r="M33" s="2">
        <f t="shared" si="1"/>
        <v>5.6110999999999994E-2</v>
      </c>
      <c r="N33" s="2">
        <f t="shared" si="1"/>
        <v>5.9211E-2</v>
      </c>
      <c r="O33" s="2">
        <f t="shared" si="1"/>
        <v>1.5710999999999999E-2</v>
      </c>
    </row>
    <row r="34" spans="1:15" x14ac:dyDescent="0.2">
      <c r="A34" t="s">
        <v>40</v>
      </c>
      <c r="B34">
        <v>-6.9165000000000004E-2</v>
      </c>
      <c r="C34">
        <v>-4.9650000000000007E-3</v>
      </c>
      <c r="D34">
        <v>-2.4265000000000002E-2</v>
      </c>
      <c r="E34">
        <v>-8.2365000000000008E-2</v>
      </c>
      <c r="F34">
        <v>-5.6964999999999995E-2</v>
      </c>
      <c r="G34">
        <v>-7.4065000000000006E-2</v>
      </c>
      <c r="H34">
        <v>-1.2765E-2</v>
      </c>
      <c r="I34" s="2">
        <f t="shared" si="1"/>
        <v>-7.0665000000000006E-2</v>
      </c>
      <c r="J34" s="2">
        <f t="shared" si="1"/>
        <v>-6.4650000000000003E-3</v>
      </c>
      <c r="K34" s="2">
        <f t="shared" si="1"/>
        <v>-2.5765000000000003E-2</v>
      </c>
      <c r="L34" s="2">
        <f t="shared" si="1"/>
        <v>-8.3865000000000009E-2</v>
      </c>
      <c r="M34" s="2">
        <f t="shared" si="1"/>
        <v>-5.8464999999999996E-2</v>
      </c>
      <c r="N34" s="2">
        <f t="shared" si="1"/>
        <v>-7.5565000000000007E-2</v>
      </c>
      <c r="O34" s="2">
        <f t="shared" si="1"/>
        <v>-1.4265E-2</v>
      </c>
    </row>
    <row r="35" spans="1:15" x14ac:dyDescent="0.2">
      <c r="A35" t="s">
        <v>41</v>
      </c>
      <c r="B35">
        <v>0.1346</v>
      </c>
      <c r="C35">
        <v>4.1800000000000004E-2</v>
      </c>
      <c r="D35">
        <v>-0.1381</v>
      </c>
      <c r="E35">
        <v>4.7300000000000002E-2</v>
      </c>
      <c r="F35">
        <v>5.6500000000000002E-2</v>
      </c>
      <c r="G35">
        <v>5.5399999999999998E-2</v>
      </c>
      <c r="H35">
        <v>5.4300000000000001E-2</v>
      </c>
      <c r="I35" s="2">
        <f t="shared" si="1"/>
        <v>0.1331</v>
      </c>
      <c r="J35" s="2">
        <f t="shared" si="1"/>
        <v>4.0300000000000002E-2</v>
      </c>
      <c r="K35" s="2">
        <f t="shared" si="1"/>
        <v>-0.1396</v>
      </c>
      <c r="L35" s="2">
        <f t="shared" si="1"/>
        <v>4.58E-2</v>
      </c>
      <c r="M35" s="2">
        <f t="shared" si="1"/>
        <v>5.5E-2</v>
      </c>
      <c r="N35" s="2">
        <f t="shared" si="1"/>
        <v>5.3899999999999997E-2</v>
      </c>
      <c r="O35" s="2">
        <f t="shared" si="1"/>
        <v>5.28E-2</v>
      </c>
    </row>
    <row r="36" spans="1:15" x14ac:dyDescent="0.2">
      <c r="A36" t="s">
        <v>42</v>
      </c>
      <c r="B36">
        <v>8.7474999999999997E-2</v>
      </c>
      <c r="C36">
        <v>1.3775000000000001E-2</v>
      </c>
      <c r="D36">
        <v>6.5974999999999992E-2</v>
      </c>
      <c r="E36">
        <v>-2.3324999999999999E-2</v>
      </c>
      <c r="F36">
        <v>-5.6825000000000001E-2</v>
      </c>
      <c r="G36">
        <v>-2.4625000000000001E-2</v>
      </c>
      <c r="H36">
        <v>6.3750000000000005E-3</v>
      </c>
      <c r="I36" s="2">
        <f t="shared" si="1"/>
        <v>8.5974999999999996E-2</v>
      </c>
      <c r="J36" s="2">
        <f t="shared" si="1"/>
        <v>1.2275000000000001E-2</v>
      </c>
      <c r="K36" s="2">
        <f t="shared" si="1"/>
        <v>6.4474999999999991E-2</v>
      </c>
      <c r="L36" s="2">
        <f t="shared" si="1"/>
        <v>-2.4825E-2</v>
      </c>
      <c r="M36" s="2">
        <f t="shared" si="1"/>
        <v>-5.8325000000000002E-2</v>
      </c>
      <c r="N36" s="2">
        <f t="shared" si="1"/>
        <v>-2.6125000000000002E-2</v>
      </c>
      <c r="O36" s="2">
        <f t="shared" si="1"/>
        <v>4.8750000000000009E-3</v>
      </c>
    </row>
    <row r="37" spans="1:15" x14ac:dyDescent="0.2">
      <c r="A37" t="s">
        <v>43</v>
      </c>
      <c r="B37">
        <v>0.21126900000000001</v>
      </c>
      <c r="C37">
        <v>0.24736900000000001</v>
      </c>
      <c r="D37">
        <v>3.5069000000000003E-2</v>
      </c>
      <c r="E37">
        <v>6.7368999999999998E-2</v>
      </c>
      <c r="F37">
        <v>-4.5731000000000001E-2</v>
      </c>
      <c r="G37">
        <v>-9.1310000000000002E-3</v>
      </c>
      <c r="H37">
        <v>4.9969E-2</v>
      </c>
      <c r="I37" s="2">
        <f t="shared" si="1"/>
        <v>0.20976900000000001</v>
      </c>
      <c r="J37" s="2">
        <f t="shared" si="1"/>
        <v>0.245869</v>
      </c>
      <c r="K37" s="2">
        <f t="shared" si="1"/>
        <v>3.3569000000000002E-2</v>
      </c>
      <c r="L37" s="2">
        <f t="shared" si="1"/>
        <v>6.5868999999999997E-2</v>
      </c>
      <c r="M37" s="2">
        <f t="shared" si="1"/>
        <v>-4.7231000000000002E-2</v>
      </c>
      <c r="N37" s="2">
        <f t="shared" si="1"/>
        <v>-1.0631E-2</v>
      </c>
      <c r="O37" s="2">
        <f t="shared" si="1"/>
        <v>4.8468999999999998E-2</v>
      </c>
    </row>
    <row r="38" spans="1:15" x14ac:dyDescent="0.2">
      <c r="A38" t="s">
        <v>44</v>
      </c>
      <c r="B38">
        <v>-8.6096000000000006E-2</v>
      </c>
      <c r="C38">
        <v>-7.0396E-2</v>
      </c>
      <c r="D38">
        <v>-4.2096000000000001E-2</v>
      </c>
      <c r="E38">
        <v>6.1103999999999999E-2</v>
      </c>
      <c r="F38">
        <v>1.4404E-2</v>
      </c>
      <c r="G38">
        <v>-1.2196E-2</v>
      </c>
      <c r="H38">
        <v>1.6604000000000001E-2</v>
      </c>
      <c r="I38" s="2">
        <f t="shared" si="1"/>
        <v>-8.7596000000000007E-2</v>
      </c>
      <c r="J38" s="2">
        <f t="shared" si="1"/>
        <v>-7.1896000000000002E-2</v>
      </c>
      <c r="K38" s="2">
        <f t="shared" si="1"/>
        <v>-4.3596000000000003E-2</v>
      </c>
      <c r="L38" s="2">
        <f t="shared" si="1"/>
        <v>5.9603999999999997E-2</v>
      </c>
      <c r="M38" s="2">
        <f t="shared" si="1"/>
        <v>1.2904000000000001E-2</v>
      </c>
      <c r="N38" s="2">
        <f t="shared" si="1"/>
        <v>-1.3696E-2</v>
      </c>
      <c r="O38" s="2">
        <f t="shared" si="1"/>
        <v>1.5104000000000001E-2</v>
      </c>
    </row>
    <row r="39" spans="1:15" x14ac:dyDescent="0.2">
      <c r="A39" t="s">
        <v>45</v>
      </c>
      <c r="B39">
        <v>-5.4923E-2</v>
      </c>
      <c r="C39">
        <v>-2.2322999999999999E-2</v>
      </c>
      <c r="D39">
        <v>2.8677000000000001E-2</v>
      </c>
      <c r="E39">
        <v>3.9276999999999999E-2</v>
      </c>
      <c r="F39">
        <v>0.105377</v>
      </c>
      <c r="G39">
        <v>0.15937699999999999</v>
      </c>
      <c r="H39">
        <v>1.1577E-2</v>
      </c>
      <c r="I39" s="2">
        <f t="shared" si="1"/>
        <v>-5.6423000000000001E-2</v>
      </c>
      <c r="J39" s="2">
        <f t="shared" si="1"/>
        <v>-2.3823E-2</v>
      </c>
      <c r="K39" s="2">
        <f t="shared" si="1"/>
        <v>2.7177E-2</v>
      </c>
      <c r="L39" s="2">
        <f t="shared" si="1"/>
        <v>3.7776999999999998E-2</v>
      </c>
      <c r="M39" s="2">
        <f t="shared" si="1"/>
        <v>0.103877</v>
      </c>
      <c r="N39" s="2">
        <f t="shared" si="1"/>
        <v>0.15787699999999999</v>
      </c>
      <c r="O39" s="2">
        <f t="shared" si="1"/>
        <v>1.0077000000000001E-2</v>
      </c>
    </row>
    <row r="40" spans="1:15" x14ac:dyDescent="0.2">
      <c r="A40" t="s">
        <v>46</v>
      </c>
      <c r="B40">
        <v>-1.3944E-2</v>
      </c>
      <c r="C40">
        <v>-2.2044000000000001E-2</v>
      </c>
      <c r="D40">
        <v>-1.2143999999999999E-2</v>
      </c>
      <c r="E40">
        <v>-4.7543999999999996E-2</v>
      </c>
      <c r="F40">
        <v>3.5560000000000001E-3</v>
      </c>
      <c r="G40">
        <v>2.3755999999999999E-2</v>
      </c>
      <c r="H40">
        <v>-1.7244000000000002E-2</v>
      </c>
      <c r="I40" s="2">
        <f t="shared" si="1"/>
        <v>-1.5443999999999999E-2</v>
      </c>
      <c r="J40" s="2">
        <f t="shared" si="1"/>
        <v>-2.3544000000000002E-2</v>
      </c>
      <c r="K40" s="2">
        <f t="shared" si="1"/>
        <v>-1.3643999999999998E-2</v>
      </c>
      <c r="L40" s="2">
        <f t="shared" si="1"/>
        <v>-4.9043999999999997E-2</v>
      </c>
      <c r="M40" s="2">
        <f t="shared" si="1"/>
        <v>2.0560000000000001E-3</v>
      </c>
      <c r="N40" s="2">
        <f t="shared" si="1"/>
        <v>2.2255999999999998E-2</v>
      </c>
      <c r="O40" s="2">
        <f t="shared" si="1"/>
        <v>-1.8744000000000004E-2</v>
      </c>
    </row>
    <row r="41" spans="1:15" x14ac:dyDescent="0.2">
      <c r="A41" t="s">
        <v>47</v>
      </c>
      <c r="B41">
        <v>0.138405</v>
      </c>
      <c r="C41">
        <v>6.0049999999999999E-3</v>
      </c>
      <c r="D41">
        <v>-0.12449500000000001</v>
      </c>
      <c r="E41">
        <v>4.2605000000000004E-2</v>
      </c>
      <c r="F41">
        <v>-4.5894999999999998E-2</v>
      </c>
      <c r="G41">
        <v>-3.7894999999999998E-2</v>
      </c>
      <c r="H41">
        <v>-1.7595E-2</v>
      </c>
      <c r="I41" s="2">
        <f t="shared" si="1"/>
        <v>0.136905</v>
      </c>
      <c r="J41" s="2">
        <f t="shared" si="1"/>
        <v>4.5050000000000003E-3</v>
      </c>
      <c r="K41" s="2">
        <f t="shared" si="1"/>
        <v>-0.125995</v>
      </c>
      <c r="L41" s="2">
        <f t="shared" si="1"/>
        <v>4.1105000000000003E-2</v>
      </c>
      <c r="M41" s="2">
        <f t="shared" si="1"/>
        <v>-4.7395E-2</v>
      </c>
      <c r="N41" s="2">
        <f t="shared" si="1"/>
        <v>-3.9394999999999999E-2</v>
      </c>
      <c r="O41" s="2">
        <f t="shared" si="1"/>
        <v>-1.9095000000000001E-2</v>
      </c>
    </row>
    <row r="42" spans="1:15" x14ac:dyDescent="0.2">
      <c r="A42" t="s">
        <v>48</v>
      </c>
      <c r="B42">
        <v>-3.3803E-2</v>
      </c>
      <c r="C42">
        <v>-3.2603E-2</v>
      </c>
      <c r="D42">
        <v>-3.3803E-2</v>
      </c>
      <c r="E42">
        <v>-8.4303000000000003E-2</v>
      </c>
      <c r="F42">
        <v>-2.0603E-2</v>
      </c>
      <c r="G42">
        <v>3.1697000000000003E-2</v>
      </c>
      <c r="H42">
        <v>1.1497E-2</v>
      </c>
      <c r="I42" s="2">
        <f t="shared" si="1"/>
        <v>-3.5303000000000001E-2</v>
      </c>
      <c r="J42" s="2">
        <f t="shared" si="1"/>
        <v>-3.4103000000000001E-2</v>
      </c>
      <c r="K42" s="2">
        <f t="shared" si="1"/>
        <v>-3.5303000000000001E-2</v>
      </c>
      <c r="L42" s="2">
        <f t="shared" si="1"/>
        <v>-8.5803000000000004E-2</v>
      </c>
      <c r="M42" s="2">
        <f t="shared" si="1"/>
        <v>-2.2103000000000001E-2</v>
      </c>
      <c r="N42" s="2">
        <f t="shared" si="1"/>
        <v>3.0197000000000002E-2</v>
      </c>
      <c r="O42" s="2">
        <f t="shared" si="1"/>
        <v>9.9970000000000007E-3</v>
      </c>
    </row>
    <row r="43" spans="1:15" x14ac:dyDescent="0.2">
      <c r="A43" t="s">
        <v>49</v>
      </c>
      <c r="B43">
        <v>5.3083000000000005E-2</v>
      </c>
      <c r="C43">
        <v>2.5583000000000002E-2</v>
      </c>
      <c r="D43">
        <v>-0.103917</v>
      </c>
      <c r="E43">
        <v>4.5783000000000004E-2</v>
      </c>
      <c r="F43">
        <v>-5.4116999999999998E-2</v>
      </c>
      <c r="G43">
        <v>-5.0716999999999998E-2</v>
      </c>
      <c r="H43">
        <v>1.7182999999999997E-2</v>
      </c>
      <c r="I43" s="2">
        <f t="shared" si="1"/>
        <v>5.1583000000000004E-2</v>
      </c>
      <c r="J43" s="2">
        <f t="shared" si="1"/>
        <v>2.4083E-2</v>
      </c>
      <c r="K43" s="2">
        <f t="shared" si="1"/>
        <v>-0.105417</v>
      </c>
      <c r="L43" s="2">
        <f t="shared" si="1"/>
        <v>4.4283000000000003E-2</v>
      </c>
      <c r="M43" s="2">
        <f t="shared" si="1"/>
        <v>-5.5617E-2</v>
      </c>
      <c r="N43" s="2">
        <f t="shared" si="1"/>
        <v>-5.2217E-2</v>
      </c>
      <c r="O43" s="2">
        <f t="shared" si="1"/>
        <v>1.5682999999999996E-2</v>
      </c>
    </row>
    <row r="44" spans="1:15" x14ac:dyDescent="0.2">
      <c r="A44" t="s">
        <v>50</v>
      </c>
      <c r="B44">
        <v>-5.4119E-2</v>
      </c>
      <c r="C44">
        <v>-7.4918999999999999E-2</v>
      </c>
      <c r="D44">
        <v>3.1180999999999997E-2</v>
      </c>
      <c r="E44">
        <v>7.5381000000000004E-2</v>
      </c>
      <c r="F44">
        <v>3.7810000000000001E-3</v>
      </c>
      <c r="G44">
        <v>2.5680999999999999E-2</v>
      </c>
      <c r="H44">
        <v>-3.5219E-2</v>
      </c>
      <c r="I44" s="2">
        <f t="shared" si="1"/>
        <v>-5.5619000000000002E-2</v>
      </c>
      <c r="J44" s="2">
        <f t="shared" si="1"/>
        <v>-7.6419000000000001E-2</v>
      </c>
      <c r="K44" s="2">
        <f t="shared" si="1"/>
        <v>2.9680999999999996E-2</v>
      </c>
      <c r="L44" s="2">
        <f t="shared" si="1"/>
        <v>7.3881000000000002E-2</v>
      </c>
      <c r="M44" s="2">
        <f t="shared" si="1"/>
        <v>2.281E-3</v>
      </c>
      <c r="N44" s="2">
        <f t="shared" si="1"/>
        <v>2.4180999999999998E-2</v>
      </c>
      <c r="O44" s="2">
        <f t="shared" si="1"/>
        <v>-3.6719000000000002E-2</v>
      </c>
    </row>
    <row r="45" spans="1:15" x14ac:dyDescent="0.2">
      <c r="A45" t="s">
        <v>51</v>
      </c>
      <c r="B45">
        <v>-4.2515999999999998E-2</v>
      </c>
      <c r="C45">
        <v>-3.2016000000000003E-2</v>
      </c>
      <c r="D45">
        <v>-2.2315999999999999E-2</v>
      </c>
      <c r="E45">
        <v>1.7284000000000001E-2</v>
      </c>
      <c r="F45">
        <v>-5.1159999999999999E-3</v>
      </c>
      <c r="G45">
        <v>2.3184E-2</v>
      </c>
      <c r="H45">
        <v>1.1839999999999999E-3</v>
      </c>
      <c r="I45" s="2">
        <f t="shared" si="1"/>
        <v>-4.4016E-2</v>
      </c>
      <c r="J45" s="2">
        <f t="shared" si="1"/>
        <v>-3.3516000000000004E-2</v>
      </c>
      <c r="K45" s="2">
        <f t="shared" si="1"/>
        <v>-2.3816E-2</v>
      </c>
      <c r="L45" s="2">
        <f t="shared" si="1"/>
        <v>1.5783999999999999E-2</v>
      </c>
      <c r="M45" s="2">
        <f t="shared" si="1"/>
        <v>-6.6160000000000004E-3</v>
      </c>
      <c r="N45" s="2">
        <f t="shared" si="1"/>
        <v>2.1683999999999998E-2</v>
      </c>
      <c r="O45" s="2">
        <f t="shared" si="1"/>
        <v>-3.1600000000000009E-4</v>
      </c>
    </row>
    <row r="46" spans="1:15" x14ac:dyDescent="0.2">
      <c r="A46" t="s">
        <v>52</v>
      </c>
      <c r="B46">
        <v>-5.4850000000000003E-3</v>
      </c>
      <c r="C46">
        <v>2.7115E-2</v>
      </c>
      <c r="D46">
        <v>-1.6285000000000001E-2</v>
      </c>
      <c r="E46">
        <v>2.1149999999999997E-3</v>
      </c>
      <c r="F46">
        <v>8.9149999999999993E-3</v>
      </c>
      <c r="G46">
        <v>1.3814999999999999E-2</v>
      </c>
      <c r="H46">
        <v>8.2150000000000001E-3</v>
      </c>
      <c r="I46" s="2">
        <f t="shared" si="1"/>
        <v>-6.9849999999999999E-3</v>
      </c>
      <c r="J46" s="2">
        <f t="shared" si="1"/>
        <v>2.5614999999999999E-2</v>
      </c>
      <c r="K46" s="2">
        <f t="shared" si="1"/>
        <v>-1.7785000000000002E-2</v>
      </c>
      <c r="L46" s="2">
        <f t="shared" si="1"/>
        <v>6.1499999999999966E-4</v>
      </c>
      <c r="M46" s="2">
        <f t="shared" si="1"/>
        <v>7.4149999999999997E-3</v>
      </c>
      <c r="N46" s="2">
        <f t="shared" si="1"/>
        <v>1.2315E-2</v>
      </c>
      <c r="O46" s="2">
        <f t="shared" si="1"/>
        <v>6.7150000000000005E-3</v>
      </c>
    </row>
    <row r="47" spans="1:15" x14ac:dyDescent="0.2">
      <c r="A47" t="s">
        <v>53</v>
      </c>
      <c r="B47">
        <v>-6.6729000000000011E-2</v>
      </c>
      <c r="C47">
        <v>-9.3629000000000004E-2</v>
      </c>
      <c r="D47">
        <v>0.19367100000000001</v>
      </c>
      <c r="E47">
        <v>9.7099999999999986E-4</v>
      </c>
      <c r="F47">
        <v>1.2371E-2</v>
      </c>
      <c r="G47">
        <v>0.10427099999999999</v>
      </c>
      <c r="H47">
        <v>1.2871E-2</v>
      </c>
      <c r="I47" s="2">
        <f t="shared" si="1"/>
        <v>-6.8229000000000012E-2</v>
      </c>
      <c r="J47" s="2">
        <f t="shared" si="1"/>
        <v>-9.5129000000000005E-2</v>
      </c>
      <c r="K47" s="2">
        <f t="shared" si="1"/>
        <v>0.19217100000000001</v>
      </c>
      <c r="L47" s="2">
        <f t="shared" si="1"/>
        <v>-5.2900000000000017E-4</v>
      </c>
      <c r="M47" s="2">
        <f t="shared" si="1"/>
        <v>1.0871E-2</v>
      </c>
      <c r="N47" s="2">
        <f t="shared" si="1"/>
        <v>0.10277099999999999</v>
      </c>
      <c r="O47" s="2">
        <f t="shared" si="1"/>
        <v>1.1371000000000001E-2</v>
      </c>
    </row>
    <row r="48" spans="1:15" x14ac:dyDescent="0.2">
      <c r="A48" t="s">
        <v>54</v>
      </c>
      <c r="B48">
        <v>8.6759000000000003E-2</v>
      </c>
      <c r="C48">
        <v>1.2159E-2</v>
      </c>
      <c r="D48">
        <v>6.8058999999999995E-2</v>
      </c>
      <c r="E48">
        <v>5.2958999999999999E-2</v>
      </c>
      <c r="F48">
        <v>-3.6041000000000004E-2</v>
      </c>
      <c r="G48">
        <v>2.4059000000000001E-2</v>
      </c>
      <c r="H48">
        <v>3.7059000000000002E-2</v>
      </c>
      <c r="I48" s="2">
        <f t="shared" si="1"/>
        <v>8.5259000000000001E-2</v>
      </c>
      <c r="J48" s="2">
        <f t="shared" si="1"/>
        <v>1.0659E-2</v>
      </c>
      <c r="K48" s="2">
        <f t="shared" si="1"/>
        <v>6.6558999999999993E-2</v>
      </c>
      <c r="L48" s="2">
        <f t="shared" si="1"/>
        <v>5.1458999999999998E-2</v>
      </c>
      <c r="M48" s="2">
        <f t="shared" si="1"/>
        <v>-3.7541000000000005E-2</v>
      </c>
      <c r="N48" s="2">
        <f t="shared" si="1"/>
        <v>2.2558999999999999E-2</v>
      </c>
      <c r="O48" s="2">
        <f t="shared" si="1"/>
        <v>3.5559E-2</v>
      </c>
    </row>
    <row r="49" spans="1:15" x14ac:dyDescent="0.2">
      <c r="A49" t="s">
        <v>55</v>
      </c>
      <c r="B49">
        <v>3.0727999999999998E-2</v>
      </c>
      <c r="C49">
        <v>3.6428000000000002E-2</v>
      </c>
      <c r="D49">
        <v>5.2628000000000001E-2</v>
      </c>
      <c r="E49">
        <v>-1.9172000000000002E-2</v>
      </c>
      <c r="F49">
        <v>1.5428000000000001E-2</v>
      </c>
      <c r="G49">
        <v>1.2227999999999999E-2</v>
      </c>
      <c r="H49">
        <v>3.0828000000000001E-2</v>
      </c>
      <c r="I49" s="2">
        <f t="shared" si="1"/>
        <v>2.9227999999999997E-2</v>
      </c>
      <c r="J49" s="2">
        <f t="shared" si="1"/>
        <v>3.4928000000000001E-2</v>
      </c>
      <c r="K49" s="2">
        <f t="shared" si="1"/>
        <v>5.1128E-2</v>
      </c>
      <c r="L49" s="2">
        <f t="shared" si="1"/>
        <v>-2.0672000000000003E-2</v>
      </c>
      <c r="M49" s="2">
        <f t="shared" si="1"/>
        <v>1.3928000000000001E-2</v>
      </c>
      <c r="N49" s="2">
        <f t="shared" si="1"/>
        <v>1.0728E-2</v>
      </c>
      <c r="O49" s="2">
        <f t="shared" si="1"/>
        <v>2.9328E-2</v>
      </c>
    </row>
    <row r="50" spans="1:15" x14ac:dyDescent="0.2">
      <c r="A50" t="s">
        <v>56</v>
      </c>
      <c r="B50">
        <v>-9.5361000000000001E-2</v>
      </c>
      <c r="C50">
        <v>-8.2761000000000001E-2</v>
      </c>
      <c r="D50">
        <v>5.1389999999999995E-3</v>
      </c>
      <c r="E50">
        <v>-0.114561</v>
      </c>
      <c r="F50">
        <v>-9.6609999999999994E-3</v>
      </c>
      <c r="G50">
        <v>-2.3961E-2</v>
      </c>
      <c r="H50">
        <v>-2.6960999999999999E-2</v>
      </c>
      <c r="I50" s="2">
        <f t="shared" si="1"/>
        <v>-9.6861000000000003E-2</v>
      </c>
      <c r="J50" s="2">
        <f t="shared" si="1"/>
        <v>-8.4261000000000003E-2</v>
      </c>
      <c r="K50" s="2">
        <f t="shared" si="1"/>
        <v>3.6389999999999994E-3</v>
      </c>
      <c r="L50" s="2">
        <f t="shared" si="1"/>
        <v>-0.116061</v>
      </c>
      <c r="M50" s="2">
        <f t="shared" si="1"/>
        <v>-1.1160999999999999E-2</v>
      </c>
      <c r="N50" s="2">
        <f t="shared" si="1"/>
        <v>-2.5461000000000001E-2</v>
      </c>
      <c r="O50" s="2">
        <f t="shared" si="1"/>
        <v>-2.8461E-2</v>
      </c>
    </row>
    <row r="51" spans="1:15" x14ac:dyDescent="0.2">
      <c r="A51" t="s">
        <v>57</v>
      </c>
      <c r="B51">
        <v>-4.1140999999999997E-2</v>
      </c>
      <c r="C51">
        <v>-1.9941E-2</v>
      </c>
      <c r="D51">
        <v>1.0859000000000001E-2</v>
      </c>
      <c r="E51">
        <v>9.0589999999999993E-3</v>
      </c>
      <c r="F51">
        <v>-1.6740999999999999E-2</v>
      </c>
      <c r="G51">
        <v>9.5899999999999978E-4</v>
      </c>
      <c r="H51">
        <v>1.7259E-2</v>
      </c>
      <c r="I51" s="2">
        <f t="shared" si="1"/>
        <v>-4.2640999999999998E-2</v>
      </c>
      <c r="J51" s="2">
        <f t="shared" si="1"/>
        <v>-2.1441000000000002E-2</v>
      </c>
      <c r="K51" s="2">
        <f t="shared" si="1"/>
        <v>9.359000000000001E-3</v>
      </c>
      <c r="L51" s="2">
        <f t="shared" si="1"/>
        <v>7.5589999999999997E-3</v>
      </c>
      <c r="M51" s="2">
        <f t="shared" si="1"/>
        <v>-1.8241E-2</v>
      </c>
      <c r="N51" s="2">
        <f t="shared" si="1"/>
        <v>-5.4100000000000025E-4</v>
      </c>
      <c r="O51" s="2">
        <f t="shared" si="1"/>
        <v>1.5758999999999999E-2</v>
      </c>
    </row>
    <row r="52" spans="1:15" x14ac:dyDescent="0.2">
      <c r="A52" t="s">
        <v>58</v>
      </c>
      <c r="B52">
        <v>-0.106423</v>
      </c>
      <c r="C52">
        <v>-0.17772300000000002</v>
      </c>
      <c r="D52">
        <v>-2.4722999999999998E-2</v>
      </c>
      <c r="E52">
        <v>-1.5223E-2</v>
      </c>
      <c r="F52">
        <v>-2.8323000000000001E-2</v>
      </c>
      <c r="G52">
        <v>-1.7822999999999999E-2</v>
      </c>
      <c r="H52">
        <v>-2.1222999999999999E-2</v>
      </c>
      <c r="I52" s="2">
        <f t="shared" si="1"/>
        <v>-0.10792300000000001</v>
      </c>
      <c r="J52" s="2">
        <f t="shared" si="1"/>
        <v>-0.17922300000000002</v>
      </c>
      <c r="K52" s="2">
        <f t="shared" ref="K52:O102" si="9">D52-$R$3</f>
        <v>-2.6223E-2</v>
      </c>
      <c r="L52" s="2">
        <f t="shared" si="9"/>
        <v>-1.6723000000000002E-2</v>
      </c>
      <c r="M52" s="2">
        <f t="shared" si="9"/>
        <v>-2.9823000000000002E-2</v>
      </c>
      <c r="N52" s="2">
        <f t="shared" si="9"/>
        <v>-1.9323E-2</v>
      </c>
      <c r="O52" s="2">
        <f t="shared" si="9"/>
        <v>-2.2723E-2</v>
      </c>
    </row>
    <row r="53" spans="1:15" x14ac:dyDescent="0.2">
      <c r="A53" t="s">
        <v>59</v>
      </c>
      <c r="B53">
        <v>-0.18917199999999998</v>
      </c>
      <c r="C53">
        <v>-9.4272000000000009E-2</v>
      </c>
      <c r="D53">
        <v>1.8227999999999998E-2</v>
      </c>
      <c r="E53">
        <v>1.7927999999999999E-2</v>
      </c>
      <c r="F53">
        <v>-6.1371999999999996E-2</v>
      </c>
      <c r="G53">
        <v>-7.4272000000000005E-2</v>
      </c>
      <c r="H53">
        <v>-2.2172000000000001E-2</v>
      </c>
      <c r="I53" s="2">
        <f t="shared" ref="I53:O116" si="10">B53-$R$3</f>
        <v>-0.19067199999999998</v>
      </c>
      <c r="J53" s="2">
        <f t="shared" si="10"/>
        <v>-9.577200000000001E-2</v>
      </c>
      <c r="K53" s="2">
        <f t="shared" si="9"/>
        <v>1.6727999999999996E-2</v>
      </c>
      <c r="L53" s="2">
        <f t="shared" si="9"/>
        <v>1.6427999999999998E-2</v>
      </c>
      <c r="M53" s="2">
        <f t="shared" si="9"/>
        <v>-6.2871999999999997E-2</v>
      </c>
      <c r="N53" s="2">
        <f t="shared" si="9"/>
        <v>-7.5772000000000006E-2</v>
      </c>
      <c r="O53" s="2">
        <f t="shared" si="9"/>
        <v>-2.3672000000000002E-2</v>
      </c>
    </row>
    <row r="54" spans="1:15" x14ac:dyDescent="0.2">
      <c r="A54" t="s">
        <v>60</v>
      </c>
      <c r="B54">
        <v>9.3105000000000007E-2</v>
      </c>
      <c r="C54">
        <v>0.19850499999999999</v>
      </c>
      <c r="D54">
        <v>-2.0195000000000001E-2</v>
      </c>
      <c r="E54">
        <v>-1.4095E-2</v>
      </c>
      <c r="F54">
        <v>2.7050000000000004E-3</v>
      </c>
      <c r="G54">
        <v>0.15650500000000001</v>
      </c>
      <c r="H54">
        <v>2.7604999999999998E-2</v>
      </c>
      <c r="I54" s="2">
        <f t="shared" si="10"/>
        <v>9.1605000000000006E-2</v>
      </c>
      <c r="J54" s="2">
        <f t="shared" si="10"/>
        <v>0.19700499999999999</v>
      </c>
      <c r="K54" s="2">
        <f t="shared" si="9"/>
        <v>-2.1695000000000002E-2</v>
      </c>
      <c r="L54" s="2">
        <f t="shared" si="9"/>
        <v>-1.5594999999999999E-2</v>
      </c>
      <c r="M54" s="2">
        <f t="shared" si="9"/>
        <v>1.2050000000000003E-3</v>
      </c>
      <c r="N54" s="2">
        <f t="shared" si="9"/>
        <v>0.155005</v>
      </c>
      <c r="O54" s="2">
        <f t="shared" si="9"/>
        <v>2.6104999999999996E-2</v>
      </c>
    </row>
    <row r="55" spans="1:15" x14ac:dyDescent="0.2">
      <c r="A55" t="s">
        <v>61</v>
      </c>
      <c r="B55">
        <v>2.3837000000000001E-2</v>
      </c>
      <c r="C55">
        <v>7.6036999999999993E-2</v>
      </c>
      <c r="D55">
        <v>1.1036999999999998E-2</v>
      </c>
      <c r="E55">
        <v>-2.5763000000000001E-2</v>
      </c>
      <c r="F55">
        <v>1.8237E-2</v>
      </c>
      <c r="G55">
        <v>1.0936999999999999E-2</v>
      </c>
      <c r="H55">
        <v>-2.3630000000000001E-3</v>
      </c>
      <c r="I55" s="2">
        <f t="shared" si="10"/>
        <v>2.2336999999999999E-2</v>
      </c>
      <c r="J55" s="2">
        <f t="shared" si="10"/>
        <v>7.4536999999999992E-2</v>
      </c>
      <c r="K55" s="2">
        <f t="shared" si="9"/>
        <v>9.5369999999999986E-3</v>
      </c>
      <c r="L55" s="2">
        <f t="shared" si="9"/>
        <v>-2.7263000000000003E-2</v>
      </c>
      <c r="M55" s="2">
        <f t="shared" si="9"/>
        <v>1.6736999999999998E-2</v>
      </c>
      <c r="N55" s="2">
        <f t="shared" si="9"/>
        <v>9.4369999999999992E-3</v>
      </c>
      <c r="O55" s="2">
        <f t="shared" si="9"/>
        <v>-3.8630000000000001E-3</v>
      </c>
    </row>
    <row r="56" spans="1:15" x14ac:dyDescent="0.2">
      <c r="A56" t="s">
        <v>62</v>
      </c>
      <c r="B56">
        <v>5.6216999999999996E-2</v>
      </c>
      <c r="C56">
        <v>8.0517000000000005E-2</v>
      </c>
      <c r="D56">
        <v>5.0616999999999995E-2</v>
      </c>
      <c r="E56">
        <v>1.6999999999999654E-5</v>
      </c>
      <c r="F56">
        <v>2.1517000000000001E-2</v>
      </c>
      <c r="G56">
        <v>7.7417E-2</v>
      </c>
      <c r="H56">
        <v>3.3616999999999994E-2</v>
      </c>
      <c r="I56" s="2">
        <f t="shared" si="10"/>
        <v>5.4716999999999995E-2</v>
      </c>
      <c r="J56" s="2">
        <f t="shared" si="10"/>
        <v>7.9017000000000004E-2</v>
      </c>
      <c r="K56" s="2">
        <f t="shared" si="9"/>
        <v>4.9116999999999994E-2</v>
      </c>
      <c r="L56" s="2">
        <f t="shared" si="9"/>
        <v>-1.4830000000000004E-3</v>
      </c>
      <c r="M56" s="2">
        <f t="shared" si="9"/>
        <v>2.0017E-2</v>
      </c>
      <c r="N56" s="2">
        <f t="shared" si="9"/>
        <v>7.5916999999999998E-2</v>
      </c>
      <c r="O56" s="2">
        <f t="shared" si="9"/>
        <v>3.2116999999999993E-2</v>
      </c>
    </row>
    <row r="57" spans="1:15" x14ac:dyDescent="0.2">
      <c r="A57" t="s">
        <v>63</v>
      </c>
      <c r="B57">
        <v>-7.4620000000000006E-2</v>
      </c>
      <c r="C57">
        <v>-6.1120000000000001E-2</v>
      </c>
      <c r="D57">
        <v>-9.0200000000000002E-3</v>
      </c>
      <c r="E57">
        <v>-4.7320000000000001E-2</v>
      </c>
      <c r="F57">
        <v>-8.9020000000000002E-2</v>
      </c>
      <c r="G57">
        <v>-8.6420000000000011E-2</v>
      </c>
      <c r="H57">
        <v>-1.4120000000000001E-2</v>
      </c>
      <c r="I57" s="2">
        <f t="shared" si="10"/>
        <v>-7.6120000000000007E-2</v>
      </c>
      <c r="J57" s="2">
        <f t="shared" si="10"/>
        <v>-6.2619999999999995E-2</v>
      </c>
      <c r="K57" s="2">
        <f t="shared" si="9"/>
        <v>-1.052E-2</v>
      </c>
      <c r="L57" s="2">
        <f t="shared" si="9"/>
        <v>-4.8820000000000002E-2</v>
      </c>
      <c r="M57" s="2">
        <f t="shared" si="9"/>
        <v>-9.0520000000000003E-2</v>
      </c>
      <c r="N57" s="2">
        <f t="shared" si="9"/>
        <v>-8.7920000000000012E-2</v>
      </c>
      <c r="O57" s="2">
        <f t="shared" si="9"/>
        <v>-1.562E-2</v>
      </c>
    </row>
    <row r="58" spans="1:15" x14ac:dyDescent="0.2">
      <c r="A58" t="s">
        <v>64</v>
      </c>
      <c r="B58">
        <v>-1.3847999999999999E-2</v>
      </c>
      <c r="C58">
        <v>-0.107548</v>
      </c>
      <c r="D58">
        <v>3.2520000000000001E-3</v>
      </c>
      <c r="E58">
        <v>-3.4480000000000001E-3</v>
      </c>
      <c r="F58">
        <v>-2.8247999999999999E-2</v>
      </c>
      <c r="G58">
        <v>-3.6748000000000003E-2</v>
      </c>
      <c r="H58">
        <v>4.052E-3</v>
      </c>
      <c r="I58" s="2">
        <f t="shared" si="10"/>
        <v>-1.5347999999999999E-2</v>
      </c>
      <c r="J58" s="2">
        <f t="shared" si="10"/>
        <v>-0.10904800000000001</v>
      </c>
      <c r="K58" s="2">
        <f t="shared" si="9"/>
        <v>1.7520000000000001E-3</v>
      </c>
      <c r="L58" s="2">
        <f t="shared" si="9"/>
        <v>-4.9480000000000001E-3</v>
      </c>
      <c r="M58" s="2">
        <f t="shared" si="9"/>
        <v>-2.9748E-2</v>
      </c>
      <c r="N58" s="2">
        <f t="shared" si="9"/>
        <v>-3.8248000000000004E-2</v>
      </c>
      <c r="O58" s="2">
        <f t="shared" si="9"/>
        <v>2.552E-3</v>
      </c>
    </row>
    <row r="59" spans="1:15" x14ac:dyDescent="0.2">
      <c r="A59" t="s">
        <v>65</v>
      </c>
      <c r="B59">
        <v>-0.148428</v>
      </c>
      <c r="C59">
        <v>-0.10762799999999999</v>
      </c>
      <c r="D59">
        <v>8.5719999999999998E-3</v>
      </c>
      <c r="E59">
        <v>-2.6428E-2</v>
      </c>
      <c r="F59">
        <v>7.687200000000001E-2</v>
      </c>
      <c r="G59">
        <v>6.9672000000000012E-2</v>
      </c>
      <c r="H59">
        <v>-2.0428000000000002E-2</v>
      </c>
      <c r="I59" s="2">
        <f t="shared" si="10"/>
        <v>-0.14992800000000001</v>
      </c>
      <c r="J59" s="2">
        <f t="shared" si="10"/>
        <v>-0.10912799999999999</v>
      </c>
      <c r="K59" s="2">
        <f t="shared" si="9"/>
        <v>7.0720000000000002E-3</v>
      </c>
      <c r="L59" s="2">
        <f t="shared" si="9"/>
        <v>-2.7928000000000001E-2</v>
      </c>
      <c r="M59" s="2">
        <f t="shared" si="9"/>
        <v>7.5372000000000008E-2</v>
      </c>
      <c r="N59" s="2">
        <f t="shared" si="9"/>
        <v>6.817200000000001E-2</v>
      </c>
      <c r="O59" s="2">
        <f t="shared" si="9"/>
        <v>-2.1928000000000003E-2</v>
      </c>
    </row>
    <row r="60" spans="1:15" x14ac:dyDescent="0.2">
      <c r="A60" t="s">
        <v>66</v>
      </c>
      <c r="B60">
        <v>-2.5845E-2</v>
      </c>
      <c r="C60">
        <v>-0.18834499999999998</v>
      </c>
      <c r="D60">
        <v>-0.116245</v>
      </c>
      <c r="E60">
        <v>1.1854999999999999E-2</v>
      </c>
      <c r="F60">
        <v>2.3355000000000001E-2</v>
      </c>
      <c r="G60">
        <v>-4.0445000000000002E-2</v>
      </c>
      <c r="H60">
        <v>3.2155000000000003E-2</v>
      </c>
      <c r="I60" s="2">
        <f t="shared" si="10"/>
        <v>-2.7345000000000001E-2</v>
      </c>
      <c r="J60" s="2">
        <f t="shared" si="10"/>
        <v>-0.18984499999999999</v>
      </c>
      <c r="K60" s="2">
        <f t="shared" si="9"/>
        <v>-0.117745</v>
      </c>
      <c r="L60" s="2">
        <f t="shared" si="9"/>
        <v>1.0355E-2</v>
      </c>
      <c r="M60" s="2">
        <f t="shared" si="9"/>
        <v>2.1854999999999999E-2</v>
      </c>
      <c r="N60" s="2">
        <f t="shared" si="9"/>
        <v>-4.1945000000000003E-2</v>
      </c>
      <c r="O60" s="2">
        <f t="shared" si="9"/>
        <v>3.0655000000000002E-2</v>
      </c>
    </row>
    <row r="61" spans="1:15" x14ac:dyDescent="0.2">
      <c r="A61" t="s">
        <v>67</v>
      </c>
      <c r="B61">
        <v>-5.3560000000000003E-2</v>
      </c>
      <c r="C61">
        <v>-0.11635999999999999</v>
      </c>
      <c r="D61">
        <v>-2.0059999999999998E-2</v>
      </c>
      <c r="E61">
        <v>-6.1360000000000005E-2</v>
      </c>
      <c r="F61">
        <v>-3.6460000000000006E-2</v>
      </c>
      <c r="G61">
        <v>2.4140000000000002E-2</v>
      </c>
      <c r="H61">
        <v>-4.1600000000000005E-3</v>
      </c>
      <c r="I61" s="2">
        <f t="shared" si="10"/>
        <v>-5.5060000000000005E-2</v>
      </c>
      <c r="J61" s="2">
        <f t="shared" si="10"/>
        <v>-0.11785999999999999</v>
      </c>
      <c r="K61" s="2">
        <f t="shared" si="9"/>
        <v>-2.1559999999999999E-2</v>
      </c>
      <c r="L61" s="2">
        <f t="shared" si="9"/>
        <v>-6.2859999999999999E-2</v>
      </c>
      <c r="M61" s="2">
        <f t="shared" si="9"/>
        <v>-3.7960000000000008E-2</v>
      </c>
      <c r="N61" s="2">
        <f t="shared" si="9"/>
        <v>2.264E-2</v>
      </c>
      <c r="O61" s="2">
        <f t="shared" si="9"/>
        <v>-5.6600000000000001E-3</v>
      </c>
    </row>
    <row r="62" spans="1:15" x14ac:dyDescent="0.2">
      <c r="A62" t="s">
        <v>68</v>
      </c>
      <c r="B62">
        <v>0.120712</v>
      </c>
      <c r="C62">
        <v>0.23541200000000001</v>
      </c>
      <c r="D62">
        <v>7.0211999999999997E-2</v>
      </c>
      <c r="E62">
        <v>6.1211999999999996E-2</v>
      </c>
      <c r="F62">
        <v>-1.8187999999999999E-2</v>
      </c>
      <c r="G62">
        <v>-7.4879999999999999E-3</v>
      </c>
      <c r="H62">
        <v>2.2011999999999997E-2</v>
      </c>
      <c r="I62" s="2">
        <f t="shared" si="10"/>
        <v>0.119212</v>
      </c>
      <c r="J62" s="2">
        <f t="shared" si="10"/>
        <v>0.23391200000000001</v>
      </c>
      <c r="K62" s="2">
        <f t="shared" si="9"/>
        <v>6.8711999999999995E-2</v>
      </c>
      <c r="L62" s="2">
        <f t="shared" si="9"/>
        <v>5.9711999999999994E-2</v>
      </c>
      <c r="M62" s="2">
        <f t="shared" si="9"/>
        <v>-1.9688000000000001E-2</v>
      </c>
      <c r="N62" s="2">
        <f t="shared" si="9"/>
        <v>-8.9879999999999995E-3</v>
      </c>
      <c r="O62" s="2">
        <f t="shared" si="9"/>
        <v>2.0511999999999996E-2</v>
      </c>
    </row>
    <row r="63" spans="1:15" x14ac:dyDescent="0.2">
      <c r="A63" t="s">
        <v>69</v>
      </c>
      <c r="B63">
        <v>-7.4422000000000002E-2</v>
      </c>
      <c r="C63">
        <v>-0.14952199999999999</v>
      </c>
      <c r="D63">
        <v>5.9878000000000008E-2</v>
      </c>
      <c r="E63">
        <v>6.1078E-2</v>
      </c>
      <c r="F63">
        <v>-1.9622000000000001E-2</v>
      </c>
      <c r="G63">
        <v>-7.9220000000000002E-3</v>
      </c>
      <c r="H63">
        <v>-2.8220000000000003E-3</v>
      </c>
      <c r="I63" s="2">
        <f t="shared" si="10"/>
        <v>-7.5922000000000003E-2</v>
      </c>
      <c r="J63" s="2">
        <f t="shared" si="10"/>
        <v>-0.15102199999999999</v>
      </c>
      <c r="K63" s="2">
        <f t="shared" si="9"/>
        <v>5.8378000000000006E-2</v>
      </c>
      <c r="L63" s="2">
        <f t="shared" si="9"/>
        <v>5.9577999999999999E-2</v>
      </c>
      <c r="M63" s="2">
        <f t="shared" si="9"/>
        <v>-2.1122000000000002E-2</v>
      </c>
      <c r="N63" s="2">
        <f t="shared" si="9"/>
        <v>-9.4219999999999998E-3</v>
      </c>
      <c r="O63" s="2">
        <f t="shared" si="9"/>
        <v>-4.3220000000000003E-3</v>
      </c>
    </row>
    <row r="64" spans="1:15" x14ac:dyDescent="0.2">
      <c r="A64" t="s">
        <v>70</v>
      </c>
      <c r="B64">
        <v>-4.9420000000000002E-3</v>
      </c>
      <c r="C64">
        <v>4.3658000000000002E-2</v>
      </c>
      <c r="D64">
        <v>-2.3542E-2</v>
      </c>
      <c r="E64">
        <v>7.0579999999999992E-3</v>
      </c>
      <c r="F64">
        <v>4.1658000000000001E-2</v>
      </c>
      <c r="G64">
        <v>-4.7542000000000001E-2</v>
      </c>
      <c r="H64">
        <v>7.4580000000000002E-3</v>
      </c>
      <c r="I64" s="2">
        <f t="shared" si="10"/>
        <v>-6.4419999999999998E-3</v>
      </c>
      <c r="J64" s="2">
        <f t="shared" si="10"/>
        <v>4.2158000000000001E-2</v>
      </c>
      <c r="K64" s="2">
        <f t="shared" si="9"/>
        <v>-2.5042000000000002E-2</v>
      </c>
      <c r="L64" s="2">
        <f t="shared" si="9"/>
        <v>5.5579999999999987E-3</v>
      </c>
      <c r="M64" s="2">
        <f t="shared" si="9"/>
        <v>4.0157999999999999E-2</v>
      </c>
      <c r="N64" s="2">
        <f t="shared" si="9"/>
        <v>-4.9042000000000002E-2</v>
      </c>
      <c r="O64" s="2">
        <f t="shared" si="9"/>
        <v>5.9579999999999998E-3</v>
      </c>
    </row>
    <row r="65" spans="1:15" x14ac:dyDescent="0.2">
      <c r="A65" t="s">
        <v>71</v>
      </c>
      <c r="B65">
        <v>-0.11785900000000001</v>
      </c>
      <c r="C65">
        <v>7.2140999999999997E-2</v>
      </c>
      <c r="D65">
        <v>-2.2058999999999999E-2</v>
      </c>
      <c r="E65">
        <v>-2.2158999999999998E-2</v>
      </c>
      <c r="F65">
        <v>-5.0359000000000001E-2</v>
      </c>
      <c r="G65">
        <v>1.7441000000000002E-2</v>
      </c>
      <c r="H65">
        <v>8.6410000000000011E-3</v>
      </c>
      <c r="I65" s="2">
        <f t="shared" si="10"/>
        <v>-0.11935900000000001</v>
      </c>
      <c r="J65" s="2">
        <f t="shared" si="10"/>
        <v>7.0640999999999995E-2</v>
      </c>
      <c r="K65" s="2">
        <f t="shared" si="9"/>
        <v>-2.3559E-2</v>
      </c>
      <c r="L65" s="2">
        <f t="shared" si="9"/>
        <v>-2.3658999999999999E-2</v>
      </c>
      <c r="M65" s="2">
        <f t="shared" si="9"/>
        <v>-5.1859000000000002E-2</v>
      </c>
      <c r="N65" s="2">
        <f t="shared" si="9"/>
        <v>1.5941E-2</v>
      </c>
      <c r="O65" s="2">
        <f t="shared" si="9"/>
        <v>7.1410000000000015E-3</v>
      </c>
    </row>
    <row r="66" spans="1:15" x14ac:dyDescent="0.2">
      <c r="A66" t="s">
        <v>72</v>
      </c>
      <c r="B66">
        <v>2.6005E-2</v>
      </c>
      <c r="C66">
        <v>0.18390499999999999</v>
      </c>
      <c r="D66">
        <v>-9.895000000000001E-3</v>
      </c>
      <c r="E66">
        <v>-5.9295E-2</v>
      </c>
      <c r="F66">
        <v>7.5604999999999992E-2</v>
      </c>
      <c r="G66">
        <v>-8.0994999999999998E-2</v>
      </c>
      <c r="H66">
        <v>-3.5095000000000001E-2</v>
      </c>
      <c r="I66" s="2">
        <f t="shared" si="10"/>
        <v>2.4504999999999999E-2</v>
      </c>
      <c r="J66" s="2">
        <f t="shared" si="10"/>
        <v>0.18240499999999998</v>
      </c>
      <c r="K66" s="2">
        <f t="shared" si="9"/>
        <v>-1.1395000000000001E-2</v>
      </c>
      <c r="L66" s="2">
        <f t="shared" si="9"/>
        <v>-6.0795000000000002E-2</v>
      </c>
      <c r="M66" s="2">
        <f t="shared" si="9"/>
        <v>7.410499999999999E-2</v>
      </c>
      <c r="N66" s="2">
        <f t="shared" si="9"/>
        <v>-8.2494999999999999E-2</v>
      </c>
      <c r="O66" s="2">
        <f t="shared" si="9"/>
        <v>-3.6595000000000003E-2</v>
      </c>
    </row>
    <row r="67" spans="1:15" x14ac:dyDescent="0.2">
      <c r="A67" t="s">
        <v>73</v>
      </c>
      <c r="B67">
        <v>-3.6069999999999998E-2</v>
      </c>
      <c r="C67">
        <v>0.10223</v>
      </c>
      <c r="D67">
        <v>6.6229999999999997E-2</v>
      </c>
      <c r="E67">
        <v>6.9129999999999997E-2</v>
      </c>
      <c r="F67">
        <v>-9.7700000000000009E-3</v>
      </c>
      <c r="G67">
        <v>-4.9700000000000005E-3</v>
      </c>
      <c r="H67">
        <v>-3.8700000000000006E-3</v>
      </c>
      <c r="I67" s="2">
        <f t="shared" si="10"/>
        <v>-3.7569999999999999E-2</v>
      </c>
      <c r="J67" s="2">
        <f t="shared" si="10"/>
        <v>0.10073</v>
      </c>
      <c r="K67" s="2">
        <f t="shared" si="9"/>
        <v>6.4729999999999996E-2</v>
      </c>
      <c r="L67" s="2">
        <f t="shared" si="9"/>
        <v>6.7629999999999996E-2</v>
      </c>
      <c r="M67" s="2">
        <f t="shared" si="9"/>
        <v>-1.1270000000000001E-2</v>
      </c>
      <c r="N67" s="2">
        <f t="shared" si="9"/>
        <v>-6.4700000000000001E-3</v>
      </c>
      <c r="O67" s="2">
        <f t="shared" si="9"/>
        <v>-5.3700000000000006E-3</v>
      </c>
    </row>
    <row r="68" spans="1:15" x14ac:dyDescent="0.2">
      <c r="A68" t="s">
        <v>74</v>
      </c>
      <c r="B68">
        <v>-3.4276000000000001E-2</v>
      </c>
      <c r="C68">
        <v>7.7923999999999993E-2</v>
      </c>
      <c r="D68">
        <v>8.4223999999999993E-2</v>
      </c>
      <c r="E68">
        <v>1.8224000000000001E-2</v>
      </c>
      <c r="F68">
        <v>-8.0175999999999997E-2</v>
      </c>
      <c r="G68">
        <v>-6.4376000000000003E-2</v>
      </c>
      <c r="H68">
        <v>1.124E-3</v>
      </c>
      <c r="I68" s="2">
        <f t="shared" si="10"/>
        <v>-3.5776000000000002E-2</v>
      </c>
      <c r="J68" s="2">
        <f t="shared" si="10"/>
        <v>7.6423999999999992E-2</v>
      </c>
      <c r="K68" s="2">
        <f t="shared" si="9"/>
        <v>8.2723999999999992E-2</v>
      </c>
      <c r="L68" s="2">
        <f t="shared" si="9"/>
        <v>1.6723999999999999E-2</v>
      </c>
      <c r="M68" s="2">
        <f t="shared" si="9"/>
        <v>-8.1675999999999999E-2</v>
      </c>
      <c r="N68" s="2">
        <f t="shared" si="9"/>
        <v>-6.5876000000000004E-2</v>
      </c>
      <c r="O68" s="2">
        <f t="shared" si="9"/>
        <v>-3.7600000000000003E-4</v>
      </c>
    </row>
    <row r="69" spans="1:15" x14ac:dyDescent="0.2">
      <c r="A69" t="s">
        <v>75</v>
      </c>
      <c r="B69">
        <v>0.25061700000000003</v>
      </c>
      <c r="C69">
        <v>-9.1582999999999998E-2</v>
      </c>
      <c r="D69">
        <v>3.3716999999999997E-2</v>
      </c>
      <c r="E69">
        <v>3.5916999999999998E-2</v>
      </c>
      <c r="F69">
        <v>4.4169999999999991E-3</v>
      </c>
      <c r="G69">
        <v>5.2116999999999997E-2</v>
      </c>
      <c r="H69">
        <v>1.7016999999999997E-2</v>
      </c>
      <c r="I69" s="2">
        <f t="shared" si="10"/>
        <v>0.24911700000000003</v>
      </c>
      <c r="J69" s="2">
        <f t="shared" si="10"/>
        <v>-9.3082999999999999E-2</v>
      </c>
      <c r="K69" s="2">
        <f t="shared" si="9"/>
        <v>3.2216999999999996E-2</v>
      </c>
      <c r="L69" s="2">
        <f t="shared" si="9"/>
        <v>3.4416999999999996E-2</v>
      </c>
      <c r="M69" s="2">
        <f t="shared" si="9"/>
        <v>2.916999999999999E-3</v>
      </c>
      <c r="N69" s="2">
        <f t="shared" si="9"/>
        <v>5.0616999999999995E-2</v>
      </c>
      <c r="O69" s="2">
        <f t="shared" si="9"/>
        <v>1.5516999999999998E-2</v>
      </c>
    </row>
    <row r="70" spans="1:15" x14ac:dyDescent="0.2">
      <c r="A70" t="s">
        <v>76</v>
      </c>
      <c r="B70">
        <v>-3.7547000000000004E-2</v>
      </c>
      <c r="C70">
        <v>0.13575300000000001</v>
      </c>
      <c r="D70">
        <v>4.1853000000000001E-2</v>
      </c>
      <c r="E70">
        <v>5.1352999999999996E-2</v>
      </c>
      <c r="F70">
        <v>9.885300000000001E-2</v>
      </c>
      <c r="G70">
        <v>0.13775300000000001</v>
      </c>
      <c r="H70">
        <v>2.0553000000000002E-2</v>
      </c>
      <c r="I70" s="2">
        <f t="shared" si="10"/>
        <v>-3.9047000000000005E-2</v>
      </c>
      <c r="J70" s="2">
        <f t="shared" si="10"/>
        <v>0.13425300000000001</v>
      </c>
      <c r="K70" s="2">
        <f t="shared" si="9"/>
        <v>4.0353E-2</v>
      </c>
      <c r="L70" s="2">
        <f t="shared" si="9"/>
        <v>4.9852999999999995E-2</v>
      </c>
      <c r="M70" s="2">
        <f t="shared" si="9"/>
        <v>9.7353000000000009E-2</v>
      </c>
      <c r="N70" s="2">
        <f t="shared" si="9"/>
        <v>0.13625300000000001</v>
      </c>
      <c r="O70" s="2">
        <f t="shared" si="9"/>
        <v>1.9053E-2</v>
      </c>
    </row>
    <row r="71" spans="1:15" x14ac:dyDescent="0.2">
      <c r="A71" t="s">
        <v>77</v>
      </c>
      <c r="B71">
        <v>1.9424E-2</v>
      </c>
      <c r="C71">
        <v>4.5823999999999997E-2</v>
      </c>
      <c r="D71">
        <v>5.8823999999999994E-2</v>
      </c>
      <c r="E71">
        <v>3.3239999999999997E-3</v>
      </c>
      <c r="F71">
        <v>-4.876000000000001E-3</v>
      </c>
      <c r="G71">
        <v>6.7024E-2</v>
      </c>
      <c r="H71">
        <v>2.7424E-2</v>
      </c>
      <c r="I71" s="2">
        <f t="shared" si="10"/>
        <v>1.7923999999999999E-2</v>
      </c>
      <c r="J71" s="2">
        <f t="shared" si="10"/>
        <v>4.4323999999999995E-2</v>
      </c>
      <c r="K71" s="2">
        <f t="shared" si="9"/>
        <v>5.7323999999999993E-2</v>
      </c>
      <c r="L71" s="2">
        <f t="shared" si="9"/>
        <v>1.8239999999999997E-3</v>
      </c>
      <c r="M71" s="2">
        <f t="shared" si="9"/>
        <v>-6.3760000000000015E-3</v>
      </c>
      <c r="N71" s="2">
        <f t="shared" si="9"/>
        <v>6.5523999999999999E-2</v>
      </c>
      <c r="O71" s="2">
        <f t="shared" si="9"/>
        <v>2.5923999999999999E-2</v>
      </c>
    </row>
    <row r="72" spans="1:15" x14ac:dyDescent="0.2">
      <c r="A72" t="s">
        <v>78</v>
      </c>
      <c r="B72">
        <v>-2.2343000000000002E-2</v>
      </c>
      <c r="C72">
        <v>-0.161243</v>
      </c>
      <c r="D72">
        <v>-1.4143000000000001E-2</v>
      </c>
      <c r="E72">
        <v>-2.1543E-2</v>
      </c>
      <c r="F72">
        <v>-6.8742999999999999E-2</v>
      </c>
      <c r="G72">
        <v>-2.0643000000000002E-2</v>
      </c>
      <c r="H72">
        <v>1.2257000000000001E-2</v>
      </c>
      <c r="I72" s="2">
        <f t="shared" si="10"/>
        <v>-2.3843000000000003E-2</v>
      </c>
      <c r="J72" s="2">
        <f t="shared" si="10"/>
        <v>-0.162743</v>
      </c>
      <c r="K72" s="2">
        <f t="shared" si="9"/>
        <v>-1.5643000000000001E-2</v>
      </c>
      <c r="L72" s="2">
        <f t="shared" si="9"/>
        <v>-2.3043000000000001E-2</v>
      </c>
      <c r="M72" s="2">
        <f t="shared" si="9"/>
        <v>-7.0243E-2</v>
      </c>
      <c r="N72" s="2">
        <f t="shared" si="9"/>
        <v>-2.2143000000000003E-2</v>
      </c>
      <c r="O72" s="2">
        <f t="shared" si="9"/>
        <v>1.0757000000000001E-2</v>
      </c>
    </row>
    <row r="73" spans="1:15" x14ac:dyDescent="0.2">
      <c r="A73" t="s">
        <v>79</v>
      </c>
      <c r="B73">
        <v>-8.0336000000000005E-2</v>
      </c>
      <c r="C73">
        <v>4.6963999999999999E-2</v>
      </c>
      <c r="D73">
        <v>5.0264000000000003E-2</v>
      </c>
      <c r="E73">
        <v>6.1763999999999999E-2</v>
      </c>
      <c r="F73">
        <v>1.3639999999999998E-3</v>
      </c>
      <c r="G73">
        <v>-2.1936000000000001E-2</v>
      </c>
      <c r="H73">
        <v>8.5639999999999987E-3</v>
      </c>
      <c r="I73" s="2">
        <f t="shared" si="10"/>
        <v>-8.1836000000000006E-2</v>
      </c>
      <c r="J73" s="2">
        <f t="shared" si="10"/>
        <v>4.5463999999999997E-2</v>
      </c>
      <c r="K73" s="2">
        <f t="shared" si="9"/>
        <v>4.8764000000000002E-2</v>
      </c>
      <c r="L73" s="2">
        <f t="shared" si="9"/>
        <v>6.0263999999999998E-2</v>
      </c>
      <c r="M73" s="2">
        <f t="shared" si="9"/>
        <v>-1.3600000000000027E-4</v>
      </c>
      <c r="N73" s="2">
        <f t="shared" si="9"/>
        <v>-2.3436000000000002E-2</v>
      </c>
      <c r="O73" s="2">
        <f t="shared" si="9"/>
        <v>7.0639999999999991E-3</v>
      </c>
    </row>
    <row r="74" spans="1:15" x14ac:dyDescent="0.2">
      <c r="A74" t="s">
        <v>80</v>
      </c>
      <c r="B74">
        <v>7.8272000000000008E-2</v>
      </c>
      <c r="C74">
        <v>6.4672000000000007E-2</v>
      </c>
      <c r="D74">
        <v>5.9272000000000005E-2</v>
      </c>
      <c r="E74">
        <v>4.1472000000000002E-2</v>
      </c>
      <c r="F74">
        <v>2.8372000000000001E-2</v>
      </c>
      <c r="G74">
        <v>7.1171999999999999E-2</v>
      </c>
      <c r="H74">
        <v>9.7719999999999994E-3</v>
      </c>
      <c r="I74" s="2">
        <f t="shared" si="10"/>
        <v>7.6772000000000007E-2</v>
      </c>
      <c r="J74" s="2">
        <f t="shared" si="10"/>
        <v>6.3172000000000006E-2</v>
      </c>
      <c r="K74" s="2">
        <f t="shared" si="9"/>
        <v>5.7772000000000004E-2</v>
      </c>
      <c r="L74" s="2">
        <f t="shared" si="9"/>
        <v>3.9972000000000001E-2</v>
      </c>
      <c r="M74" s="2">
        <f t="shared" si="9"/>
        <v>2.6872E-2</v>
      </c>
      <c r="N74" s="2">
        <f t="shared" si="9"/>
        <v>6.9671999999999998E-2</v>
      </c>
      <c r="O74" s="2">
        <f t="shared" si="9"/>
        <v>8.2719999999999998E-3</v>
      </c>
    </row>
    <row r="75" spans="1:15" x14ac:dyDescent="0.2">
      <c r="A75" t="s">
        <v>81</v>
      </c>
      <c r="B75">
        <v>-3.0936999999999999E-2</v>
      </c>
      <c r="C75">
        <v>-2.5836999999999999E-2</v>
      </c>
      <c r="D75">
        <v>-2.5937000000000002E-2</v>
      </c>
      <c r="E75">
        <v>-3.2937000000000001E-2</v>
      </c>
      <c r="F75">
        <v>9.1629999999999993E-3</v>
      </c>
      <c r="G75">
        <v>8.6300000000000005E-4</v>
      </c>
      <c r="H75">
        <v>-2.5637E-2</v>
      </c>
      <c r="I75" s="2">
        <f t="shared" si="10"/>
        <v>-3.2437000000000001E-2</v>
      </c>
      <c r="J75" s="2">
        <f t="shared" si="10"/>
        <v>-2.7337E-2</v>
      </c>
      <c r="K75" s="2">
        <f t="shared" si="9"/>
        <v>-2.7437000000000003E-2</v>
      </c>
      <c r="L75" s="2">
        <f t="shared" si="9"/>
        <v>-3.4437000000000002E-2</v>
      </c>
      <c r="M75" s="2">
        <f t="shared" si="9"/>
        <v>7.6629999999999997E-3</v>
      </c>
      <c r="N75" s="2">
        <f t="shared" si="9"/>
        <v>-6.3699999999999998E-4</v>
      </c>
      <c r="O75" s="2">
        <f t="shared" si="9"/>
        <v>-2.7137000000000001E-2</v>
      </c>
    </row>
    <row r="76" spans="1:15" x14ac:dyDescent="0.2">
      <c r="A76" t="s">
        <v>82</v>
      </c>
      <c r="B76">
        <v>-6.7570000000000009E-3</v>
      </c>
      <c r="C76">
        <v>-4.3757000000000004E-2</v>
      </c>
      <c r="D76">
        <v>6.7242999999999997E-2</v>
      </c>
      <c r="E76">
        <v>9.6429999999999988E-3</v>
      </c>
      <c r="F76">
        <v>-2.7757E-2</v>
      </c>
      <c r="G76">
        <v>-4.1156999999999999E-2</v>
      </c>
      <c r="H76">
        <v>5.7429999999999998E-3</v>
      </c>
      <c r="I76" s="2">
        <f t="shared" si="10"/>
        <v>-8.2570000000000005E-3</v>
      </c>
      <c r="J76" s="2">
        <f t="shared" si="10"/>
        <v>-4.5257000000000006E-2</v>
      </c>
      <c r="K76" s="2">
        <f t="shared" si="9"/>
        <v>6.5742999999999996E-2</v>
      </c>
      <c r="L76" s="2">
        <f t="shared" si="9"/>
        <v>8.1429999999999992E-3</v>
      </c>
      <c r="M76" s="2">
        <f t="shared" si="9"/>
        <v>-2.9257000000000002E-2</v>
      </c>
      <c r="N76" s="2">
        <f t="shared" si="9"/>
        <v>-4.2657E-2</v>
      </c>
      <c r="O76" s="2">
        <f t="shared" si="9"/>
        <v>4.2430000000000002E-3</v>
      </c>
    </row>
    <row r="77" spans="1:15" x14ac:dyDescent="0.2">
      <c r="A77" t="s">
        <v>83</v>
      </c>
      <c r="B77">
        <v>1.4651999999999998E-2</v>
      </c>
      <c r="C77">
        <v>1.4952E-2</v>
      </c>
      <c r="D77">
        <v>-1.3448000000000002E-2</v>
      </c>
      <c r="E77">
        <v>1.3252E-2</v>
      </c>
      <c r="F77">
        <v>1.6351999999999998E-2</v>
      </c>
      <c r="G77">
        <v>-2.4480000000000005E-3</v>
      </c>
      <c r="H77">
        <v>3.8952000000000001E-2</v>
      </c>
      <c r="I77" s="2">
        <f t="shared" si="10"/>
        <v>1.3151999999999999E-2</v>
      </c>
      <c r="J77" s="2">
        <f t="shared" si="10"/>
        <v>1.3452E-2</v>
      </c>
      <c r="K77" s="2">
        <f t="shared" si="9"/>
        <v>-1.4948000000000001E-2</v>
      </c>
      <c r="L77" s="2">
        <f t="shared" si="9"/>
        <v>1.1752E-2</v>
      </c>
      <c r="M77" s="2">
        <f t="shared" si="9"/>
        <v>1.4851999999999999E-2</v>
      </c>
      <c r="N77" s="2">
        <f t="shared" si="9"/>
        <v>-3.9480000000000001E-3</v>
      </c>
      <c r="O77" s="2">
        <f t="shared" si="9"/>
        <v>3.7451999999999999E-2</v>
      </c>
    </row>
    <row r="78" spans="1:15" x14ac:dyDescent="0.2">
      <c r="A78" t="s">
        <v>84</v>
      </c>
      <c r="B78">
        <v>3.3253999999999999E-2</v>
      </c>
      <c r="C78">
        <v>-3.5646000000000004E-2</v>
      </c>
      <c r="D78">
        <v>6.3654000000000002E-2</v>
      </c>
      <c r="E78">
        <v>0.13605400000000001</v>
      </c>
      <c r="F78">
        <v>-6.0460000000000002E-3</v>
      </c>
      <c r="G78">
        <v>4.9653999999999997E-2</v>
      </c>
      <c r="H78">
        <v>2.8454E-2</v>
      </c>
      <c r="I78" s="2">
        <f t="shared" si="10"/>
        <v>3.1753999999999998E-2</v>
      </c>
      <c r="J78" s="2">
        <f t="shared" si="10"/>
        <v>-3.7146000000000005E-2</v>
      </c>
      <c r="K78" s="2">
        <f t="shared" si="9"/>
        <v>6.2154000000000001E-2</v>
      </c>
      <c r="L78" s="2">
        <f t="shared" si="9"/>
        <v>0.13455400000000001</v>
      </c>
      <c r="M78" s="2">
        <f t="shared" si="9"/>
        <v>-7.5460000000000006E-3</v>
      </c>
      <c r="N78" s="2">
        <f t="shared" si="9"/>
        <v>4.8153999999999995E-2</v>
      </c>
      <c r="O78" s="2">
        <f t="shared" si="9"/>
        <v>2.6953999999999999E-2</v>
      </c>
    </row>
    <row r="79" spans="1:15" x14ac:dyDescent="0.2">
      <c r="A79" t="s">
        <v>85</v>
      </c>
      <c r="B79">
        <v>0.125582</v>
      </c>
      <c r="C79">
        <v>0.25648200000000004</v>
      </c>
      <c r="D79">
        <v>-1.8000000000000654E-5</v>
      </c>
      <c r="E79">
        <v>-5.8117999999999996E-2</v>
      </c>
      <c r="F79">
        <v>6.781999999999999E-3</v>
      </c>
      <c r="G79">
        <v>1.4782E-2</v>
      </c>
      <c r="H79">
        <v>-2.1718000000000001E-2</v>
      </c>
      <c r="I79" s="2">
        <f t="shared" si="10"/>
        <v>0.124082</v>
      </c>
      <c r="J79" s="2">
        <f t="shared" si="10"/>
        <v>0.25498200000000004</v>
      </c>
      <c r="K79" s="2">
        <f t="shared" si="9"/>
        <v>-1.5180000000000007E-3</v>
      </c>
      <c r="L79" s="2">
        <f t="shared" si="9"/>
        <v>-5.9617999999999997E-2</v>
      </c>
      <c r="M79" s="2">
        <f t="shared" si="9"/>
        <v>5.2819999999999985E-3</v>
      </c>
      <c r="N79" s="2">
        <f t="shared" si="9"/>
        <v>1.3282E-2</v>
      </c>
      <c r="O79" s="2">
        <f t="shared" si="9"/>
        <v>-2.3218000000000003E-2</v>
      </c>
    </row>
    <row r="80" spans="1:15" x14ac:dyDescent="0.2">
      <c r="A80" t="s">
        <v>86</v>
      </c>
      <c r="B80">
        <v>-0.10056200000000001</v>
      </c>
      <c r="C80">
        <v>-0.14686199999999999</v>
      </c>
      <c r="D80">
        <v>-5.2061999999999997E-2</v>
      </c>
      <c r="E80">
        <v>4.1338E-2</v>
      </c>
      <c r="F80">
        <v>-4.8862000000000003E-2</v>
      </c>
      <c r="G80">
        <v>-5.1562000000000004E-2</v>
      </c>
      <c r="H80">
        <v>-3.5962000000000001E-2</v>
      </c>
      <c r="I80" s="2">
        <f t="shared" si="10"/>
        <v>-0.10206200000000001</v>
      </c>
      <c r="J80" s="2">
        <f t="shared" si="10"/>
        <v>-0.14836199999999999</v>
      </c>
      <c r="K80" s="2">
        <f t="shared" si="9"/>
        <v>-5.3561999999999999E-2</v>
      </c>
      <c r="L80" s="2">
        <f t="shared" si="9"/>
        <v>3.9837999999999998E-2</v>
      </c>
      <c r="M80" s="2">
        <f t="shared" si="9"/>
        <v>-5.0362000000000004E-2</v>
      </c>
      <c r="N80" s="2">
        <f t="shared" si="9"/>
        <v>-5.3062000000000005E-2</v>
      </c>
      <c r="O80" s="2">
        <f t="shared" si="9"/>
        <v>-3.7462000000000002E-2</v>
      </c>
    </row>
    <row r="81" spans="1:15" x14ac:dyDescent="0.2">
      <c r="A81" t="s">
        <v>87</v>
      </c>
      <c r="B81">
        <v>-8.6504999999999999E-2</v>
      </c>
      <c r="C81">
        <v>-4.7905000000000003E-2</v>
      </c>
      <c r="D81">
        <v>1.3895000000000001E-2</v>
      </c>
      <c r="E81">
        <v>-2.1604999999999999E-2</v>
      </c>
      <c r="F81">
        <v>-4.9904999999999998E-2</v>
      </c>
      <c r="G81">
        <v>8.6794999999999997E-2</v>
      </c>
      <c r="H81">
        <v>8.6949999999999996E-3</v>
      </c>
      <c r="I81" s="2">
        <f t="shared" si="10"/>
        <v>-8.8005E-2</v>
      </c>
      <c r="J81" s="2">
        <f t="shared" si="10"/>
        <v>-4.9405000000000004E-2</v>
      </c>
      <c r="K81" s="2">
        <f t="shared" si="9"/>
        <v>1.2395000000000002E-2</v>
      </c>
      <c r="L81" s="2">
        <f t="shared" si="9"/>
        <v>-2.3105000000000001E-2</v>
      </c>
      <c r="M81" s="2">
        <f t="shared" si="9"/>
        <v>-5.1404999999999999E-2</v>
      </c>
      <c r="N81" s="2">
        <f t="shared" si="9"/>
        <v>8.5294999999999996E-2</v>
      </c>
      <c r="O81" s="2">
        <f t="shared" si="9"/>
        <v>7.195E-3</v>
      </c>
    </row>
    <row r="82" spans="1:15" x14ac:dyDescent="0.2">
      <c r="A82" t="s">
        <v>88</v>
      </c>
      <c r="B82">
        <v>8.3752999999999994E-2</v>
      </c>
      <c r="C82">
        <v>0.190553</v>
      </c>
      <c r="D82">
        <v>5.7852999999999995E-2</v>
      </c>
      <c r="E82">
        <v>5.3952999999999994E-2</v>
      </c>
      <c r="F82">
        <v>-2.8470000000000001E-3</v>
      </c>
      <c r="G82">
        <v>-3.9147000000000001E-2</v>
      </c>
      <c r="H82">
        <v>3.2452999999999996E-2</v>
      </c>
      <c r="I82" s="2">
        <f t="shared" si="10"/>
        <v>8.2252999999999993E-2</v>
      </c>
      <c r="J82" s="2">
        <f t="shared" si="10"/>
        <v>0.189053</v>
      </c>
      <c r="K82" s="2">
        <f t="shared" si="9"/>
        <v>5.6352999999999993E-2</v>
      </c>
      <c r="L82" s="2">
        <f t="shared" si="9"/>
        <v>5.2452999999999993E-2</v>
      </c>
      <c r="M82" s="2">
        <f t="shared" si="9"/>
        <v>-4.3470000000000002E-3</v>
      </c>
      <c r="N82" s="2">
        <f t="shared" si="9"/>
        <v>-4.0647000000000003E-2</v>
      </c>
      <c r="O82" s="2">
        <f t="shared" si="9"/>
        <v>3.0952999999999994E-2</v>
      </c>
    </row>
    <row r="83" spans="1:15" x14ac:dyDescent="0.2">
      <c r="A83" t="s">
        <v>89</v>
      </c>
      <c r="B83">
        <v>4.1588E-2</v>
      </c>
      <c r="C83">
        <v>6.4587999999999993E-2</v>
      </c>
      <c r="D83">
        <v>-7.2119999999999997E-3</v>
      </c>
      <c r="E83">
        <v>4.7087999999999998E-2</v>
      </c>
      <c r="F83">
        <v>3.2488000000000003E-2</v>
      </c>
      <c r="G83">
        <v>-3.8011999999999997E-2</v>
      </c>
      <c r="H83">
        <v>1.1588000000000001E-2</v>
      </c>
      <c r="I83" s="2">
        <f t="shared" si="10"/>
        <v>4.0087999999999999E-2</v>
      </c>
      <c r="J83" s="2">
        <f t="shared" si="10"/>
        <v>6.3087999999999991E-2</v>
      </c>
      <c r="K83" s="2">
        <f t="shared" si="9"/>
        <v>-8.7119999999999993E-3</v>
      </c>
      <c r="L83" s="2">
        <f t="shared" si="9"/>
        <v>4.5587999999999997E-2</v>
      </c>
      <c r="M83" s="2">
        <f t="shared" si="9"/>
        <v>3.0988000000000002E-2</v>
      </c>
      <c r="N83" s="2">
        <f t="shared" si="9"/>
        <v>-3.9511999999999999E-2</v>
      </c>
      <c r="O83" s="2">
        <f t="shared" si="9"/>
        <v>1.0088000000000001E-2</v>
      </c>
    </row>
    <row r="84" spans="1:15" x14ac:dyDescent="0.2">
      <c r="A84" t="s">
        <v>90</v>
      </c>
      <c r="B84">
        <v>-0.156695</v>
      </c>
      <c r="C84">
        <v>-0.236095</v>
      </c>
      <c r="D84">
        <v>-8.9094999999999994E-2</v>
      </c>
      <c r="E84">
        <v>-6.5494999999999998E-2</v>
      </c>
      <c r="F84">
        <v>5.6104999999999995E-2</v>
      </c>
      <c r="G84">
        <v>-2.3494999999999999E-2</v>
      </c>
      <c r="H84">
        <v>-4.7395E-2</v>
      </c>
      <c r="I84" s="2">
        <f t="shared" si="10"/>
        <v>-0.158195</v>
      </c>
      <c r="J84" s="2">
        <f t="shared" si="10"/>
        <v>-0.237595</v>
      </c>
      <c r="K84" s="2">
        <f t="shared" si="9"/>
        <v>-9.0594999999999995E-2</v>
      </c>
      <c r="L84" s="2">
        <f t="shared" si="9"/>
        <v>-6.6994999999999999E-2</v>
      </c>
      <c r="M84" s="2">
        <f t="shared" si="9"/>
        <v>5.4604999999999994E-2</v>
      </c>
      <c r="N84" s="2">
        <f t="shared" si="9"/>
        <v>-2.4995E-2</v>
      </c>
      <c r="O84" s="2">
        <f t="shared" si="9"/>
        <v>-4.8895000000000001E-2</v>
      </c>
    </row>
    <row r="85" spans="1:15" x14ac:dyDescent="0.2">
      <c r="A85" t="s">
        <v>91</v>
      </c>
      <c r="B85">
        <v>-0.106821</v>
      </c>
      <c r="C85">
        <v>-0.168521</v>
      </c>
      <c r="D85">
        <v>8.4778999999999993E-2</v>
      </c>
      <c r="E85">
        <v>8.1790000000000005E-3</v>
      </c>
      <c r="F85">
        <v>-6.1209999999999997E-3</v>
      </c>
      <c r="G85">
        <v>-0.16912099999999999</v>
      </c>
      <c r="H85">
        <v>-1.1521E-2</v>
      </c>
      <c r="I85" s="2">
        <f t="shared" si="10"/>
        <v>-0.108321</v>
      </c>
      <c r="J85" s="2">
        <f t="shared" si="10"/>
        <v>-0.17002100000000001</v>
      </c>
      <c r="K85" s="2">
        <f t="shared" si="9"/>
        <v>8.3278999999999992E-2</v>
      </c>
      <c r="L85" s="2">
        <f t="shared" si="9"/>
        <v>6.6790000000000009E-3</v>
      </c>
      <c r="M85" s="2">
        <f t="shared" si="9"/>
        <v>-7.6209999999999993E-3</v>
      </c>
      <c r="N85" s="2">
        <f t="shared" si="9"/>
        <v>-0.17062099999999999</v>
      </c>
      <c r="O85" s="2">
        <f t="shared" si="9"/>
        <v>-1.3021E-2</v>
      </c>
    </row>
    <row r="86" spans="1:15" x14ac:dyDescent="0.2">
      <c r="A86" t="s">
        <v>92</v>
      </c>
      <c r="B86">
        <v>-1.583E-2</v>
      </c>
      <c r="C86">
        <v>0.13097</v>
      </c>
      <c r="D86">
        <v>-6.6830000000000001E-2</v>
      </c>
      <c r="E86">
        <v>-0.10453</v>
      </c>
      <c r="F86">
        <v>6.5070000000000003E-2</v>
      </c>
      <c r="G86">
        <v>0.10596999999999999</v>
      </c>
      <c r="H86">
        <v>-6.3629999999999992E-2</v>
      </c>
      <c r="I86" s="2">
        <f t="shared" si="10"/>
        <v>-1.7330000000000002E-2</v>
      </c>
      <c r="J86" s="2">
        <f t="shared" si="10"/>
        <v>0.12947</v>
      </c>
      <c r="K86" s="2">
        <f t="shared" si="9"/>
        <v>-6.8330000000000002E-2</v>
      </c>
      <c r="L86" s="2">
        <f t="shared" si="9"/>
        <v>-0.10603</v>
      </c>
      <c r="M86" s="2">
        <f t="shared" si="9"/>
        <v>6.3570000000000002E-2</v>
      </c>
      <c r="N86" s="2">
        <f t="shared" si="9"/>
        <v>0.10446999999999999</v>
      </c>
      <c r="O86" s="2">
        <f t="shared" si="9"/>
        <v>-6.5129999999999993E-2</v>
      </c>
    </row>
    <row r="87" spans="1:15" x14ac:dyDescent="0.2">
      <c r="A87" t="s">
        <v>93</v>
      </c>
      <c r="B87">
        <v>-1.7925E-2</v>
      </c>
      <c r="C87">
        <v>-0.168325</v>
      </c>
      <c r="D87">
        <v>-9.6425000000000011E-2</v>
      </c>
      <c r="E87">
        <v>-6.5925000000000011E-2</v>
      </c>
      <c r="F87">
        <v>-2.4025000000000001E-2</v>
      </c>
      <c r="G87">
        <v>-4.9525E-2</v>
      </c>
      <c r="H87">
        <v>-3.6124999999999997E-2</v>
      </c>
      <c r="I87" s="2">
        <f t="shared" si="10"/>
        <v>-1.9425000000000001E-2</v>
      </c>
      <c r="J87" s="2">
        <f t="shared" si="10"/>
        <v>-0.169825</v>
      </c>
      <c r="K87" s="2">
        <f t="shared" si="9"/>
        <v>-9.7925000000000012E-2</v>
      </c>
      <c r="L87" s="2">
        <f t="shared" si="9"/>
        <v>-6.7425000000000013E-2</v>
      </c>
      <c r="M87" s="2">
        <f t="shared" si="9"/>
        <v>-2.5525000000000003E-2</v>
      </c>
      <c r="N87" s="2">
        <f t="shared" si="9"/>
        <v>-5.1025000000000001E-2</v>
      </c>
      <c r="O87" s="2">
        <f t="shared" si="9"/>
        <v>-3.7624999999999999E-2</v>
      </c>
    </row>
    <row r="88" spans="1:15" x14ac:dyDescent="0.2">
      <c r="A88" t="s">
        <v>94</v>
      </c>
      <c r="B88">
        <v>-0.12586900000000001</v>
      </c>
      <c r="C88">
        <v>-0.18356900000000001</v>
      </c>
      <c r="D88">
        <v>9.7730999999999998E-2</v>
      </c>
      <c r="E88">
        <v>1.7309999999999997E-3</v>
      </c>
      <c r="F88">
        <v>6.5431000000000003E-2</v>
      </c>
      <c r="G88">
        <v>-3.8569000000000006E-2</v>
      </c>
      <c r="H88">
        <v>-7.869000000000001E-3</v>
      </c>
      <c r="I88" s="2">
        <f t="shared" si="10"/>
        <v>-0.12736900000000001</v>
      </c>
      <c r="J88" s="2">
        <f t="shared" si="10"/>
        <v>-0.18506900000000001</v>
      </c>
      <c r="K88" s="2">
        <f t="shared" si="9"/>
        <v>9.6230999999999997E-2</v>
      </c>
      <c r="L88" s="2">
        <f t="shared" si="9"/>
        <v>2.3099999999999965E-4</v>
      </c>
      <c r="M88" s="2">
        <f t="shared" si="9"/>
        <v>6.3931000000000002E-2</v>
      </c>
      <c r="N88" s="2">
        <f t="shared" si="9"/>
        <v>-4.0069000000000007E-2</v>
      </c>
      <c r="O88" s="2">
        <f t="shared" si="9"/>
        <v>-9.3690000000000006E-3</v>
      </c>
    </row>
    <row r="89" spans="1:15" x14ac:dyDescent="0.2">
      <c r="A89" t="s">
        <v>95</v>
      </c>
      <c r="B89">
        <v>0.443075</v>
      </c>
      <c r="C89">
        <v>0.216775</v>
      </c>
      <c r="D89">
        <v>2.0074999999999999E-2</v>
      </c>
      <c r="E89">
        <v>7.1175000000000002E-2</v>
      </c>
      <c r="F89">
        <v>9.9574999999999997E-2</v>
      </c>
      <c r="G89">
        <v>4.7275000000000005E-2</v>
      </c>
      <c r="H89">
        <v>4.6475000000000002E-2</v>
      </c>
      <c r="I89" s="2">
        <f t="shared" si="10"/>
        <v>0.441575</v>
      </c>
      <c r="J89" s="2">
        <f t="shared" si="10"/>
        <v>0.21527499999999999</v>
      </c>
      <c r="K89" s="2">
        <f t="shared" si="9"/>
        <v>1.8574999999999998E-2</v>
      </c>
      <c r="L89" s="2">
        <f t="shared" si="9"/>
        <v>6.9675000000000001E-2</v>
      </c>
      <c r="M89" s="2">
        <f t="shared" si="9"/>
        <v>9.8074999999999996E-2</v>
      </c>
      <c r="N89" s="2">
        <f t="shared" si="9"/>
        <v>4.5775000000000003E-2</v>
      </c>
      <c r="O89" s="2">
        <f t="shared" si="9"/>
        <v>4.4975000000000001E-2</v>
      </c>
    </row>
    <row r="90" spans="1:15" x14ac:dyDescent="0.2">
      <c r="A90" t="s">
        <v>96</v>
      </c>
      <c r="B90">
        <v>-0.17774600000000002</v>
      </c>
      <c r="C90">
        <v>-0.25474600000000003</v>
      </c>
      <c r="D90">
        <v>2.9754000000000003E-2</v>
      </c>
      <c r="E90">
        <v>-1.2459999999999999E-3</v>
      </c>
      <c r="F90">
        <v>-9.4600000000000001E-4</v>
      </c>
      <c r="G90">
        <v>5.9540000000000001E-3</v>
      </c>
      <c r="H90">
        <v>9.7539999999999988E-3</v>
      </c>
      <c r="I90" s="2">
        <f t="shared" si="10"/>
        <v>-0.17924600000000002</v>
      </c>
      <c r="J90" s="2">
        <f t="shared" si="10"/>
        <v>-0.25624600000000003</v>
      </c>
      <c r="K90" s="2">
        <f t="shared" si="9"/>
        <v>2.8254000000000001E-2</v>
      </c>
      <c r="L90" s="2">
        <f t="shared" si="9"/>
        <v>-2.7460000000000002E-3</v>
      </c>
      <c r="M90" s="2">
        <f t="shared" si="9"/>
        <v>-2.4460000000000003E-3</v>
      </c>
      <c r="N90" s="2">
        <f t="shared" si="9"/>
        <v>4.4539999999999996E-3</v>
      </c>
      <c r="O90" s="2">
        <f t="shared" si="9"/>
        <v>8.2539999999999992E-3</v>
      </c>
    </row>
    <row r="91" spans="1:15" x14ac:dyDescent="0.2">
      <c r="A91" t="s">
        <v>97</v>
      </c>
      <c r="B91">
        <v>-0.29435</v>
      </c>
      <c r="C91">
        <v>-0.32924999999999999</v>
      </c>
      <c r="D91">
        <v>-0.15734999999999999</v>
      </c>
      <c r="E91">
        <v>-8.1549999999999997E-2</v>
      </c>
      <c r="F91">
        <v>-2.8450000000000003E-2</v>
      </c>
      <c r="G91">
        <v>-0.13045000000000001</v>
      </c>
      <c r="H91">
        <v>-8.7749999999999995E-2</v>
      </c>
      <c r="I91" s="2">
        <f t="shared" si="10"/>
        <v>-0.29585</v>
      </c>
      <c r="J91" s="2">
        <f t="shared" si="10"/>
        <v>-0.33074999999999999</v>
      </c>
      <c r="K91" s="2">
        <f t="shared" si="9"/>
        <v>-0.15884999999999999</v>
      </c>
      <c r="L91" s="2">
        <f t="shared" si="9"/>
        <v>-8.3049999999999999E-2</v>
      </c>
      <c r="M91" s="2">
        <f t="shared" si="9"/>
        <v>-2.9950000000000004E-2</v>
      </c>
      <c r="N91" s="2">
        <f t="shared" si="9"/>
        <v>-0.13195000000000001</v>
      </c>
      <c r="O91" s="2">
        <f t="shared" si="9"/>
        <v>-8.9249999999999996E-2</v>
      </c>
    </row>
    <row r="92" spans="1:15" x14ac:dyDescent="0.2">
      <c r="A92" t="s">
        <v>98</v>
      </c>
      <c r="B92">
        <v>-3.5399999999999997E-3</v>
      </c>
      <c r="C92">
        <v>-3.884E-2</v>
      </c>
      <c r="D92">
        <v>-7.5839999999999991E-2</v>
      </c>
      <c r="E92">
        <v>-2.8140000000000002E-2</v>
      </c>
      <c r="F92">
        <v>4.1660000000000003E-2</v>
      </c>
      <c r="G92">
        <v>-2.8539999999999999E-2</v>
      </c>
      <c r="H92">
        <v>-1.1340000000000001E-2</v>
      </c>
      <c r="I92" s="2">
        <f t="shared" si="10"/>
        <v>-5.0399999999999993E-3</v>
      </c>
      <c r="J92" s="2">
        <f t="shared" si="10"/>
        <v>-4.0340000000000001E-2</v>
      </c>
      <c r="K92" s="2">
        <f t="shared" si="9"/>
        <v>-7.7339999999999992E-2</v>
      </c>
      <c r="L92" s="2">
        <f t="shared" si="9"/>
        <v>-2.9640000000000003E-2</v>
      </c>
      <c r="M92" s="2">
        <f t="shared" si="9"/>
        <v>4.0160000000000001E-2</v>
      </c>
      <c r="N92" s="2">
        <f t="shared" si="9"/>
        <v>-3.0040000000000001E-2</v>
      </c>
      <c r="O92" s="2">
        <f t="shared" si="9"/>
        <v>-1.2840000000000001E-2</v>
      </c>
    </row>
    <row r="93" spans="1:15" x14ac:dyDescent="0.2">
      <c r="A93" t="s">
        <v>99</v>
      </c>
      <c r="B93">
        <v>-7.2082000000000007E-2</v>
      </c>
      <c r="C93">
        <v>-9.7982E-2</v>
      </c>
      <c r="D93">
        <v>3.7018000000000002E-2</v>
      </c>
      <c r="E93">
        <v>3.0418000000000001E-2</v>
      </c>
      <c r="F93">
        <v>1.0518E-2</v>
      </c>
      <c r="G93">
        <v>0.17471799999999998</v>
      </c>
      <c r="H93">
        <v>1.0918000000000001E-2</v>
      </c>
      <c r="I93" s="2">
        <f t="shared" si="10"/>
        <v>-7.3582000000000009E-2</v>
      </c>
      <c r="J93" s="2">
        <f t="shared" si="10"/>
        <v>-9.9482000000000001E-2</v>
      </c>
      <c r="K93" s="2">
        <f t="shared" si="9"/>
        <v>3.5518000000000001E-2</v>
      </c>
      <c r="L93" s="2">
        <f t="shared" si="9"/>
        <v>2.8917999999999999E-2</v>
      </c>
      <c r="M93" s="2">
        <f t="shared" si="9"/>
        <v>9.018E-3</v>
      </c>
      <c r="N93" s="2">
        <f t="shared" si="9"/>
        <v>0.17321799999999998</v>
      </c>
      <c r="O93" s="2">
        <f t="shared" si="9"/>
        <v>9.418000000000001E-3</v>
      </c>
    </row>
    <row r="94" spans="1:15" x14ac:dyDescent="0.2">
      <c r="A94" t="s">
        <v>100</v>
      </c>
      <c r="B94">
        <v>0.16436999999999999</v>
      </c>
      <c r="C94">
        <v>-5.6529999999999997E-2</v>
      </c>
      <c r="D94">
        <v>-0.12873000000000001</v>
      </c>
      <c r="E94">
        <v>-8.7830000000000005E-2</v>
      </c>
      <c r="F94">
        <v>1.2369999999999999E-2</v>
      </c>
      <c r="G94">
        <v>-7.6429999999999998E-2</v>
      </c>
      <c r="H94">
        <v>-9.2330000000000009E-2</v>
      </c>
      <c r="I94" s="2">
        <f t="shared" si="10"/>
        <v>0.16286999999999999</v>
      </c>
      <c r="J94" s="2">
        <f t="shared" si="10"/>
        <v>-5.8029999999999998E-2</v>
      </c>
      <c r="K94" s="2">
        <f t="shared" si="9"/>
        <v>-0.13023000000000001</v>
      </c>
      <c r="L94" s="2">
        <f t="shared" si="9"/>
        <v>-8.9330000000000007E-2</v>
      </c>
      <c r="M94" s="2">
        <f t="shared" si="9"/>
        <v>1.0869999999999999E-2</v>
      </c>
      <c r="N94" s="2">
        <f t="shared" si="9"/>
        <v>-7.7929999999999999E-2</v>
      </c>
      <c r="O94" s="2">
        <f t="shared" si="9"/>
        <v>-9.3830000000000011E-2</v>
      </c>
    </row>
    <row r="95" spans="1:15" x14ac:dyDescent="0.2">
      <c r="A95" t="s">
        <v>101</v>
      </c>
      <c r="B95">
        <v>-0.579592</v>
      </c>
      <c r="C95">
        <v>-0.38809199999999999</v>
      </c>
      <c r="D95">
        <v>-2.6492000000000002E-2</v>
      </c>
      <c r="E95">
        <v>-6.0892000000000002E-2</v>
      </c>
      <c r="F95">
        <v>-6.8891999999999995E-2</v>
      </c>
      <c r="G95">
        <v>-0.182892</v>
      </c>
      <c r="H95">
        <v>-0.17019199999999998</v>
      </c>
      <c r="I95" s="2">
        <f t="shared" si="10"/>
        <v>-0.58109199999999994</v>
      </c>
      <c r="J95" s="2">
        <f t="shared" si="10"/>
        <v>-0.38959199999999999</v>
      </c>
      <c r="K95" s="2">
        <f t="shared" si="9"/>
        <v>-2.7992000000000003E-2</v>
      </c>
      <c r="L95" s="2">
        <f t="shared" si="9"/>
        <v>-6.2392000000000003E-2</v>
      </c>
      <c r="M95" s="2">
        <f t="shared" si="9"/>
        <v>-7.0391999999999996E-2</v>
      </c>
      <c r="N95" s="2">
        <f t="shared" si="9"/>
        <v>-0.184392</v>
      </c>
      <c r="O95" s="2">
        <f t="shared" si="9"/>
        <v>-0.17169199999999998</v>
      </c>
    </row>
    <row r="96" spans="1:15" x14ac:dyDescent="0.2">
      <c r="A96" t="s">
        <v>102</v>
      </c>
      <c r="B96">
        <v>0.228072</v>
      </c>
      <c r="C96">
        <v>-9.5228000000000007E-2</v>
      </c>
      <c r="D96">
        <v>6.6671999999999995E-2</v>
      </c>
      <c r="E96">
        <v>0.100172</v>
      </c>
      <c r="F96">
        <v>1.072E-3</v>
      </c>
      <c r="G96">
        <v>-0.154228</v>
      </c>
      <c r="H96">
        <v>-7.5028000000000011E-2</v>
      </c>
      <c r="I96" s="2">
        <f t="shared" si="10"/>
        <v>0.226572</v>
      </c>
      <c r="J96" s="2">
        <f t="shared" si="10"/>
        <v>-9.6728000000000008E-2</v>
      </c>
      <c r="K96" s="2">
        <f t="shared" si="9"/>
        <v>6.5171999999999994E-2</v>
      </c>
      <c r="L96" s="2">
        <f t="shared" si="9"/>
        <v>9.8671999999999996E-2</v>
      </c>
      <c r="M96" s="2">
        <f t="shared" si="9"/>
        <v>-4.28E-4</v>
      </c>
      <c r="N96" s="2">
        <f t="shared" si="9"/>
        <v>-0.15572800000000001</v>
      </c>
      <c r="O96" s="2">
        <f t="shared" si="9"/>
        <v>-7.6528000000000013E-2</v>
      </c>
    </row>
    <row r="97" spans="1:15" x14ac:dyDescent="0.2">
      <c r="A97" t="s">
        <v>103</v>
      </c>
      <c r="B97">
        <v>-0.148729</v>
      </c>
      <c r="C97">
        <v>-0.38932899999999998</v>
      </c>
      <c r="D97">
        <v>-2.1289999999999998E-3</v>
      </c>
      <c r="E97">
        <v>3.8270999999999999E-2</v>
      </c>
      <c r="F97">
        <v>7.5709999999999996E-3</v>
      </c>
      <c r="G97">
        <v>2.2771E-2</v>
      </c>
      <c r="H97">
        <v>7.7709999999999993E-3</v>
      </c>
      <c r="I97" s="2">
        <f t="shared" si="10"/>
        <v>-0.150229</v>
      </c>
      <c r="J97" s="2">
        <f t="shared" si="10"/>
        <v>-0.39082899999999998</v>
      </c>
      <c r="K97" s="2">
        <f t="shared" si="9"/>
        <v>-3.6289999999999998E-3</v>
      </c>
      <c r="L97" s="2">
        <f t="shared" si="9"/>
        <v>3.6770999999999998E-2</v>
      </c>
      <c r="M97" s="2">
        <f t="shared" si="9"/>
        <v>6.071E-3</v>
      </c>
      <c r="N97" s="2">
        <f t="shared" si="9"/>
        <v>2.1270999999999998E-2</v>
      </c>
      <c r="O97" s="2">
        <f t="shared" si="9"/>
        <v>6.2709999999999988E-3</v>
      </c>
    </row>
    <row r="98" spans="1:15" x14ac:dyDescent="0.2">
      <c r="A98" t="s">
        <v>104</v>
      </c>
      <c r="B98">
        <v>-0.183423</v>
      </c>
      <c r="C98">
        <v>-5.9423000000000004E-2</v>
      </c>
      <c r="D98">
        <v>-0.123123</v>
      </c>
      <c r="E98">
        <v>-0.106223</v>
      </c>
      <c r="F98">
        <v>-0.159523</v>
      </c>
      <c r="G98">
        <v>-9.6422999999999995E-2</v>
      </c>
      <c r="H98">
        <v>-8.5722999999999994E-2</v>
      </c>
      <c r="I98" s="2">
        <f t="shared" si="10"/>
        <v>-0.184923</v>
      </c>
      <c r="J98" s="2">
        <f t="shared" si="10"/>
        <v>-6.0923000000000005E-2</v>
      </c>
      <c r="K98" s="2">
        <f t="shared" si="9"/>
        <v>-0.124623</v>
      </c>
      <c r="L98" s="2">
        <f t="shared" si="9"/>
        <v>-0.107723</v>
      </c>
      <c r="M98" s="2">
        <f t="shared" si="9"/>
        <v>-0.161023</v>
      </c>
      <c r="N98" s="2">
        <f t="shared" si="9"/>
        <v>-9.7922999999999996E-2</v>
      </c>
      <c r="O98" s="2">
        <f t="shared" si="9"/>
        <v>-8.7222999999999995E-2</v>
      </c>
    </row>
    <row r="99" spans="1:15" x14ac:dyDescent="0.2">
      <c r="A99" t="s">
        <v>105</v>
      </c>
      <c r="B99">
        <v>6.9353000000000012E-2</v>
      </c>
      <c r="C99">
        <v>-0.25264700000000001</v>
      </c>
      <c r="D99">
        <v>-3.4647000000000004E-2</v>
      </c>
      <c r="E99">
        <v>-4.5047000000000004E-2</v>
      </c>
      <c r="F99">
        <v>4.4852999999999997E-2</v>
      </c>
      <c r="G99">
        <v>-8.7846999999999995E-2</v>
      </c>
      <c r="H99">
        <v>-0.11004699999999999</v>
      </c>
      <c r="I99" s="2">
        <f t="shared" si="10"/>
        <v>6.7853000000000011E-2</v>
      </c>
      <c r="J99" s="2">
        <f t="shared" si="10"/>
        <v>-0.25414700000000001</v>
      </c>
      <c r="K99" s="2">
        <f t="shared" si="9"/>
        <v>-3.6147000000000006E-2</v>
      </c>
      <c r="L99" s="2">
        <f t="shared" si="9"/>
        <v>-4.6547000000000005E-2</v>
      </c>
      <c r="M99" s="2">
        <f t="shared" si="9"/>
        <v>4.3352999999999996E-2</v>
      </c>
      <c r="N99" s="2">
        <f t="shared" si="9"/>
        <v>-8.9346999999999996E-2</v>
      </c>
      <c r="O99" s="2">
        <f t="shared" si="9"/>
        <v>-0.11154699999999999</v>
      </c>
    </row>
    <row r="100" spans="1:15" x14ac:dyDescent="0.2">
      <c r="A100" t="s">
        <v>106</v>
      </c>
      <c r="B100">
        <v>0.31484099999999998</v>
      </c>
      <c r="C100">
        <v>-0.137959</v>
      </c>
      <c r="D100">
        <v>6.0040999999999997E-2</v>
      </c>
      <c r="E100">
        <v>5.8341000000000004E-2</v>
      </c>
      <c r="F100">
        <v>6.4040999999999987E-2</v>
      </c>
      <c r="G100">
        <v>0.214641</v>
      </c>
      <c r="H100">
        <v>8.5240999999999997E-2</v>
      </c>
      <c r="I100" s="2">
        <f t="shared" si="10"/>
        <v>0.31334099999999998</v>
      </c>
      <c r="J100" s="2">
        <f t="shared" si="10"/>
        <v>-0.139459</v>
      </c>
      <c r="K100" s="2">
        <f t="shared" si="9"/>
        <v>5.8540999999999996E-2</v>
      </c>
      <c r="L100" s="2">
        <f t="shared" si="9"/>
        <v>5.6841000000000003E-2</v>
      </c>
      <c r="M100" s="2">
        <f t="shared" si="9"/>
        <v>6.2540999999999985E-2</v>
      </c>
      <c r="N100" s="2">
        <f t="shared" si="9"/>
        <v>0.213141</v>
      </c>
      <c r="O100" s="2">
        <f t="shared" si="9"/>
        <v>8.3740999999999996E-2</v>
      </c>
    </row>
    <row r="101" spans="1:15" x14ac:dyDescent="0.2">
      <c r="A101" t="s">
        <v>107</v>
      </c>
      <c r="B101">
        <v>1.2736750000000001</v>
      </c>
      <c r="C101">
        <v>-1.0425E-2</v>
      </c>
      <c r="D101">
        <v>3.2875000000000001E-2</v>
      </c>
      <c r="E101">
        <v>1.9074999999999998E-2</v>
      </c>
      <c r="F101">
        <v>-3.2724999999999997E-2</v>
      </c>
      <c r="G101">
        <v>0.19967500000000002</v>
      </c>
      <c r="H101">
        <v>9.3774999999999997E-2</v>
      </c>
      <c r="I101" s="2">
        <f t="shared" si="10"/>
        <v>1.2721750000000001</v>
      </c>
      <c r="J101" s="2">
        <f t="shared" si="10"/>
        <v>-1.1925E-2</v>
      </c>
      <c r="K101" s="2">
        <f t="shared" si="9"/>
        <v>3.1375E-2</v>
      </c>
      <c r="L101" s="2">
        <f t="shared" si="9"/>
        <v>1.7574999999999997E-2</v>
      </c>
      <c r="M101" s="2">
        <f t="shared" si="9"/>
        <v>-3.4224999999999998E-2</v>
      </c>
      <c r="N101" s="2">
        <f t="shared" si="9"/>
        <v>0.19817500000000002</v>
      </c>
      <c r="O101" s="2">
        <f t="shared" si="9"/>
        <v>9.2274999999999996E-2</v>
      </c>
    </row>
    <row r="102" spans="1:15" x14ac:dyDescent="0.2">
      <c r="A102" t="s">
        <v>108</v>
      </c>
      <c r="B102">
        <v>-3.8517000000000003E-2</v>
      </c>
      <c r="C102">
        <v>-0.6094170000000001</v>
      </c>
      <c r="D102">
        <v>-3.2417000000000001E-2</v>
      </c>
      <c r="E102">
        <v>-3.5617000000000003E-2</v>
      </c>
      <c r="F102">
        <v>-7.7169999999999999E-3</v>
      </c>
      <c r="G102">
        <v>-4.3917000000000005E-2</v>
      </c>
      <c r="H102">
        <v>5.3082999999999998E-2</v>
      </c>
      <c r="I102" s="2">
        <f t="shared" si="10"/>
        <v>-4.0017000000000004E-2</v>
      </c>
      <c r="J102" s="2">
        <f t="shared" si="10"/>
        <v>-0.61091700000000004</v>
      </c>
      <c r="K102" s="2">
        <f t="shared" si="9"/>
        <v>-3.3917000000000003E-2</v>
      </c>
      <c r="L102" s="2">
        <f t="shared" si="9"/>
        <v>-3.7117000000000004E-2</v>
      </c>
      <c r="M102" s="2">
        <f t="shared" si="9"/>
        <v>-9.2169999999999995E-3</v>
      </c>
      <c r="N102" s="2">
        <f t="shared" si="9"/>
        <v>-4.5417000000000006E-2</v>
      </c>
      <c r="O102" s="2">
        <f t="shared" si="9"/>
        <v>5.1582999999999997E-2</v>
      </c>
    </row>
    <row r="103" spans="1:15" x14ac:dyDescent="0.2">
      <c r="A103" t="s">
        <v>109</v>
      </c>
      <c r="B103">
        <v>5.5625000000000001E-2</v>
      </c>
      <c r="C103">
        <v>5.0125000000000003E-2</v>
      </c>
      <c r="D103">
        <v>1.9250000000000001E-3</v>
      </c>
      <c r="E103">
        <v>5.0125000000000003E-2</v>
      </c>
      <c r="F103">
        <v>-2.6175E-2</v>
      </c>
      <c r="G103">
        <v>4.2249999999999996E-3</v>
      </c>
      <c r="H103">
        <v>1.25E-4</v>
      </c>
      <c r="I103" s="2">
        <f t="shared" si="10"/>
        <v>5.4125E-2</v>
      </c>
      <c r="J103" s="2">
        <f t="shared" si="10"/>
        <v>4.8625000000000002E-2</v>
      </c>
      <c r="K103" s="2">
        <f t="shared" si="10"/>
        <v>4.2500000000000003E-4</v>
      </c>
      <c r="L103" s="2">
        <f t="shared" si="10"/>
        <v>4.8625000000000002E-2</v>
      </c>
      <c r="M103" s="2">
        <f t="shared" si="10"/>
        <v>-2.7675000000000002E-2</v>
      </c>
      <c r="N103" s="2">
        <f t="shared" si="10"/>
        <v>2.7249999999999996E-3</v>
      </c>
      <c r="O103" s="2">
        <f t="shared" si="10"/>
        <v>-1.3749999999999999E-3</v>
      </c>
    </row>
    <row r="104" spans="1:15" x14ac:dyDescent="0.2">
      <c r="A104" t="s">
        <v>110</v>
      </c>
      <c r="B104">
        <v>0.31788100000000002</v>
      </c>
      <c r="C104">
        <v>6.0281000000000001E-2</v>
      </c>
      <c r="D104">
        <v>7.4281E-2</v>
      </c>
      <c r="E104">
        <v>6.0281000000000001E-2</v>
      </c>
      <c r="F104">
        <v>2.9581E-2</v>
      </c>
      <c r="G104">
        <v>0.104981</v>
      </c>
      <c r="H104">
        <v>7.3981000000000005E-2</v>
      </c>
      <c r="I104" s="2">
        <f t="shared" si="10"/>
        <v>0.31638100000000002</v>
      </c>
      <c r="J104" s="2">
        <f t="shared" si="10"/>
        <v>5.8781E-2</v>
      </c>
      <c r="K104" s="2">
        <f t="shared" si="10"/>
        <v>7.2780999999999998E-2</v>
      </c>
      <c r="L104" s="2">
        <f t="shared" si="10"/>
        <v>5.8781E-2</v>
      </c>
      <c r="M104" s="2">
        <f t="shared" si="10"/>
        <v>2.8080999999999998E-2</v>
      </c>
      <c r="N104" s="2">
        <f t="shared" si="10"/>
        <v>0.103481</v>
      </c>
      <c r="O104" s="2">
        <f t="shared" si="10"/>
        <v>7.2481000000000004E-2</v>
      </c>
    </row>
    <row r="105" spans="1:15" x14ac:dyDescent="0.2">
      <c r="A105" t="s">
        <v>111</v>
      </c>
      <c r="B105">
        <v>-5.0116000000000001E-2</v>
      </c>
      <c r="C105">
        <v>-3.2215999999999995E-2</v>
      </c>
      <c r="D105">
        <v>-7.0159999999999997E-3</v>
      </c>
      <c r="E105">
        <v>-3.2215999999999995E-2</v>
      </c>
      <c r="F105">
        <v>2.5283999999999997E-2</v>
      </c>
      <c r="G105">
        <v>8.1484000000000001E-2</v>
      </c>
      <c r="H105">
        <v>3.3484E-2</v>
      </c>
      <c r="I105" s="2">
        <f t="shared" si="10"/>
        <v>-5.1616000000000002E-2</v>
      </c>
      <c r="J105" s="2">
        <f t="shared" si="10"/>
        <v>-3.3715999999999996E-2</v>
      </c>
      <c r="K105" s="2">
        <f t="shared" si="10"/>
        <v>-8.5159999999999993E-3</v>
      </c>
      <c r="L105" s="2">
        <f t="shared" si="10"/>
        <v>-3.3715999999999996E-2</v>
      </c>
      <c r="M105" s="2">
        <f t="shared" si="10"/>
        <v>2.3783999999999996E-2</v>
      </c>
      <c r="N105" s="2">
        <f t="shared" si="10"/>
        <v>7.9984E-2</v>
      </c>
      <c r="O105" s="2">
        <f t="shared" si="10"/>
        <v>3.1983999999999999E-2</v>
      </c>
    </row>
    <row r="106" spans="1:15" x14ac:dyDescent="0.2">
      <c r="A106" t="s">
        <v>112</v>
      </c>
      <c r="B106">
        <v>-5.1379000000000001E-2</v>
      </c>
      <c r="C106">
        <v>-2.4878999999999998E-2</v>
      </c>
      <c r="D106">
        <v>3.6821E-2</v>
      </c>
      <c r="E106">
        <v>-2.4878999999999998E-2</v>
      </c>
      <c r="F106">
        <v>-3.5079000000000006E-2</v>
      </c>
      <c r="G106">
        <v>-6.8789999999999997E-3</v>
      </c>
      <c r="H106">
        <v>3.5621E-2</v>
      </c>
      <c r="I106" s="2">
        <f t="shared" si="10"/>
        <v>-5.2879000000000002E-2</v>
      </c>
      <c r="J106" s="2">
        <f t="shared" si="10"/>
        <v>-2.6379E-2</v>
      </c>
      <c r="K106" s="2">
        <f t="shared" si="10"/>
        <v>3.5320999999999998E-2</v>
      </c>
      <c r="L106" s="2">
        <f t="shared" si="10"/>
        <v>-2.6379E-2</v>
      </c>
      <c r="M106" s="2">
        <f t="shared" si="10"/>
        <v>-3.6579000000000007E-2</v>
      </c>
      <c r="N106" s="2">
        <f t="shared" si="10"/>
        <v>-8.3789999999999993E-3</v>
      </c>
      <c r="O106" s="2">
        <f t="shared" si="10"/>
        <v>3.4120999999999999E-2</v>
      </c>
    </row>
    <row r="107" spans="1:15" x14ac:dyDescent="0.2">
      <c r="A107" t="s">
        <v>113</v>
      </c>
      <c r="B107">
        <v>-2.9139999999999999E-2</v>
      </c>
      <c r="C107">
        <v>-6.7400000000000003E-3</v>
      </c>
      <c r="D107">
        <v>-3.474E-2</v>
      </c>
      <c r="E107">
        <v>-6.7400000000000003E-3</v>
      </c>
      <c r="F107">
        <v>1.196E-2</v>
      </c>
      <c r="G107">
        <v>3.746E-2</v>
      </c>
      <c r="H107">
        <v>-1.984E-2</v>
      </c>
      <c r="I107" s="2">
        <f t="shared" si="10"/>
        <v>-3.0640000000000001E-2</v>
      </c>
      <c r="J107" s="2">
        <f t="shared" si="10"/>
        <v>-8.2400000000000008E-3</v>
      </c>
      <c r="K107" s="2">
        <f t="shared" si="10"/>
        <v>-3.6240000000000001E-2</v>
      </c>
      <c r="L107" s="2">
        <f t="shared" si="10"/>
        <v>-8.2400000000000008E-3</v>
      </c>
      <c r="M107" s="2">
        <f t="shared" si="10"/>
        <v>1.0460000000000001E-2</v>
      </c>
      <c r="N107" s="2">
        <f t="shared" si="10"/>
        <v>3.5959999999999999E-2</v>
      </c>
      <c r="O107" s="2">
        <f t="shared" si="10"/>
        <v>-2.1340000000000001E-2</v>
      </c>
    </row>
    <row r="108" spans="1:15" x14ac:dyDescent="0.2">
      <c r="A108" t="s">
        <v>114</v>
      </c>
      <c r="B108">
        <v>0.26999600000000001</v>
      </c>
      <c r="C108">
        <v>9.7996E-2</v>
      </c>
      <c r="D108">
        <v>4.9496000000000005E-2</v>
      </c>
      <c r="E108">
        <v>6.3196000000000002E-2</v>
      </c>
      <c r="F108">
        <v>9.7996E-2</v>
      </c>
      <c r="G108">
        <v>-3.5203999999999999E-2</v>
      </c>
      <c r="H108">
        <v>5.7396000000000003E-2</v>
      </c>
      <c r="I108" s="2">
        <f t="shared" si="10"/>
        <v>0.26849600000000001</v>
      </c>
      <c r="J108" s="2">
        <f t="shared" si="10"/>
        <v>9.6495999999999998E-2</v>
      </c>
      <c r="K108" s="2">
        <f t="shared" si="10"/>
        <v>4.7996000000000004E-2</v>
      </c>
      <c r="L108" s="2">
        <f t="shared" si="10"/>
        <v>6.1696000000000001E-2</v>
      </c>
      <c r="M108" s="2">
        <f t="shared" si="10"/>
        <v>9.6495999999999998E-2</v>
      </c>
      <c r="N108" s="2">
        <f t="shared" si="10"/>
        <v>-3.6704000000000001E-2</v>
      </c>
      <c r="O108" s="2">
        <f t="shared" si="10"/>
        <v>5.5896000000000001E-2</v>
      </c>
    </row>
    <row r="109" spans="1:15" x14ac:dyDescent="0.2">
      <c r="A109" t="s">
        <v>115</v>
      </c>
      <c r="B109">
        <v>0.12483799999999999</v>
      </c>
      <c r="C109">
        <v>-1.5262E-2</v>
      </c>
      <c r="D109">
        <v>4.0438000000000002E-2</v>
      </c>
      <c r="E109">
        <v>5.3038000000000002E-2</v>
      </c>
      <c r="F109">
        <v>-1.5262E-2</v>
      </c>
      <c r="G109">
        <v>3.8837999999999998E-2</v>
      </c>
      <c r="H109">
        <v>1.7738E-2</v>
      </c>
      <c r="I109" s="2">
        <f t="shared" si="10"/>
        <v>0.12333799999999999</v>
      </c>
      <c r="J109" s="2">
        <f t="shared" si="10"/>
        <v>-1.6761999999999999E-2</v>
      </c>
      <c r="K109" s="2">
        <f t="shared" si="10"/>
        <v>3.8938E-2</v>
      </c>
      <c r="L109" s="2">
        <f t="shared" si="10"/>
        <v>5.1538E-2</v>
      </c>
      <c r="M109" s="2">
        <f t="shared" si="10"/>
        <v>-1.6761999999999999E-2</v>
      </c>
      <c r="N109" s="2">
        <f t="shared" si="10"/>
        <v>3.7337999999999996E-2</v>
      </c>
      <c r="O109" s="2">
        <f t="shared" si="10"/>
        <v>1.6237999999999999E-2</v>
      </c>
    </row>
    <row r="110" spans="1:15" x14ac:dyDescent="0.2">
      <c r="A110" t="s">
        <v>116</v>
      </c>
      <c r="B110">
        <v>8.3972000000000005E-2</v>
      </c>
      <c r="C110">
        <v>-4.28E-4</v>
      </c>
      <c r="D110">
        <v>-8.1528000000000003E-2</v>
      </c>
      <c r="E110">
        <v>-9.8827999999999999E-2</v>
      </c>
      <c r="F110">
        <v>-4.28E-4</v>
      </c>
      <c r="G110">
        <v>5.9971999999999998E-2</v>
      </c>
      <c r="H110">
        <v>-3.7027999999999998E-2</v>
      </c>
      <c r="I110" s="2">
        <f t="shared" si="10"/>
        <v>8.2472000000000004E-2</v>
      </c>
      <c r="J110" s="2">
        <f t="shared" si="10"/>
        <v>-1.928E-3</v>
      </c>
      <c r="K110" s="2">
        <f t="shared" si="10"/>
        <v>-8.3028000000000005E-2</v>
      </c>
      <c r="L110" s="2">
        <f t="shared" si="10"/>
        <v>-0.100328</v>
      </c>
      <c r="M110" s="2">
        <f t="shared" si="10"/>
        <v>-1.928E-3</v>
      </c>
      <c r="N110" s="2">
        <f t="shared" si="10"/>
        <v>5.8471999999999996E-2</v>
      </c>
      <c r="O110" s="2">
        <f t="shared" si="10"/>
        <v>-3.8528E-2</v>
      </c>
    </row>
    <row r="111" spans="1:15" x14ac:dyDescent="0.2">
      <c r="A111" t="s">
        <v>117</v>
      </c>
      <c r="B111">
        <v>8.2990000000000008E-2</v>
      </c>
      <c r="C111">
        <v>1.1990000000000001E-2</v>
      </c>
      <c r="D111">
        <v>-2.171E-2</v>
      </c>
      <c r="E111">
        <v>-1.6709999999999999E-2</v>
      </c>
      <c r="F111">
        <v>1.1990000000000001E-2</v>
      </c>
      <c r="G111">
        <v>8.2900000000000005E-3</v>
      </c>
      <c r="H111">
        <v>2.8490000000000001E-2</v>
      </c>
      <c r="I111" s="2">
        <f t="shared" si="10"/>
        <v>8.1490000000000007E-2</v>
      </c>
      <c r="J111" s="2">
        <f t="shared" si="10"/>
        <v>1.0490000000000001E-2</v>
      </c>
      <c r="K111" s="2">
        <f t="shared" si="10"/>
        <v>-2.3210000000000001E-2</v>
      </c>
      <c r="L111" s="2">
        <f t="shared" si="10"/>
        <v>-1.821E-2</v>
      </c>
      <c r="M111" s="2">
        <f t="shared" si="10"/>
        <v>1.0490000000000001E-2</v>
      </c>
      <c r="N111" s="2">
        <f t="shared" si="10"/>
        <v>6.7900000000000009E-3</v>
      </c>
      <c r="O111" s="2">
        <f t="shared" si="10"/>
        <v>2.699E-2</v>
      </c>
    </row>
    <row r="112" spans="1:15" x14ac:dyDescent="0.2">
      <c r="A112" t="s">
        <v>118</v>
      </c>
      <c r="B112">
        <v>7.0632E-2</v>
      </c>
      <c r="C112">
        <v>3.4032E-2</v>
      </c>
      <c r="D112">
        <v>4.1432000000000004E-2</v>
      </c>
      <c r="E112">
        <v>7.2132000000000002E-2</v>
      </c>
      <c r="F112">
        <v>3.4032E-2</v>
      </c>
      <c r="G112">
        <v>2.0932000000000003E-2</v>
      </c>
      <c r="H112">
        <v>5.8731999999999999E-2</v>
      </c>
      <c r="I112" s="2">
        <f t="shared" si="10"/>
        <v>6.9131999999999999E-2</v>
      </c>
      <c r="J112" s="2">
        <f t="shared" si="10"/>
        <v>3.2531999999999998E-2</v>
      </c>
      <c r="K112" s="2">
        <f t="shared" si="10"/>
        <v>3.9932000000000002E-2</v>
      </c>
      <c r="L112" s="2">
        <f t="shared" si="10"/>
        <v>7.0632E-2</v>
      </c>
      <c r="M112" s="2">
        <f t="shared" si="10"/>
        <v>3.2531999999999998E-2</v>
      </c>
      <c r="N112" s="2">
        <f t="shared" si="10"/>
        <v>1.9432000000000001E-2</v>
      </c>
      <c r="O112" s="2">
        <f t="shared" si="10"/>
        <v>5.7231999999999998E-2</v>
      </c>
    </row>
    <row r="113" spans="1:15" x14ac:dyDescent="0.2">
      <c r="A113" t="s">
        <v>119</v>
      </c>
      <c r="B113">
        <v>3.5688999999999999E-2</v>
      </c>
      <c r="C113">
        <v>8.1088999999999994E-2</v>
      </c>
      <c r="D113">
        <v>2.4889000000000001E-2</v>
      </c>
      <c r="E113">
        <v>-5.3810999999999998E-2</v>
      </c>
      <c r="F113">
        <v>-3.5410999999999998E-2</v>
      </c>
      <c r="G113">
        <v>8.1088999999999994E-2</v>
      </c>
      <c r="H113">
        <v>1.4689000000000001E-2</v>
      </c>
      <c r="I113" s="2">
        <f t="shared" si="10"/>
        <v>3.4188999999999997E-2</v>
      </c>
      <c r="J113" s="2">
        <f t="shared" si="10"/>
        <v>7.9588999999999993E-2</v>
      </c>
      <c r="K113" s="2">
        <f t="shared" si="10"/>
        <v>2.3389E-2</v>
      </c>
      <c r="L113" s="2">
        <f t="shared" si="10"/>
        <v>-5.5310999999999999E-2</v>
      </c>
      <c r="M113" s="2">
        <f t="shared" si="10"/>
        <v>-3.6910999999999999E-2</v>
      </c>
      <c r="N113" s="2">
        <f t="shared" si="10"/>
        <v>7.9588999999999993E-2</v>
      </c>
      <c r="O113" s="2">
        <f t="shared" si="10"/>
        <v>1.3189000000000001E-2</v>
      </c>
    </row>
    <row r="114" spans="1:15" x14ac:dyDescent="0.2">
      <c r="A114" t="s">
        <v>120</v>
      </c>
      <c r="B114">
        <v>-9.9211999999999995E-2</v>
      </c>
      <c r="C114">
        <v>-3.8212000000000003E-2</v>
      </c>
      <c r="D114">
        <v>-6.7612000000000005E-2</v>
      </c>
      <c r="E114">
        <v>-4.7912000000000003E-2</v>
      </c>
      <c r="F114">
        <v>-5.2111999999999999E-2</v>
      </c>
      <c r="G114">
        <v>-3.8212000000000003E-2</v>
      </c>
      <c r="H114">
        <v>-8.2112000000000004E-2</v>
      </c>
      <c r="I114" s="2">
        <f t="shared" si="10"/>
        <v>-0.100712</v>
      </c>
      <c r="J114" s="2">
        <f t="shared" si="10"/>
        <v>-3.9712000000000004E-2</v>
      </c>
      <c r="K114" s="2">
        <f t="shared" si="10"/>
        <v>-6.9112000000000007E-2</v>
      </c>
      <c r="L114" s="2">
        <f t="shared" si="10"/>
        <v>-4.9412000000000005E-2</v>
      </c>
      <c r="M114" s="2">
        <f t="shared" si="10"/>
        <v>-5.3612E-2</v>
      </c>
      <c r="N114" s="2">
        <f t="shared" si="10"/>
        <v>-3.9712000000000004E-2</v>
      </c>
      <c r="O114" s="2">
        <f t="shared" si="10"/>
        <v>-8.3612000000000006E-2</v>
      </c>
    </row>
    <row r="115" spans="1:15" x14ac:dyDescent="0.2">
      <c r="A115" t="s">
        <v>121</v>
      </c>
      <c r="B115">
        <v>-0.14082699999999998</v>
      </c>
      <c r="C115">
        <v>-9.8427000000000001E-2</v>
      </c>
      <c r="D115">
        <v>-4.627E-3</v>
      </c>
      <c r="E115">
        <v>1.8073000000000002E-2</v>
      </c>
      <c r="F115">
        <v>-4.9327000000000003E-2</v>
      </c>
      <c r="G115">
        <v>-9.8427000000000001E-2</v>
      </c>
      <c r="H115">
        <v>-5.4027000000000006E-2</v>
      </c>
      <c r="I115" s="2">
        <f t="shared" si="10"/>
        <v>-0.14232699999999998</v>
      </c>
      <c r="J115" s="2">
        <f t="shared" si="10"/>
        <v>-9.9927000000000002E-2</v>
      </c>
      <c r="K115" s="2">
        <f t="shared" si="10"/>
        <v>-6.1270000000000005E-3</v>
      </c>
      <c r="L115" s="2">
        <f t="shared" si="10"/>
        <v>1.6573000000000001E-2</v>
      </c>
      <c r="M115" s="2">
        <f t="shared" si="10"/>
        <v>-5.0827000000000004E-2</v>
      </c>
      <c r="N115" s="2">
        <f t="shared" si="10"/>
        <v>-9.9927000000000002E-2</v>
      </c>
      <c r="O115" s="2">
        <f t="shared" si="10"/>
        <v>-5.5527000000000007E-2</v>
      </c>
    </row>
    <row r="116" spans="1:15" x14ac:dyDescent="0.2">
      <c r="A116" t="s">
        <v>122</v>
      </c>
      <c r="B116">
        <v>0.26675800000000005</v>
      </c>
      <c r="C116">
        <v>4.3557999999999999E-2</v>
      </c>
      <c r="D116">
        <v>9.0757999999999991E-2</v>
      </c>
      <c r="E116">
        <v>0.125058</v>
      </c>
      <c r="F116">
        <v>6.4757999999999996E-2</v>
      </c>
      <c r="G116">
        <v>4.3557999999999999E-2</v>
      </c>
      <c r="H116">
        <v>6.8657999999999997E-2</v>
      </c>
      <c r="I116" s="2">
        <f t="shared" si="10"/>
        <v>0.26525800000000005</v>
      </c>
      <c r="J116" s="2">
        <f t="shared" si="10"/>
        <v>4.2057999999999998E-2</v>
      </c>
      <c r="K116" s="2">
        <f t="shared" si="10"/>
        <v>8.925799999999999E-2</v>
      </c>
      <c r="L116" s="2">
        <f t="shared" si="10"/>
        <v>0.123558</v>
      </c>
      <c r="M116" s="2">
        <f t="shared" si="10"/>
        <v>6.3257999999999995E-2</v>
      </c>
      <c r="N116" s="2">
        <f t="shared" si="10"/>
        <v>4.2057999999999998E-2</v>
      </c>
      <c r="O116" s="2">
        <f t="shared" si="10"/>
        <v>6.7157999999999995E-2</v>
      </c>
    </row>
    <row r="117" spans="1:15" x14ac:dyDescent="0.2">
      <c r="A117" t="s">
        <v>123</v>
      </c>
      <c r="B117">
        <v>-0.116426</v>
      </c>
      <c r="C117">
        <v>1.5739999999999999E-3</v>
      </c>
      <c r="D117">
        <v>4.1874000000000001E-2</v>
      </c>
      <c r="E117">
        <v>1.6073999999999998E-2</v>
      </c>
      <c r="F117">
        <v>-1.4825999999999999E-2</v>
      </c>
      <c r="G117">
        <v>1.5739999999999999E-3</v>
      </c>
      <c r="H117">
        <v>-4.7525999999999999E-2</v>
      </c>
      <c r="I117" s="2">
        <f t="shared" ref="I117:O153" si="11">B117-$R$3</f>
        <v>-0.117926</v>
      </c>
      <c r="J117" s="2">
        <f t="shared" si="11"/>
        <v>7.3999999999999847E-5</v>
      </c>
      <c r="K117" s="2">
        <f t="shared" si="11"/>
        <v>4.0374E-2</v>
      </c>
      <c r="L117" s="2">
        <f t="shared" si="11"/>
        <v>1.4573999999999998E-2</v>
      </c>
      <c r="M117" s="2">
        <f t="shared" si="11"/>
        <v>-1.6326E-2</v>
      </c>
      <c r="N117" s="2">
        <f t="shared" si="11"/>
        <v>7.3999999999999847E-5</v>
      </c>
      <c r="O117" s="2">
        <f t="shared" si="11"/>
        <v>-4.9026E-2</v>
      </c>
    </row>
    <row r="118" spans="1:15" x14ac:dyDescent="0.2">
      <c r="A118" t="s">
        <v>124</v>
      </c>
      <c r="B118">
        <v>8.4474999999999995E-2</v>
      </c>
      <c r="C118">
        <v>3.6775000000000002E-2</v>
      </c>
      <c r="D118">
        <v>5.7974999999999999E-2</v>
      </c>
      <c r="E118">
        <v>0.103475</v>
      </c>
      <c r="F118">
        <v>6.7275000000000001E-2</v>
      </c>
      <c r="G118">
        <v>4.4475000000000001E-2</v>
      </c>
      <c r="H118">
        <v>8.7474999999999997E-2</v>
      </c>
      <c r="I118" s="2">
        <f t="shared" si="11"/>
        <v>8.2974999999999993E-2</v>
      </c>
      <c r="J118" s="2">
        <f t="shared" si="11"/>
        <v>3.5275000000000001E-2</v>
      </c>
      <c r="K118" s="2">
        <f t="shared" si="11"/>
        <v>5.6474999999999997E-2</v>
      </c>
      <c r="L118" s="2">
        <f t="shared" si="11"/>
        <v>0.101975</v>
      </c>
      <c r="M118" s="2">
        <f t="shared" si="11"/>
        <v>6.5775E-2</v>
      </c>
      <c r="N118" s="2">
        <f t="shared" si="11"/>
        <v>4.2974999999999999E-2</v>
      </c>
      <c r="O118" s="2">
        <f t="shared" si="11"/>
        <v>8.5974999999999996E-2</v>
      </c>
    </row>
    <row r="119" spans="1:15" x14ac:dyDescent="0.2">
      <c r="A119" t="s">
        <v>125</v>
      </c>
      <c r="B119">
        <v>0.15428800000000001</v>
      </c>
      <c r="C119">
        <v>-3.4812000000000003E-2</v>
      </c>
      <c r="D119">
        <v>1.1688E-2</v>
      </c>
      <c r="E119">
        <v>1.1088000000000001E-2</v>
      </c>
      <c r="F119">
        <v>1.1988E-2</v>
      </c>
      <c r="G119">
        <v>-2.8212000000000001E-2</v>
      </c>
      <c r="H119">
        <v>3.6788000000000001E-2</v>
      </c>
      <c r="I119" s="2">
        <f t="shared" si="11"/>
        <v>0.15278800000000001</v>
      </c>
      <c r="J119" s="2">
        <f t="shared" si="11"/>
        <v>-3.6312000000000004E-2</v>
      </c>
      <c r="K119" s="2">
        <f t="shared" si="11"/>
        <v>1.0188000000000001E-2</v>
      </c>
      <c r="L119" s="2">
        <f t="shared" si="11"/>
        <v>9.588000000000001E-3</v>
      </c>
      <c r="M119" s="2">
        <f t="shared" si="11"/>
        <v>1.0488000000000001E-2</v>
      </c>
      <c r="N119" s="2">
        <f t="shared" si="11"/>
        <v>-2.9712000000000002E-2</v>
      </c>
      <c r="O119" s="2">
        <f t="shared" si="11"/>
        <v>3.5288E-2</v>
      </c>
    </row>
    <row r="120" spans="1:15" x14ac:dyDescent="0.2">
      <c r="A120" t="s">
        <v>126</v>
      </c>
      <c r="B120">
        <v>0.12798599999999999</v>
      </c>
      <c r="C120">
        <v>1.8599999999999997E-4</v>
      </c>
      <c r="D120">
        <v>-2.5714000000000001E-2</v>
      </c>
      <c r="E120">
        <v>-1.4614E-2</v>
      </c>
      <c r="F120">
        <v>-1.614E-3</v>
      </c>
      <c r="G120">
        <v>0.101086</v>
      </c>
      <c r="H120">
        <v>-2.4139999999999999E-3</v>
      </c>
      <c r="I120" s="2">
        <f t="shared" si="11"/>
        <v>0.12648599999999999</v>
      </c>
      <c r="J120" s="2">
        <f t="shared" si="11"/>
        <v>-1.3140000000000001E-3</v>
      </c>
      <c r="K120" s="2">
        <f t="shared" si="11"/>
        <v>-2.7214000000000002E-2</v>
      </c>
      <c r="L120" s="2">
        <f t="shared" si="11"/>
        <v>-1.6114E-2</v>
      </c>
      <c r="M120" s="2">
        <f t="shared" si="11"/>
        <v>-3.114E-3</v>
      </c>
      <c r="N120" s="2">
        <f t="shared" si="11"/>
        <v>9.9585999999999994E-2</v>
      </c>
      <c r="O120" s="2">
        <f t="shared" si="11"/>
        <v>-3.9139999999999999E-3</v>
      </c>
    </row>
    <row r="121" spans="1:15" x14ac:dyDescent="0.2">
      <c r="A121" t="s">
        <v>127</v>
      </c>
      <c r="B121">
        <v>5.3159999999999999E-2</v>
      </c>
      <c r="C121">
        <v>7.7659999999999993E-2</v>
      </c>
      <c r="D121">
        <v>5.706E-2</v>
      </c>
      <c r="E121">
        <v>0.11766</v>
      </c>
      <c r="F121">
        <v>2.4599999999999999E-3</v>
      </c>
      <c r="G121">
        <v>5.586E-2</v>
      </c>
      <c r="H121">
        <v>6.5159999999999996E-2</v>
      </c>
      <c r="I121" s="2">
        <f t="shared" si="11"/>
        <v>5.1659999999999998E-2</v>
      </c>
      <c r="J121" s="2">
        <f t="shared" si="11"/>
        <v>7.6159999999999992E-2</v>
      </c>
      <c r="K121" s="2">
        <f t="shared" si="11"/>
        <v>5.5559999999999998E-2</v>
      </c>
      <c r="L121" s="2">
        <f t="shared" si="11"/>
        <v>0.11616</v>
      </c>
      <c r="M121" s="2">
        <f t="shared" si="11"/>
        <v>9.5999999999999992E-4</v>
      </c>
      <c r="N121" s="2">
        <f t="shared" si="11"/>
        <v>5.4359999999999999E-2</v>
      </c>
      <c r="O121" s="2">
        <f t="shared" si="11"/>
        <v>6.3659999999999994E-2</v>
      </c>
    </row>
    <row r="122" spans="1:15" x14ac:dyDescent="0.2">
      <c r="A122" t="s">
        <v>128</v>
      </c>
      <c r="B122">
        <v>-5.0065999999999999E-2</v>
      </c>
      <c r="C122">
        <v>-1.0066E-2</v>
      </c>
      <c r="D122">
        <v>-4.9565999999999999E-2</v>
      </c>
      <c r="E122">
        <v>8.8339999999999998E-3</v>
      </c>
      <c r="F122">
        <v>3.9634000000000003E-2</v>
      </c>
      <c r="G122">
        <v>-8.8165999999999994E-2</v>
      </c>
      <c r="H122">
        <v>2.2533999999999998E-2</v>
      </c>
      <c r="I122" s="2">
        <f t="shared" si="11"/>
        <v>-5.1566000000000001E-2</v>
      </c>
      <c r="J122" s="2">
        <f t="shared" si="11"/>
        <v>-1.1566E-2</v>
      </c>
      <c r="K122" s="2">
        <f t="shared" si="11"/>
        <v>-5.1066E-2</v>
      </c>
      <c r="L122" s="2">
        <f t="shared" si="11"/>
        <v>7.3340000000000002E-3</v>
      </c>
      <c r="M122" s="2">
        <f t="shared" si="11"/>
        <v>3.8134000000000001E-2</v>
      </c>
      <c r="N122" s="2">
        <f t="shared" si="11"/>
        <v>-8.9665999999999996E-2</v>
      </c>
      <c r="O122" s="2">
        <f t="shared" si="11"/>
        <v>2.1033999999999997E-2</v>
      </c>
    </row>
    <row r="123" spans="1:15" x14ac:dyDescent="0.2">
      <c r="A123" t="s">
        <v>129</v>
      </c>
      <c r="B123">
        <v>-5.6521999999999996E-2</v>
      </c>
      <c r="C123">
        <v>-8.1222000000000003E-2</v>
      </c>
      <c r="D123">
        <v>3.1077999999999998E-2</v>
      </c>
      <c r="E123">
        <v>3.6378000000000001E-2</v>
      </c>
      <c r="F123">
        <v>-7.3022000000000004E-2</v>
      </c>
      <c r="G123">
        <v>-3.7221999999999998E-2</v>
      </c>
      <c r="H123">
        <v>3.1878000000000004E-2</v>
      </c>
      <c r="I123" s="2">
        <f t="shared" si="11"/>
        <v>-5.8021999999999997E-2</v>
      </c>
      <c r="J123" s="2">
        <f t="shared" si="11"/>
        <v>-8.2722000000000004E-2</v>
      </c>
      <c r="K123" s="2">
        <f t="shared" si="11"/>
        <v>2.9577999999999997E-2</v>
      </c>
      <c r="L123" s="2">
        <f t="shared" si="11"/>
        <v>3.4877999999999999E-2</v>
      </c>
      <c r="M123" s="2">
        <f t="shared" si="11"/>
        <v>-7.4522000000000005E-2</v>
      </c>
      <c r="N123" s="2">
        <f t="shared" si="11"/>
        <v>-3.8721999999999999E-2</v>
      </c>
      <c r="O123" s="2">
        <f t="shared" si="11"/>
        <v>3.0378000000000002E-2</v>
      </c>
    </row>
    <row r="124" spans="1:15" x14ac:dyDescent="0.2">
      <c r="A124" t="s">
        <v>130</v>
      </c>
      <c r="B124">
        <v>-9.3669999999999986E-3</v>
      </c>
      <c r="C124">
        <v>-7.4666999999999997E-2</v>
      </c>
      <c r="D124">
        <v>7.8533000000000006E-2</v>
      </c>
      <c r="E124">
        <v>4.3833000000000004E-2</v>
      </c>
      <c r="F124">
        <v>8.2330000000000007E-3</v>
      </c>
      <c r="G124">
        <v>-4.8367E-2</v>
      </c>
      <c r="H124">
        <v>-1.067E-3</v>
      </c>
      <c r="I124" s="2">
        <f t="shared" si="11"/>
        <v>-1.0866999999999998E-2</v>
      </c>
      <c r="J124" s="2">
        <f t="shared" si="11"/>
        <v>-7.6166999999999999E-2</v>
      </c>
      <c r="K124" s="2">
        <f t="shared" si="11"/>
        <v>7.7033000000000004E-2</v>
      </c>
      <c r="L124" s="2">
        <f t="shared" si="11"/>
        <v>4.2333000000000003E-2</v>
      </c>
      <c r="M124" s="2">
        <f t="shared" si="11"/>
        <v>6.7330000000000011E-3</v>
      </c>
      <c r="N124" s="2">
        <f t="shared" si="11"/>
        <v>-4.9867000000000002E-2</v>
      </c>
      <c r="O124" s="2">
        <f t="shared" si="11"/>
        <v>-2.5669999999999998E-3</v>
      </c>
    </row>
    <row r="125" spans="1:15" x14ac:dyDescent="0.2">
      <c r="A125" t="s">
        <v>131</v>
      </c>
      <c r="B125">
        <v>3.7547000000000004E-2</v>
      </c>
      <c r="C125">
        <v>3.4147000000000004E-2</v>
      </c>
      <c r="D125">
        <v>3.0946999999999999E-2</v>
      </c>
      <c r="E125">
        <v>-7.1530000000000005E-3</v>
      </c>
      <c r="F125">
        <v>5.6247000000000005E-2</v>
      </c>
      <c r="G125">
        <v>-1.8253000000000002E-2</v>
      </c>
      <c r="H125">
        <v>2.8447E-2</v>
      </c>
      <c r="I125" s="2">
        <f t="shared" si="11"/>
        <v>3.6047000000000003E-2</v>
      </c>
      <c r="J125" s="2">
        <f t="shared" si="11"/>
        <v>3.2647000000000002E-2</v>
      </c>
      <c r="K125" s="2">
        <f t="shared" si="11"/>
        <v>2.9446999999999997E-2</v>
      </c>
      <c r="L125" s="2">
        <f t="shared" si="11"/>
        <v>-8.653000000000001E-3</v>
      </c>
      <c r="M125" s="2">
        <f t="shared" si="11"/>
        <v>5.4747000000000004E-2</v>
      </c>
      <c r="N125" s="2">
        <f t="shared" si="11"/>
        <v>-1.9753000000000003E-2</v>
      </c>
      <c r="O125" s="2">
        <f t="shared" si="11"/>
        <v>2.6946999999999999E-2</v>
      </c>
    </row>
    <row r="126" spans="1:15" x14ac:dyDescent="0.2">
      <c r="A126" t="s">
        <v>132</v>
      </c>
      <c r="B126">
        <v>-3.5612999999999999E-2</v>
      </c>
      <c r="C126">
        <v>-8.7130000000000003E-3</v>
      </c>
      <c r="D126">
        <v>1.4086999999999999E-2</v>
      </c>
      <c r="E126">
        <v>-2.2512999999999998E-2</v>
      </c>
      <c r="F126">
        <v>1.0986999999999999E-2</v>
      </c>
      <c r="G126">
        <v>1.3786999999999999E-2</v>
      </c>
      <c r="H126">
        <v>-1.3513000000000001E-2</v>
      </c>
      <c r="I126" s="2">
        <f t="shared" si="11"/>
        <v>-3.7113E-2</v>
      </c>
      <c r="J126" s="2">
        <f t="shared" si="11"/>
        <v>-1.0213E-2</v>
      </c>
      <c r="K126" s="2">
        <f t="shared" si="11"/>
        <v>1.2586999999999999E-2</v>
      </c>
      <c r="L126" s="2">
        <f t="shared" si="11"/>
        <v>-2.4013E-2</v>
      </c>
      <c r="M126" s="2">
        <f t="shared" si="11"/>
        <v>9.4869999999999989E-3</v>
      </c>
      <c r="N126" s="2">
        <f t="shared" si="11"/>
        <v>1.2286999999999999E-2</v>
      </c>
      <c r="O126" s="2">
        <f t="shared" si="11"/>
        <v>-1.5013E-2</v>
      </c>
    </row>
    <row r="127" spans="1:15" x14ac:dyDescent="0.2">
      <c r="A127" t="s">
        <v>133</v>
      </c>
      <c r="B127">
        <v>-7.5734999999999997E-2</v>
      </c>
      <c r="C127">
        <v>-4.5635000000000002E-2</v>
      </c>
      <c r="D127">
        <v>-4.8349999999999999E-3</v>
      </c>
      <c r="E127">
        <v>8.0649999999999993E-3</v>
      </c>
      <c r="F127">
        <v>-3.7734999999999998E-2</v>
      </c>
      <c r="G127">
        <v>-5.2935000000000003E-2</v>
      </c>
      <c r="H127">
        <v>-1.8335000000000001E-2</v>
      </c>
      <c r="I127" s="2">
        <f t="shared" si="11"/>
        <v>-7.7234999999999998E-2</v>
      </c>
      <c r="J127" s="2">
        <f t="shared" si="11"/>
        <v>-4.7135000000000003E-2</v>
      </c>
      <c r="K127" s="2">
        <f t="shared" si="11"/>
        <v>-6.3350000000000004E-3</v>
      </c>
      <c r="L127" s="2">
        <f t="shared" si="11"/>
        <v>6.5649999999999997E-3</v>
      </c>
      <c r="M127" s="2">
        <f t="shared" si="11"/>
        <v>-3.9234999999999999E-2</v>
      </c>
      <c r="N127" s="2">
        <f t="shared" si="11"/>
        <v>-5.4435000000000004E-2</v>
      </c>
      <c r="O127" s="2">
        <f t="shared" si="11"/>
        <v>-1.9835000000000002E-2</v>
      </c>
    </row>
    <row r="128" spans="1:15" x14ac:dyDescent="0.2">
      <c r="A128" t="s">
        <v>134</v>
      </c>
      <c r="B128">
        <v>-0.11457199999999999</v>
      </c>
      <c r="C128">
        <v>-8.8272000000000003E-2</v>
      </c>
      <c r="D128">
        <v>-5.5571999999999996E-2</v>
      </c>
      <c r="E128">
        <v>-3.9772000000000002E-2</v>
      </c>
      <c r="F128">
        <v>-8.0719999999999993E-3</v>
      </c>
      <c r="G128">
        <v>9.7628000000000006E-2</v>
      </c>
      <c r="H128">
        <v>-2.1471999999999998E-2</v>
      </c>
      <c r="I128" s="2">
        <f t="shared" si="11"/>
        <v>-0.11607199999999999</v>
      </c>
      <c r="J128" s="2">
        <f t="shared" si="11"/>
        <v>-8.9772000000000005E-2</v>
      </c>
      <c r="K128" s="2">
        <f t="shared" si="11"/>
        <v>-5.7071999999999998E-2</v>
      </c>
      <c r="L128" s="2">
        <f t="shared" si="11"/>
        <v>-4.1272000000000003E-2</v>
      </c>
      <c r="M128" s="2">
        <f t="shared" si="11"/>
        <v>-9.5719999999999989E-3</v>
      </c>
      <c r="N128" s="2">
        <f t="shared" si="11"/>
        <v>9.6128000000000005E-2</v>
      </c>
      <c r="O128" s="2">
        <f t="shared" si="11"/>
        <v>-2.2971999999999999E-2</v>
      </c>
    </row>
    <row r="129" spans="1:15" x14ac:dyDescent="0.2">
      <c r="A129" t="s">
        <v>135</v>
      </c>
      <c r="B129">
        <v>-8.9383000000000004E-2</v>
      </c>
      <c r="C129">
        <v>-0.13198299999999999</v>
      </c>
      <c r="D129">
        <v>-2.6783000000000001E-2</v>
      </c>
      <c r="E129">
        <v>2.4716999999999999E-2</v>
      </c>
      <c r="F129">
        <v>1.6617E-2</v>
      </c>
      <c r="G129">
        <v>9.5169999999999994E-3</v>
      </c>
      <c r="H129">
        <v>-5.6883000000000003E-2</v>
      </c>
      <c r="I129" s="2">
        <f t="shared" si="11"/>
        <v>-9.0883000000000005E-2</v>
      </c>
      <c r="J129" s="2">
        <f t="shared" si="11"/>
        <v>-0.13348299999999999</v>
      </c>
      <c r="K129" s="2">
        <f t="shared" si="11"/>
        <v>-2.8283000000000003E-2</v>
      </c>
      <c r="L129" s="2">
        <f t="shared" si="11"/>
        <v>2.3216999999999998E-2</v>
      </c>
      <c r="M129" s="2">
        <f t="shared" si="11"/>
        <v>1.5117E-2</v>
      </c>
      <c r="N129" s="2">
        <f t="shared" si="11"/>
        <v>8.0169999999999998E-3</v>
      </c>
      <c r="O129" s="2">
        <f t="shared" si="11"/>
        <v>-5.8383000000000004E-2</v>
      </c>
    </row>
    <row r="130" spans="1:15" x14ac:dyDescent="0.2">
      <c r="A130" t="s">
        <v>136</v>
      </c>
      <c r="B130">
        <v>-0.13039899999999999</v>
      </c>
      <c r="C130">
        <v>-0.16019900000000001</v>
      </c>
      <c r="D130">
        <v>1.4009999999999999E-3</v>
      </c>
      <c r="E130">
        <v>1.7601000000000002E-2</v>
      </c>
      <c r="F130">
        <v>-2.4298999999999998E-2</v>
      </c>
      <c r="G130">
        <v>-5.0899E-2</v>
      </c>
      <c r="H130">
        <v>-7.1799000000000002E-2</v>
      </c>
      <c r="I130" s="2">
        <f t="shared" si="11"/>
        <v>-0.13189899999999999</v>
      </c>
      <c r="J130" s="2">
        <f t="shared" si="11"/>
        <v>-0.16169900000000001</v>
      </c>
      <c r="K130" s="2">
        <f t="shared" si="11"/>
        <v>-9.900000000000013E-5</v>
      </c>
      <c r="L130" s="2">
        <f t="shared" si="11"/>
        <v>1.6101000000000001E-2</v>
      </c>
      <c r="M130" s="2">
        <f t="shared" si="11"/>
        <v>-2.5798999999999999E-2</v>
      </c>
      <c r="N130" s="2">
        <f t="shared" si="11"/>
        <v>-5.2399000000000001E-2</v>
      </c>
      <c r="O130" s="2">
        <f t="shared" si="11"/>
        <v>-7.3299000000000003E-2</v>
      </c>
    </row>
    <row r="131" spans="1:15" x14ac:dyDescent="0.2">
      <c r="A131" t="s">
        <v>137</v>
      </c>
      <c r="B131">
        <v>0.20788600000000002</v>
      </c>
      <c r="C131">
        <v>0.28098600000000001</v>
      </c>
      <c r="D131">
        <v>4.3285999999999998E-2</v>
      </c>
      <c r="E131">
        <v>1.8886E-2</v>
      </c>
      <c r="F131">
        <v>9.2885999999999996E-2</v>
      </c>
      <c r="G131">
        <v>0.116386</v>
      </c>
      <c r="H131">
        <v>0.107686</v>
      </c>
      <c r="I131" s="2">
        <f t="shared" si="11"/>
        <v>0.20638600000000001</v>
      </c>
      <c r="J131" s="2">
        <f t="shared" si="11"/>
        <v>0.27948600000000001</v>
      </c>
      <c r="K131" s="2">
        <f t="shared" si="11"/>
        <v>4.1785999999999997E-2</v>
      </c>
      <c r="L131" s="2">
        <f t="shared" si="11"/>
        <v>1.7385999999999999E-2</v>
      </c>
      <c r="M131" s="2">
        <f t="shared" si="11"/>
        <v>9.1385999999999995E-2</v>
      </c>
      <c r="N131" s="2">
        <f t="shared" si="11"/>
        <v>0.114886</v>
      </c>
      <c r="O131" s="2">
        <f t="shared" si="11"/>
        <v>0.106186</v>
      </c>
    </row>
    <row r="132" spans="1:15" x14ac:dyDescent="0.2">
      <c r="A132" t="s">
        <v>138</v>
      </c>
      <c r="B132">
        <v>-9.2504000000000003E-2</v>
      </c>
      <c r="C132">
        <v>-0.17640400000000001</v>
      </c>
      <c r="D132">
        <v>-1.1304E-2</v>
      </c>
      <c r="E132">
        <v>2.0295999999999998E-2</v>
      </c>
      <c r="F132">
        <v>3.8396E-2</v>
      </c>
      <c r="G132">
        <v>-3.2003999999999998E-2</v>
      </c>
      <c r="H132">
        <v>-5.104E-3</v>
      </c>
      <c r="I132" s="2">
        <f t="shared" si="11"/>
        <v>-9.4004000000000004E-2</v>
      </c>
      <c r="J132" s="2">
        <f t="shared" si="11"/>
        <v>-0.17790400000000001</v>
      </c>
      <c r="K132" s="2">
        <f t="shared" si="11"/>
        <v>-1.2803999999999999E-2</v>
      </c>
      <c r="L132" s="2">
        <f t="shared" si="11"/>
        <v>1.8795999999999997E-2</v>
      </c>
      <c r="M132" s="2">
        <f t="shared" si="11"/>
        <v>3.6895999999999998E-2</v>
      </c>
      <c r="N132" s="2">
        <f t="shared" si="11"/>
        <v>-3.3503999999999999E-2</v>
      </c>
      <c r="O132" s="2">
        <f t="shared" si="11"/>
        <v>-6.6040000000000005E-3</v>
      </c>
    </row>
    <row r="133" spans="1:15" x14ac:dyDescent="0.2">
      <c r="A133" t="s">
        <v>139</v>
      </c>
      <c r="B133">
        <v>1.5100000000000001E-2</v>
      </c>
      <c r="C133">
        <v>-4.7899999999999998E-2</v>
      </c>
      <c r="D133">
        <v>4.3499999999999997E-2</v>
      </c>
      <c r="E133">
        <v>6.3299999999999995E-2</v>
      </c>
      <c r="F133">
        <v>2.0899999999999998E-2</v>
      </c>
      <c r="G133">
        <v>-2.81E-2</v>
      </c>
      <c r="H133">
        <v>8.5000000000000006E-3</v>
      </c>
      <c r="I133" s="2">
        <f t="shared" si="11"/>
        <v>1.3600000000000001E-2</v>
      </c>
      <c r="J133" s="2">
        <f t="shared" si="11"/>
        <v>-4.9399999999999999E-2</v>
      </c>
      <c r="K133" s="2">
        <f t="shared" si="11"/>
        <v>4.1999999999999996E-2</v>
      </c>
      <c r="L133" s="2">
        <f t="shared" si="11"/>
        <v>6.1799999999999994E-2</v>
      </c>
      <c r="M133" s="2">
        <f t="shared" si="11"/>
        <v>1.9399999999999997E-2</v>
      </c>
      <c r="N133" s="2">
        <f t="shared" si="11"/>
        <v>-2.9600000000000001E-2</v>
      </c>
      <c r="O133" s="2">
        <f t="shared" si="11"/>
        <v>7.000000000000001E-3</v>
      </c>
    </row>
    <row r="134" spans="1:15" x14ac:dyDescent="0.2">
      <c r="A134" t="s">
        <v>140</v>
      </c>
      <c r="B134">
        <v>0.159002</v>
      </c>
      <c r="C134">
        <v>0.185002</v>
      </c>
      <c r="D134">
        <v>-1.2997999999999999E-2</v>
      </c>
      <c r="E134">
        <v>-4.9097999999999996E-2</v>
      </c>
      <c r="F134">
        <v>2.6801999999999999E-2</v>
      </c>
      <c r="G134">
        <v>-7.9979999999999999E-3</v>
      </c>
      <c r="H134">
        <v>4.3602000000000002E-2</v>
      </c>
      <c r="I134" s="2">
        <f t="shared" si="11"/>
        <v>0.157502</v>
      </c>
      <c r="J134" s="2">
        <f t="shared" si="11"/>
        <v>0.183502</v>
      </c>
      <c r="K134" s="2">
        <f t="shared" si="11"/>
        <v>-1.4497999999999999E-2</v>
      </c>
      <c r="L134" s="2">
        <f t="shared" si="11"/>
        <v>-5.0597999999999997E-2</v>
      </c>
      <c r="M134" s="2">
        <f t="shared" si="11"/>
        <v>2.5301999999999998E-2</v>
      </c>
      <c r="N134" s="2">
        <f t="shared" si="11"/>
        <v>-9.4979999999999995E-3</v>
      </c>
      <c r="O134" s="2">
        <f t="shared" si="11"/>
        <v>4.2102000000000001E-2</v>
      </c>
    </row>
    <row r="135" spans="1:15" x14ac:dyDescent="0.2">
      <c r="A135" t="s">
        <v>141</v>
      </c>
      <c r="B135">
        <v>-3.2310000000000004E-3</v>
      </c>
      <c r="C135">
        <v>8.3268999999999996E-2</v>
      </c>
      <c r="D135">
        <v>4.0068999999999994E-2</v>
      </c>
      <c r="E135">
        <v>1.1869000000000001E-2</v>
      </c>
      <c r="F135">
        <v>-3.7231E-2</v>
      </c>
      <c r="G135">
        <v>0.122069</v>
      </c>
      <c r="H135">
        <v>4.0568999999999994E-2</v>
      </c>
      <c r="I135" s="2">
        <f t="shared" si="11"/>
        <v>-4.7310000000000008E-3</v>
      </c>
      <c r="J135" s="2">
        <f t="shared" si="11"/>
        <v>8.1768999999999994E-2</v>
      </c>
      <c r="K135" s="2">
        <f t="shared" si="11"/>
        <v>3.8568999999999992E-2</v>
      </c>
      <c r="L135" s="2">
        <f t="shared" si="11"/>
        <v>1.0369000000000001E-2</v>
      </c>
      <c r="M135" s="2">
        <f t="shared" si="11"/>
        <v>-3.8731000000000002E-2</v>
      </c>
      <c r="N135" s="2">
        <f t="shared" si="11"/>
        <v>0.120569</v>
      </c>
      <c r="O135" s="2">
        <f t="shared" si="11"/>
        <v>3.9068999999999993E-2</v>
      </c>
    </row>
    <row r="136" spans="1:15" x14ac:dyDescent="0.2">
      <c r="A136" t="s">
        <v>142</v>
      </c>
      <c r="B136">
        <v>7.6540000000000002E-3</v>
      </c>
      <c r="C136">
        <v>-1.4246E-2</v>
      </c>
      <c r="D136">
        <v>2.0853999999999998E-2</v>
      </c>
      <c r="E136">
        <v>3.0539999999999999E-3</v>
      </c>
      <c r="F136">
        <v>4.2754E-2</v>
      </c>
      <c r="G136">
        <v>2.7854E-2</v>
      </c>
      <c r="H136">
        <v>3.1254000000000004E-2</v>
      </c>
      <c r="I136" s="2">
        <f t="shared" si="11"/>
        <v>6.1539999999999997E-3</v>
      </c>
      <c r="J136" s="2">
        <f t="shared" si="11"/>
        <v>-1.5746E-2</v>
      </c>
      <c r="K136" s="2">
        <f t="shared" si="11"/>
        <v>1.9353999999999996E-2</v>
      </c>
      <c r="L136" s="2">
        <f t="shared" si="11"/>
        <v>1.5539999999999998E-3</v>
      </c>
      <c r="M136" s="2">
        <f t="shared" si="11"/>
        <v>4.1253999999999999E-2</v>
      </c>
      <c r="N136" s="2">
        <f t="shared" si="11"/>
        <v>2.6353999999999999E-2</v>
      </c>
      <c r="O136" s="2">
        <f t="shared" si="11"/>
        <v>2.9754000000000003E-2</v>
      </c>
    </row>
    <row r="137" spans="1:15" x14ac:dyDescent="0.2">
      <c r="A137" t="s">
        <v>143</v>
      </c>
      <c r="B137">
        <v>-9.1829000000000008E-2</v>
      </c>
      <c r="C137">
        <v>-0.103329</v>
      </c>
      <c r="D137">
        <v>6.8770999999999999E-2</v>
      </c>
      <c r="E137">
        <v>7.0271E-2</v>
      </c>
      <c r="F137">
        <v>-3.7429000000000004E-2</v>
      </c>
      <c r="G137">
        <v>-5.7290000000000006E-3</v>
      </c>
      <c r="H137">
        <v>-7.5290000000000001E-3</v>
      </c>
      <c r="I137" s="2">
        <f t="shared" si="11"/>
        <v>-9.3329000000000009E-2</v>
      </c>
      <c r="J137" s="2">
        <f t="shared" si="11"/>
        <v>-0.10482900000000001</v>
      </c>
      <c r="K137" s="2">
        <f t="shared" si="11"/>
        <v>6.7270999999999997E-2</v>
      </c>
      <c r="L137" s="2">
        <f t="shared" si="11"/>
        <v>6.8770999999999999E-2</v>
      </c>
      <c r="M137" s="2">
        <f t="shared" si="11"/>
        <v>-3.8929000000000005E-2</v>
      </c>
      <c r="N137" s="2">
        <f t="shared" si="11"/>
        <v>-7.229000000000001E-3</v>
      </c>
      <c r="O137" s="2">
        <f t="shared" si="11"/>
        <v>-9.0290000000000006E-3</v>
      </c>
    </row>
    <row r="138" spans="1:15" x14ac:dyDescent="0.2">
      <c r="A138" t="s">
        <v>144</v>
      </c>
      <c r="B138">
        <v>-6.3864999999999991E-2</v>
      </c>
      <c r="C138">
        <v>-3.4865E-2</v>
      </c>
      <c r="D138">
        <v>3.8234999999999998E-2</v>
      </c>
      <c r="E138">
        <v>3.1134999999999999E-2</v>
      </c>
      <c r="F138">
        <v>0.124735</v>
      </c>
      <c r="G138">
        <v>4.8349999999999999E-3</v>
      </c>
      <c r="H138">
        <v>-6.2765000000000001E-2</v>
      </c>
      <c r="I138" s="2">
        <f t="shared" si="11"/>
        <v>-6.5364999999999993E-2</v>
      </c>
      <c r="J138" s="2">
        <f t="shared" si="11"/>
        <v>-3.6365000000000001E-2</v>
      </c>
      <c r="K138" s="2">
        <f t="shared" si="11"/>
        <v>3.6734999999999997E-2</v>
      </c>
      <c r="L138" s="2">
        <f t="shared" si="11"/>
        <v>2.9634999999999998E-2</v>
      </c>
      <c r="M138" s="2">
        <f t="shared" si="11"/>
        <v>0.123235</v>
      </c>
      <c r="N138" s="2">
        <f t="shared" si="11"/>
        <v>3.3349999999999999E-3</v>
      </c>
      <c r="O138" s="2">
        <f t="shared" si="11"/>
        <v>-6.4265000000000003E-2</v>
      </c>
    </row>
    <row r="139" spans="1:15" x14ac:dyDescent="0.2">
      <c r="A139" t="s">
        <v>145</v>
      </c>
      <c r="B139">
        <v>-9.192199999999999E-2</v>
      </c>
      <c r="C139">
        <v>-0.11172199999999999</v>
      </c>
      <c r="D139">
        <v>4.3577999999999999E-2</v>
      </c>
      <c r="E139">
        <v>6.7178000000000002E-2</v>
      </c>
      <c r="F139">
        <v>5.9277999999999997E-2</v>
      </c>
      <c r="G139">
        <v>4.7779999999999993E-3</v>
      </c>
      <c r="H139">
        <v>3.9578000000000002E-2</v>
      </c>
      <c r="I139" s="2">
        <f t="shared" si="11"/>
        <v>-9.3421999999999991E-2</v>
      </c>
      <c r="J139" s="2">
        <f t="shared" si="11"/>
        <v>-0.11322199999999999</v>
      </c>
      <c r="K139" s="2">
        <f t="shared" si="11"/>
        <v>4.2077999999999997E-2</v>
      </c>
      <c r="L139" s="2">
        <f t="shared" si="11"/>
        <v>6.5678E-2</v>
      </c>
      <c r="M139" s="2">
        <f t="shared" si="11"/>
        <v>5.7777999999999996E-2</v>
      </c>
      <c r="N139" s="2">
        <f t="shared" si="11"/>
        <v>3.2779999999999992E-3</v>
      </c>
      <c r="O139" s="2">
        <f t="shared" si="11"/>
        <v>3.8078000000000001E-2</v>
      </c>
    </row>
    <row r="140" spans="1:15" x14ac:dyDescent="0.2">
      <c r="A140" t="s">
        <v>146</v>
      </c>
      <c r="B140">
        <v>-3.6531999999999995E-2</v>
      </c>
      <c r="C140">
        <v>-5.3200000000000003E-4</v>
      </c>
      <c r="D140">
        <v>7.6567999999999997E-2</v>
      </c>
      <c r="E140">
        <v>2.7167999999999998E-2</v>
      </c>
      <c r="F140">
        <v>6.7567999999999989E-2</v>
      </c>
      <c r="G140">
        <v>4.2268E-2</v>
      </c>
      <c r="H140">
        <v>1.2567999999999999E-2</v>
      </c>
      <c r="I140" s="2">
        <f t="shared" si="11"/>
        <v>-3.8031999999999996E-2</v>
      </c>
      <c r="J140" s="2">
        <f t="shared" si="11"/>
        <v>-2.032E-3</v>
      </c>
      <c r="K140" s="2">
        <f t="shared" si="11"/>
        <v>7.5067999999999996E-2</v>
      </c>
      <c r="L140" s="2">
        <f t="shared" si="11"/>
        <v>2.5667999999999996E-2</v>
      </c>
      <c r="M140" s="2">
        <f t="shared" si="11"/>
        <v>6.6067999999999988E-2</v>
      </c>
      <c r="N140" s="2">
        <f t="shared" si="11"/>
        <v>4.0767999999999999E-2</v>
      </c>
      <c r="O140" s="2">
        <f t="shared" si="11"/>
        <v>1.1068E-2</v>
      </c>
    </row>
    <row r="141" spans="1:15" x14ac:dyDescent="0.2">
      <c r="A141" t="s">
        <v>147</v>
      </c>
      <c r="B141">
        <v>1.635E-2</v>
      </c>
      <c r="C141">
        <v>8.3150000000000002E-2</v>
      </c>
      <c r="D141">
        <v>-3.3849999999999998E-2</v>
      </c>
      <c r="E141">
        <v>-4.8750000000000002E-2</v>
      </c>
      <c r="F141">
        <v>-1.9450000000000002E-2</v>
      </c>
      <c r="G141">
        <v>6.275E-2</v>
      </c>
      <c r="H141">
        <v>1.975E-2</v>
      </c>
      <c r="I141" s="2">
        <f t="shared" si="11"/>
        <v>1.485E-2</v>
      </c>
      <c r="J141" s="2">
        <f t="shared" si="11"/>
        <v>8.165E-2</v>
      </c>
      <c r="K141" s="2">
        <f t="shared" si="11"/>
        <v>-3.5349999999999999E-2</v>
      </c>
      <c r="L141" s="2">
        <f t="shared" si="11"/>
        <v>-5.0250000000000003E-2</v>
      </c>
      <c r="M141" s="2">
        <f t="shared" si="11"/>
        <v>-2.0950000000000003E-2</v>
      </c>
      <c r="N141" s="2">
        <f t="shared" si="11"/>
        <v>6.1249999999999999E-2</v>
      </c>
      <c r="O141" s="2">
        <f t="shared" si="11"/>
        <v>1.8249999999999999E-2</v>
      </c>
    </row>
    <row r="142" spans="1:15" x14ac:dyDescent="0.2">
      <c r="A142" t="s">
        <v>148</v>
      </c>
      <c r="B142">
        <v>5.5633000000000002E-2</v>
      </c>
      <c r="C142">
        <v>6.5533000000000008E-2</v>
      </c>
      <c r="D142">
        <v>2.8832999999999998E-2</v>
      </c>
      <c r="E142">
        <v>6.1133E-2</v>
      </c>
      <c r="F142">
        <v>1.6433E-2</v>
      </c>
      <c r="G142">
        <v>-9.7669999999999996E-3</v>
      </c>
      <c r="H142">
        <v>2.4132999999999998E-2</v>
      </c>
      <c r="I142" s="2">
        <f t="shared" si="11"/>
        <v>5.4133000000000001E-2</v>
      </c>
      <c r="J142" s="2">
        <f t="shared" si="11"/>
        <v>6.4033000000000007E-2</v>
      </c>
      <c r="K142" s="2">
        <f t="shared" si="11"/>
        <v>2.7332999999999996E-2</v>
      </c>
      <c r="L142" s="2">
        <f t="shared" si="11"/>
        <v>5.9632999999999999E-2</v>
      </c>
      <c r="M142" s="2">
        <f t="shared" si="11"/>
        <v>1.4933E-2</v>
      </c>
      <c r="N142" s="2">
        <f t="shared" si="11"/>
        <v>-1.1266999999999999E-2</v>
      </c>
      <c r="O142" s="2">
        <f t="shared" si="11"/>
        <v>2.2632999999999997E-2</v>
      </c>
    </row>
    <row r="143" spans="1:15" x14ac:dyDescent="0.2">
      <c r="A143" t="s">
        <v>149</v>
      </c>
      <c r="B143">
        <v>0.13686299999999998</v>
      </c>
      <c r="C143">
        <v>0.120863</v>
      </c>
      <c r="D143">
        <v>-7.1836999999999998E-2</v>
      </c>
      <c r="E143">
        <v>-9.7370000000000009E-3</v>
      </c>
      <c r="F143">
        <v>1.6463000000000002E-2</v>
      </c>
      <c r="G143">
        <v>4.3630000000000006E-3</v>
      </c>
      <c r="H143">
        <v>-1.9837E-2</v>
      </c>
      <c r="I143" s="2">
        <f t="shared" si="11"/>
        <v>0.13536299999999998</v>
      </c>
      <c r="J143" s="2">
        <f t="shared" si="11"/>
        <v>0.119363</v>
      </c>
      <c r="K143" s="2">
        <f t="shared" si="11"/>
        <v>-7.3336999999999999E-2</v>
      </c>
      <c r="L143" s="2">
        <f t="shared" si="11"/>
        <v>-1.1237E-2</v>
      </c>
      <c r="M143" s="2">
        <f t="shared" si="11"/>
        <v>1.4963000000000002E-2</v>
      </c>
      <c r="N143" s="2">
        <f t="shared" si="11"/>
        <v>2.8630000000000005E-3</v>
      </c>
      <c r="O143" s="2">
        <f t="shared" si="11"/>
        <v>-2.1337000000000002E-2</v>
      </c>
    </row>
    <row r="144" spans="1:15" x14ac:dyDescent="0.2">
      <c r="A144" t="s">
        <v>150</v>
      </c>
      <c r="B144">
        <v>2.5915000000000001E-2</v>
      </c>
      <c r="C144">
        <v>1.4815E-2</v>
      </c>
      <c r="D144">
        <v>-1.3384999999999999E-2</v>
      </c>
      <c r="E144">
        <v>-1.1684999999999999E-2</v>
      </c>
      <c r="F144">
        <v>-4.0085000000000003E-2</v>
      </c>
      <c r="G144">
        <v>-4.1850000000000004E-3</v>
      </c>
      <c r="H144">
        <v>2.715E-3</v>
      </c>
      <c r="I144" s="2">
        <f t="shared" si="11"/>
        <v>2.4414999999999999E-2</v>
      </c>
      <c r="J144" s="2">
        <f t="shared" si="11"/>
        <v>1.3315E-2</v>
      </c>
      <c r="K144" s="2">
        <f t="shared" si="11"/>
        <v>-1.4884999999999999E-2</v>
      </c>
      <c r="L144" s="2">
        <f t="shared" si="11"/>
        <v>-1.3184999999999999E-2</v>
      </c>
      <c r="M144" s="2">
        <f t="shared" si="11"/>
        <v>-4.1585000000000004E-2</v>
      </c>
      <c r="N144" s="2">
        <f t="shared" si="11"/>
        <v>-5.6850000000000008E-3</v>
      </c>
      <c r="O144" s="2">
        <f t="shared" si="11"/>
        <v>1.2149999999999999E-3</v>
      </c>
    </row>
    <row r="145" spans="1:15" x14ac:dyDescent="0.2">
      <c r="A145" t="s">
        <v>151</v>
      </c>
      <c r="B145">
        <v>0.13089700000000001</v>
      </c>
      <c r="C145">
        <v>0.113897</v>
      </c>
      <c r="D145">
        <v>-1.2403000000000001E-2</v>
      </c>
      <c r="E145">
        <v>-1.9403E-2</v>
      </c>
      <c r="F145">
        <v>-4.7502999999999997E-2</v>
      </c>
      <c r="G145">
        <v>-6.2803000000000012E-2</v>
      </c>
      <c r="H145">
        <v>6.9970000000000006E-3</v>
      </c>
      <c r="I145" s="2">
        <f t="shared" si="11"/>
        <v>0.12939700000000001</v>
      </c>
      <c r="J145" s="2">
        <f t="shared" si="11"/>
        <v>0.112397</v>
      </c>
      <c r="K145" s="2">
        <f t="shared" si="11"/>
        <v>-1.3903E-2</v>
      </c>
      <c r="L145" s="2">
        <f t="shared" si="11"/>
        <v>-2.0903000000000001E-2</v>
      </c>
      <c r="M145" s="2">
        <f t="shared" si="11"/>
        <v>-4.9002999999999998E-2</v>
      </c>
      <c r="N145" s="2">
        <f t="shared" si="11"/>
        <v>-6.4303000000000013E-2</v>
      </c>
      <c r="O145" s="2">
        <f t="shared" si="11"/>
        <v>5.4970000000000001E-3</v>
      </c>
    </row>
    <row r="146" spans="1:15" x14ac:dyDescent="0.2">
      <c r="A146" t="s">
        <v>152</v>
      </c>
      <c r="B146">
        <v>7.2779999999999997E-3</v>
      </c>
      <c r="C146">
        <v>-2.5722000000000002E-2</v>
      </c>
      <c r="D146">
        <v>4.5578E-2</v>
      </c>
      <c r="E146">
        <v>1.9878E-2</v>
      </c>
      <c r="F146">
        <v>2.5177999999999999E-2</v>
      </c>
      <c r="G146">
        <v>2.0978E-2</v>
      </c>
      <c r="H146">
        <v>5.0377999999999999E-2</v>
      </c>
      <c r="I146" s="2">
        <f t="shared" si="11"/>
        <v>5.7780000000000001E-3</v>
      </c>
      <c r="J146" s="2">
        <f t="shared" si="11"/>
        <v>-2.7222000000000003E-2</v>
      </c>
      <c r="K146" s="2">
        <f t="shared" si="11"/>
        <v>4.4077999999999999E-2</v>
      </c>
      <c r="L146" s="2">
        <f t="shared" si="11"/>
        <v>1.8377999999999999E-2</v>
      </c>
      <c r="M146" s="2">
        <f t="shared" si="11"/>
        <v>2.3677999999999998E-2</v>
      </c>
      <c r="N146" s="2">
        <f t="shared" si="11"/>
        <v>1.9477999999999999E-2</v>
      </c>
      <c r="O146" s="2">
        <f t="shared" si="11"/>
        <v>4.8877999999999998E-2</v>
      </c>
    </row>
    <row r="147" spans="1:15" x14ac:dyDescent="0.2">
      <c r="A147" t="s">
        <v>153</v>
      </c>
      <c r="B147">
        <v>-2.6353999999999999E-2</v>
      </c>
      <c r="C147">
        <v>-3.3554E-2</v>
      </c>
      <c r="D147">
        <v>3.2146000000000001E-2</v>
      </c>
      <c r="E147">
        <v>6.6946000000000006E-2</v>
      </c>
      <c r="F147">
        <v>1.1846000000000001E-2</v>
      </c>
      <c r="G147">
        <v>4.8246000000000004E-2</v>
      </c>
      <c r="H147">
        <v>1.1046E-2</v>
      </c>
      <c r="I147" s="2">
        <f t="shared" si="11"/>
        <v>-2.7854E-2</v>
      </c>
      <c r="J147" s="2">
        <f t="shared" si="11"/>
        <v>-3.5054000000000002E-2</v>
      </c>
      <c r="K147" s="2">
        <f t="shared" si="11"/>
        <v>3.0646E-2</v>
      </c>
      <c r="L147" s="2">
        <f t="shared" si="11"/>
        <v>6.5446000000000004E-2</v>
      </c>
      <c r="M147" s="2">
        <f t="shared" si="11"/>
        <v>1.0346000000000001E-2</v>
      </c>
      <c r="N147" s="2">
        <f t="shared" si="11"/>
        <v>4.6746000000000003E-2</v>
      </c>
      <c r="O147" s="2">
        <f t="shared" si="11"/>
        <v>9.5460000000000007E-3</v>
      </c>
    </row>
    <row r="148" spans="1:15" x14ac:dyDescent="0.2">
      <c r="A148" t="s">
        <v>154</v>
      </c>
      <c r="B148">
        <v>4.2758999999999998E-2</v>
      </c>
      <c r="C148">
        <v>2.4659E-2</v>
      </c>
      <c r="D148">
        <v>2.1659000000000001E-2</v>
      </c>
      <c r="E148">
        <v>5.6259000000000003E-2</v>
      </c>
      <c r="F148">
        <v>6.3959000000000002E-2</v>
      </c>
      <c r="G148">
        <v>8.7159E-2</v>
      </c>
      <c r="H148">
        <v>3.5958999999999998E-2</v>
      </c>
      <c r="I148" s="2">
        <f t="shared" si="11"/>
        <v>4.1258999999999997E-2</v>
      </c>
      <c r="J148" s="2">
        <f t="shared" si="11"/>
        <v>2.3158999999999999E-2</v>
      </c>
      <c r="K148" s="2">
        <f t="shared" si="11"/>
        <v>2.0159E-2</v>
      </c>
      <c r="L148" s="2">
        <f t="shared" si="11"/>
        <v>5.4759000000000002E-2</v>
      </c>
      <c r="M148" s="2">
        <f t="shared" si="11"/>
        <v>6.2459000000000001E-2</v>
      </c>
      <c r="N148" s="2">
        <f t="shared" si="11"/>
        <v>8.5658999999999999E-2</v>
      </c>
      <c r="O148" s="2">
        <f t="shared" si="11"/>
        <v>3.4458999999999997E-2</v>
      </c>
    </row>
    <row r="149" spans="1:15" x14ac:dyDescent="0.2">
      <c r="A149" t="s">
        <v>155</v>
      </c>
      <c r="B149">
        <v>4.2562999999999997E-2</v>
      </c>
      <c r="C149">
        <v>0.10856300000000001</v>
      </c>
      <c r="D149">
        <v>3.3162999999999998E-2</v>
      </c>
      <c r="E149">
        <v>0.108263</v>
      </c>
      <c r="F149">
        <v>3.8563E-2</v>
      </c>
      <c r="G149">
        <v>3.0763000000000002E-2</v>
      </c>
      <c r="H149">
        <v>1.8063000000000003E-2</v>
      </c>
      <c r="I149" s="2">
        <f t="shared" si="11"/>
        <v>4.1062999999999995E-2</v>
      </c>
      <c r="J149" s="2">
        <f t="shared" si="11"/>
        <v>0.10706300000000001</v>
      </c>
      <c r="K149" s="2">
        <f t="shared" si="11"/>
        <v>3.1662999999999997E-2</v>
      </c>
      <c r="L149" s="2">
        <f t="shared" si="11"/>
        <v>0.106763</v>
      </c>
      <c r="M149" s="2">
        <f t="shared" si="11"/>
        <v>3.7062999999999999E-2</v>
      </c>
      <c r="N149" s="2">
        <f t="shared" si="11"/>
        <v>2.9263000000000001E-2</v>
      </c>
      <c r="O149" s="2">
        <f t="shared" si="11"/>
        <v>1.6563000000000001E-2</v>
      </c>
    </row>
    <row r="150" spans="1:15" x14ac:dyDescent="0.2">
      <c r="A150" t="s">
        <v>156</v>
      </c>
      <c r="B150">
        <v>0.15218799999999999</v>
      </c>
      <c r="C150">
        <v>9.8888000000000004E-2</v>
      </c>
      <c r="D150">
        <v>-6.5911999999999998E-2</v>
      </c>
      <c r="E150">
        <v>-0.100712</v>
      </c>
      <c r="F150">
        <v>-3.1312E-2</v>
      </c>
      <c r="G150">
        <v>-9.9120000000000007E-3</v>
      </c>
      <c r="H150">
        <v>2.0787999999999997E-2</v>
      </c>
      <c r="I150" s="2">
        <f t="shared" si="11"/>
        <v>0.15068799999999999</v>
      </c>
      <c r="J150" s="2">
        <f t="shared" si="11"/>
        <v>9.7388000000000002E-2</v>
      </c>
      <c r="K150" s="2">
        <f t="shared" si="11"/>
        <v>-6.7412E-2</v>
      </c>
      <c r="L150" s="2">
        <f t="shared" si="11"/>
        <v>-0.102212</v>
      </c>
      <c r="M150" s="2">
        <f t="shared" si="11"/>
        <v>-3.2812000000000001E-2</v>
      </c>
      <c r="N150" s="2">
        <f t="shared" si="11"/>
        <v>-1.1412E-2</v>
      </c>
      <c r="O150" s="2">
        <f t="shared" si="11"/>
        <v>1.9287999999999996E-2</v>
      </c>
    </row>
    <row r="151" spans="1:15" x14ac:dyDescent="0.2">
      <c r="A151" t="s">
        <v>157</v>
      </c>
      <c r="B151">
        <v>-1.3413000000000001E-2</v>
      </c>
      <c r="C151">
        <v>-1.7113E-2</v>
      </c>
      <c r="D151">
        <v>1.1686999999999999E-2</v>
      </c>
      <c r="E151">
        <v>3.8386999999999998E-2</v>
      </c>
      <c r="F151">
        <v>-4.7130000000000002E-3</v>
      </c>
      <c r="G151">
        <v>-9.2130000000000007E-3</v>
      </c>
      <c r="H151">
        <v>-1.5013E-2</v>
      </c>
      <c r="I151" s="2">
        <f t="shared" si="11"/>
        <v>-1.4913000000000001E-2</v>
      </c>
      <c r="J151" s="2">
        <f t="shared" si="11"/>
        <v>-1.8613000000000001E-2</v>
      </c>
      <c r="K151" s="2">
        <f t="shared" si="11"/>
        <v>1.0187E-2</v>
      </c>
      <c r="L151" s="2">
        <f t="shared" si="11"/>
        <v>3.6886999999999996E-2</v>
      </c>
      <c r="M151" s="2">
        <f t="shared" si="11"/>
        <v>-6.2129999999999998E-3</v>
      </c>
      <c r="N151" s="2">
        <f t="shared" si="11"/>
        <v>-1.0713E-2</v>
      </c>
      <c r="O151" s="2">
        <f t="shared" si="11"/>
        <v>-1.6513E-2</v>
      </c>
    </row>
    <row r="152" spans="1:15" x14ac:dyDescent="0.2">
      <c r="A152" t="s">
        <v>158</v>
      </c>
      <c r="B152">
        <v>9.7591000000000011E-2</v>
      </c>
      <c r="C152">
        <v>7.6891000000000001E-2</v>
      </c>
      <c r="D152">
        <v>8.8909999999999996E-3</v>
      </c>
      <c r="E152">
        <v>-7.2090000000000001E-3</v>
      </c>
      <c r="F152">
        <v>4.6290999999999999E-2</v>
      </c>
      <c r="G152">
        <v>3.4691E-2</v>
      </c>
      <c r="H152">
        <v>4.9491E-2</v>
      </c>
      <c r="I152" s="2">
        <f t="shared" si="11"/>
        <v>9.609100000000001E-2</v>
      </c>
      <c r="J152" s="2">
        <f t="shared" si="11"/>
        <v>7.5391E-2</v>
      </c>
      <c r="K152" s="2">
        <f t="shared" si="11"/>
        <v>7.391E-3</v>
      </c>
      <c r="L152" s="2">
        <f t="shared" si="11"/>
        <v>-8.7089999999999997E-3</v>
      </c>
      <c r="M152" s="2">
        <f t="shared" si="11"/>
        <v>4.4790999999999997E-2</v>
      </c>
      <c r="N152" s="2">
        <f t="shared" si="11"/>
        <v>3.3190999999999998E-2</v>
      </c>
      <c r="O152" s="2">
        <f t="shared" si="11"/>
        <v>4.7990999999999999E-2</v>
      </c>
    </row>
    <row r="153" spans="1:15" x14ac:dyDescent="0.2">
      <c r="A153" t="s">
        <v>159</v>
      </c>
      <c r="B153">
        <v>-4.0909000000000001E-2</v>
      </c>
      <c r="C153">
        <v>-4.9909000000000002E-2</v>
      </c>
      <c r="D153">
        <v>-4.0809000000000005E-2</v>
      </c>
      <c r="E153">
        <v>-4.2409000000000002E-2</v>
      </c>
      <c r="F153">
        <v>-5.8009000000000005E-2</v>
      </c>
      <c r="G153">
        <v>-0.105809</v>
      </c>
      <c r="H153">
        <v>-3.1309000000000003E-2</v>
      </c>
      <c r="I153" s="2">
        <f t="shared" si="11"/>
        <v>-4.2409000000000002E-2</v>
      </c>
      <c r="J153" s="2">
        <f t="shared" si="11"/>
        <v>-5.1409000000000003E-2</v>
      </c>
      <c r="K153" s="2">
        <f t="shared" si="11"/>
        <v>-4.2309000000000006E-2</v>
      </c>
      <c r="L153" s="2">
        <f t="shared" ref="L153:O216" si="12">E153-$R$3</f>
        <v>-4.3909000000000004E-2</v>
      </c>
      <c r="M153" s="2">
        <f t="shared" si="12"/>
        <v>-5.9509000000000006E-2</v>
      </c>
      <c r="N153" s="2">
        <f t="shared" si="12"/>
        <v>-0.107309</v>
      </c>
      <c r="O153" s="2">
        <f t="shared" si="12"/>
        <v>-3.2809000000000005E-2</v>
      </c>
    </row>
    <row r="154" spans="1:15" x14ac:dyDescent="0.2">
      <c r="A154" t="s">
        <v>160</v>
      </c>
      <c r="B154">
        <v>4.1992000000000002E-2</v>
      </c>
      <c r="C154">
        <v>5.5492E-2</v>
      </c>
      <c r="D154">
        <v>-3.0799999999999995E-4</v>
      </c>
      <c r="E154">
        <v>-1.4907999999999999E-2</v>
      </c>
      <c r="F154">
        <v>1.3392000000000001E-2</v>
      </c>
      <c r="G154">
        <v>1.0592000000000001E-2</v>
      </c>
      <c r="H154">
        <v>2.9791999999999999E-2</v>
      </c>
      <c r="I154" s="2">
        <f t="shared" ref="I154:N217" si="13">B154-$R$3</f>
        <v>4.0492E-2</v>
      </c>
      <c r="J154" s="2">
        <f t="shared" si="13"/>
        <v>5.3991999999999998E-2</v>
      </c>
      <c r="K154" s="2">
        <f t="shared" si="13"/>
        <v>-1.8079999999999999E-3</v>
      </c>
      <c r="L154" s="2">
        <f t="shared" si="12"/>
        <v>-1.6407999999999999E-2</v>
      </c>
      <c r="M154" s="2">
        <f t="shared" si="12"/>
        <v>1.1892000000000002E-2</v>
      </c>
      <c r="N154" s="2">
        <f t="shared" si="12"/>
        <v>9.0920000000000011E-3</v>
      </c>
      <c r="O154" s="2">
        <f t="shared" si="12"/>
        <v>2.8291999999999998E-2</v>
      </c>
    </row>
    <row r="155" spans="1:15" x14ac:dyDescent="0.2">
      <c r="A155" t="s">
        <v>161</v>
      </c>
      <c r="B155">
        <v>2.0083E-2</v>
      </c>
      <c r="C155">
        <v>2.7182999999999999E-2</v>
      </c>
      <c r="D155">
        <v>8.4883E-2</v>
      </c>
      <c r="E155">
        <v>9.4583E-2</v>
      </c>
      <c r="F155">
        <v>3.7682999999999994E-2</v>
      </c>
      <c r="G155">
        <v>1.2683E-2</v>
      </c>
      <c r="H155">
        <v>4.4582999999999998E-2</v>
      </c>
      <c r="I155" s="2">
        <f t="shared" si="13"/>
        <v>1.8582999999999999E-2</v>
      </c>
      <c r="J155" s="2">
        <f t="shared" si="13"/>
        <v>2.5682999999999997E-2</v>
      </c>
      <c r="K155" s="2">
        <f t="shared" si="13"/>
        <v>8.3382999999999999E-2</v>
      </c>
      <c r="L155" s="2">
        <f t="shared" si="12"/>
        <v>9.3082999999999999E-2</v>
      </c>
      <c r="M155" s="2">
        <f t="shared" si="12"/>
        <v>3.6182999999999993E-2</v>
      </c>
      <c r="N155" s="2">
        <f t="shared" si="12"/>
        <v>1.1183E-2</v>
      </c>
      <c r="O155" s="2">
        <f t="shared" si="12"/>
        <v>4.3082999999999996E-2</v>
      </c>
    </row>
    <row r="156" spans="1:15" x14ac:dyDescent="0.2">
      <c r="A156" t="s">
        <v>162</v>
      </c>
      <c r="B156">
        <v>-1.8319999999999999E-3</v>
      </c>
      <c r="C156">
        <v>4.8168000000000002E-2</v>
      </c>
      <c r="D156">
        <v>-2.7332000000000002E-2</v>
      </c>
      <c r="E156">
        <v>-1.7632000000000002E-2</v>
      </c>
      <c r="F156">
        <v>5.5468000000000003E-2</v>
      </c>
      <c r="G156">
        <v>-6.9319999999999998E-3</v>
      </c>
      <c r="H156">
        <v>2.7968E-2</v>
      </c>
      <c r="I156" s="2">
        <f t="shared" si="13"/>
        <v>-3.3319999999999999E-3</v>
      </c>
      <c r="J156" s="2">
        <f t="shared" si="13"/>
        <v>4.6668000000000001E-2</v>
      </c>
      <c r="K156" s="2">
        <f t="shared" si="13"/>
        <v>-2.8832000000000003E-2</v>
      </c>
      <c r="L156" s="2">
        <f t="shared" si="12"/>
        <v>-1.9132000000000003E-2</v>
      </c>
      <c r="M156" s="2">
        <f t="shared" si="12"/>
        <v>5.3968000000000002E-2</v>
      </c>
      <c r="N156" s="2">
        <f t="shared" si="12"/>
        <v>-8.4320000000000003E-3</v>
      </c>
      <c r="O156" s="2">
        <f t="shared" si="12"/>
        <v>2.6467999999999998E-2</v>
      </c>
    </row>
    <row r="157" spans="1:15" x14ac:dyDescent="0.2">
      <c r="A157" t="s">
        <v>163</v>
      </c>
      <c r="B157">
        <v>-9.6623000000000001E-2</v>
      </c>
      <c r="C157">
        <v>5.5277E-2</v>
      </c>
      <c r="D157">
        <v>-1.423E-3</v>
      </c>
      <c r="E157">
        <v>-9.7230000000000007E-3</v>
      </c>
      <c r="F157">
        <v>-2.2922999999999999E-2</v>
      </c>
      <c r="G157">
        <v>-1.0323000000000001E-2</v>
      </c>
      <c r="H157">
        <v>2.3577000000000001E-2</v>
      </c>
      <c r="I157" s="2">
        <f t="shared" si="13"/>
        <v>-9.8123000000000002E-2</v>
      </c>
      <c r="J157" s="2">
        <f t="shared" si="13"/>
        <v>5.3776999999999998E-2</v>
      </c>
      <c r="K157" s="2">
        <f t="shared" si="13"/>
        <v>-2.9230000000000003E-3</v>
      </c>
      <c r="L157" s="2">
        <f t="shared" si="12"/>
        <v>-1.1223E-2</v>
      </c>
      <c r="M157" s="2">
        <f t="shared" si="12"/>
        <v>-2.4423E-2</v>
      </c>
      <c r="N157" s="2">
        <f t="shared" si="12"/>
        <v>-1.1823E-2</v>
      </c>
      <c r="O157" s="2">
        <f t="shared" si="12"/>
        <v>2.2076999999999999E-2</v>
      </c>
    </row>
    <row r="158" spans="1:15" x14ac:dyDescent="0.2">
      <c r="A158" t="s">
        <v>164</v>
      </c>
      <c r="B158">
        <v>-2.2512000000000001E-2</v>
      </c>
      <c r="C158">
        <v>-0.117212</v>
      </c>
      <c r="D158">
        <v>-3.9612000000000001E-2</v>
      </c>
      <c r="E158">
        <v>-1.2112E-2</v>
      </c>
      <c r="F158">
        <v>-5.1011999999999995E-2</v>
      </c>
      <c r="G158">
        <v>-0.104812</v>
      </c>
      <c r="H158">
        <v>-3.5611999999999998E-2</v>
      </c>
      <c r="I158" s="2">
        <f t="shared" si="13"/>
        <v>-2.4012000000000002E-2</v>
      </c>
      <c r="J158" s="2">
        <f t="shared" si="13"/>
        <v>-0.118712</v>
      </c>
      <c r="K158" s="2">
        <f t="shared" si="13"/>
        <v>-4.1112000000000003E-2</v>
      </c>
      <c r="L158" s="2">
        <f t="shared" si="12"/>
        <v>-1.3611999999999999E-2</v>
      </c>
      <c r="M158" s="2">
        <f t="shared" si="12"/>
        <v>-5.2511999999999996E-2</v>
      </c>
      <c r="N158" s="2">
        <f t="shared" si="12"/>
        <v>-0.106312</v>
      </c>
      <c r="O158" s="2">
        <f t="shared" si="12"/>
        <v>-3.7111999999999999E-2</v>
      </c>
    </row>
    <row r="159" spans="1:15" x14ac:dyDescent="0.2">
      <c r="A159" t="s">
        <v>165</v>
      </c>
      <c r="B159">
        <v>2.8655E-2</v>
      </c>
      <c r="C159">
        <v>3.2550000000000001E-3</v>
      </c>
      <c r="D159">
        <v>-4.1745000000000004E-2</v>
      </c>
      <c r="E159">
        <v>-9.2449999999999997E-3</v>
      </c>
      <c r="F159">
        <v>2.5499999999999996E-4</v>
      </c>
      <c r="G159">
        <v>0.112555</v>
      </c>
      <c r="H159">
        <v>4.3054999999999996E-2</v>
      </c>
      <c r="I159" s="2">
        <f t="shared" si="13"/>
        <v>2.7154999999999999E-2</v>
      </c>
      <c r="J159" s="2">
        <f t="shared" si="13"/>
        <v>1.755E-3</v>
      </c>
      <c r="K159" s="2">
        <f t="shared" si="13"/>
        <v>-4.3245000000000006E-2</v>
      </c>
      <c r="L159" s="2">
        <f t="shared" si="12"/>
        <v>-1.0744999999999999E-2</v>
      </c>
      <c r="M159" s="2">
        <f t="shared" si="12"/>
        <v>-1.245E-3</v>
      </c>
      <c r="N159" s="2">
        <f t="shared" si="12"/>
        <v>0.111055</v>
      </c>
      <c r="O159" s="2">
        <f t="shared" si="12"/>
        <v>4.1554999999999995E-2</v>
      </c>
    </row>
    <row r="160" spans="1:15" x14ac:dyDescent="0.2">
      <c r="A160" t="s">
        <v>166</v>
      </c>
      <c r="B160">
        <v>1.3571999999999999E-2</v>
      </c>
      <c r="C160">
        <v>-4.0828000000000003E-2</v>
      </c>
      <c r="D160">
        <v>9.8271999999999998E-2</v>
      </c>
      <c r="E160">
        <v>-2.2800000000000001E-4</v>
      </c>
      <c r="F160">
        <v>2.9672E-2</v>
      </c>
      <c r="G160">
        <v>-3.2528000000000001E-2</v>
      </c>
      <c r="H160">
        <v>6.8719999999999996E-3</v>
      </c>
      <c r="I160" s="2">
        <f t="shared" si="13"/>
        <v>1.2071999999999999E-2</v>
      </c>
      <c r="J160" s="2">
        <f t="shared" si="13"/>
        <v>-4.2328000000000005E-2</v>
      </c>
      <c r="K160" s="2">
        <f t="shared" si="13"/>
        <v>9.6771999999999997E-2</v>
      </c>
      <c r="L160" s="2">
        <f t="shared" si="12"/>
        <v>-1.7279999999999999E-3</v>
      </c>
      <c r="M160" s="2">
        <f t="shared" si="12"/>
        <v>2.8171999999999999E-2</v>
      </c>
      <c r="N160" s="2">
        <f t="shared" si="12"/>
        <v>-3.4028000000000003E-2</v>
      </c>
      <c r="O160" s="2">
        <f t="shared" si="12"/>
        <v>5.372E-3</v>
      </c>
    </row>
    <row r="161" spans="1:15" x14ac:dyDescent="0.2">
      <c r="A161" t="s">
        <v>167</v>
      </c>
      <c r="B161">
        <v>4.3284999999999997E-2</v>
      </c>
      <c r="C161">
        <v>1.6849999999999999E-3</v>
      </c>
      <c r="D161">
        <v>3.1184999999999997E-2</v>
      </c>
      <c r="E161">
        <v>-6.9150000000000001E-3</v>
      </c>
      <c r="F161">
        <v>4.2885E-2</v>
      </c>
      <c r="G161">
        <v>2.0485E-2</v>
      </c>
      <c r="H161">
        <v>6.1849999999999995E-3</v>
      </c>
      <c r="I161" s="2">
        <f t="shared" si="13"/>
        <v>4.1784999999999996E-2</v>
      </c>
      <c r="J161" s="2">
        <f t="shared" si="13"/>
        <v>1.8499999999999983E-4</v>
      </c>
      <c r="K161" s="2">
        <f t="shared" si="13"/>
        <v>2.9684999999999996E-2</v>
      </c>
      <c r="L161" s="2">
        <f t="shared" si="12"/>
        <v>-8.4150000000000006E-3</v>
      </c>
      <c r="M161" s="2">
        <f t="shared" si="12"/>
        <v>4.1384999999999998E-2</v>
      </c>
      <c r="N161" s="2">
        <f t="shared" si="12"/>
        <v>1.8984999999999998E-2</v>
      </c>
      <c r="O161" s="2">
        <f t="shared" si="12"/>
        <v>4.6849999999999999E-3</v>
      </c>
    </row>
    <row r="162" spans="1:15" x14ac:dyDescent="0.2">
      <c r="A162" t="s">
        <v>168</v>
      </c>
      <c r="B162">
        <v>1.7991999999999998E-2</v>
      </c>
      <c r="C162">
        <v>2.8919999999999996E-3</v>
      </c>
      <c r="D162">
        <v>-6.4080000000000005E-3</v>
      </c>
      <c r="E162">
        <v>6.9092000000000001E-2</v>
      </c>
      <c r="F162">
        <v>-3.1008000000000001E-2</v>
      </c>
      <c r="G162">
        <v>-7.400799999999999E-2</v>
      </c>
      <c r="H162">
        <v>2.0992E-2</v>
      </c>
      <c r="I162" s="2">
        <f t="shared" si="13"/>
        <v>1.6491999999999996E-2</v>
      </c>
      <c r="J162" s="2">
        <f t="shared" si="13"/>
        <v>1.3919999999999996E-3</v>
      </c>
      <c r="K162" s="2">
        <f t="shared" si="13"/>
        <v>-7.9080000000000001E-3</v>
      </c>
      <c r="L162" s="2">
        <f t="shared" si="12"/>
        <v>6.7591999999999999E-2</v>
      </c>
      <c r="M162" s="2">
        <f t="shared" si="12"/>
        <v>-3.2508000000000002E-2</v>
      </c>
      <c r="N162" s="2">
        <f t="shared" si="12"/>
        <v>-7.5507999999999992E-2</v>
      </c>
      <c r="O162" s="2">
        <f t="shared" si="12"/>
        <v>1.9491999999999999E-2</v>
      </c>
    </row>
    <row r="163" spans="1:15" x14ac:dyDescent="0.2">
      <c r="A163" t="s">
        <v>169</v>
      </c>
      <c r="B163">
        <v>4.8680000000000001E-2</v>
      </c>
      <c r="C163">
        <v>5.8380000000000001E-2</v>
      </c>
      <c r="D163">
        <v>-3.1199999999999999E-3</v>
      </c>
      <c r="E163">
        <v>-2.0619999999999999E-2</v>
      </c>
      <c r="F163">
        <v>-2.2120000000000001E-2</v>
      </c>
      <c r="G163">
        <v>2.0980000000000002E-2</v>
      </c>
      <c r="H163">
        <v>1.908E-2</v>
      </c>
      <c r="I163" s="2">
        <f t="shared" si="13"/>
        <v>4.718E-2</v>
      </c>
      <c r="J163" s="2">
        <f t="shared" si="13"/>
        <v>5.688E-2</v>
      </c>
      <c r="K163" s="2">
        <f t="shared" si="13"/>
        <v>-4.62E-3</v>
      </c>
      <c r="L163" s="2">
        <f t="shared" si="12"/>
        <v>-2.2120000000000001E-2</v>
      </c>
      <c r="M163" s="2">
        <f t="shared" si="12"/>
        <v>-2.3620000000000002E-2</v>
      </c>
      <c r="N163" s="2">
        <f t="shared" si="12"/>
        <v>1.9480000000000001E-2</v>
      </c>
      <c r="O163" s="2">
        <f t="shared" si="12"/>
        <v>1.7579999999999998E-2</v>
      </c>
    </row>
    <row r="164" spans="1:15" x14ac:dyDescent="0.2">
      <c r="A164" t="s">
        <v>170</v>
      </c>
      <c r="B164">
        <v>-5.7130000000000002E-3</v>
      </c>
      <c r="C164">
        <v>-6.8312999999999999E-2</v>
      </c>
      <c r="D164">
        <v>1.9487000000000001E-2</v>
      </c>
      <c r="E164">
        <v>4.1687000000000002E-2</v>
      </c>
      <c r="F164">
        <v>-1.9813000000000001E-2</v>
      </c>
      <c r="G164">
        <v>2.8287E-2</v>
      </c>
      <c r="H164">
        <v>-1.5113000000000001E-2</v>
      </c>
      <c r="I164" s="2">
        <f t="shared" si="13"/>
        <v>-7.2130000000000007E-3</v>
      </c>
      <c r="J164" s="2">
        <f t="shared" si="13"/>
        <v>-6.9813E-2</v>
      </c>
      <c r="K164" s="2">
        <f t="shared" si="13"/>
        <v>1.7987E-2</v>
      </c>
      <c r="L164" s="2">
        <f t="shared" si="12"/>
        <v>4.0187E-2</v>
      </c>
      <c r="M164" s="2">
        <f t="shared" si="12"/>
        <v>-2.1313000000000002E-2</v>
      </c>
      <c r="N164" s="2">
        <f t="shared" si="12"/>
        <v>2.6786999999999998E-2</v>
      </c>
      <c r="O164" s="2">
        <f t="shared" si="12"/>
        <v>-1.6613000000000003E-2</v>
      </c>
    </row>
    <row r="165" spans="1:15" x14ac:dyDescent="0.2">
      <c r="A165" t="s">
        <v>171</v>
      </c>
      <c r="B165">
        <v>2.2897000000000001E-2</v>
      </c>
      <c r="C165">
        <v>2.8997000000000002E-2</v>
      </c>
      <c r="D165">
        <v>-1.7703E-2</v>
      </c>
      <c r="E165">
        <v>-1.1903E-2</v>
      </c>
      <c r="F165">
        <v>3.2696999999999997E-2</v>
      </c>
      <c r="G165">
        <v>1.6997000000000002E-2</v>
      </c>
      <c r="H165">
        <v>3.7696999999999994E-2</v>
      </c>
      <c r="I165" s="2">
        <f t="shared" si="13"/>
        <v>2.1396999999999999E-2</v>
      </c>
      <c r="J165" s="2">
        <f t="shared" si="13"/>
        <v>2.7497000000000001E-2</v>
      </c>
      <c r="K165" s="2">
        <f t="shared" si="13"/>
        <v>-1.9203000000000001E-2</v>
      </c>
      <c r="L165" s="2">
        <f t="shared" si="12"/>
        <v>-1.3403E-2</v>
      </c>
      <c r="M165" s="2">
        <f t="shared" si="12"/>
        <v>3.1196999999999996E-2</v>
      </c>
      <c r="N165" s="2">
        <f t="shared" si="12"/>
        <v>1.5497000000000002E-2</v>
      </c>
      <c r="O165" s="2">
        <f t="shared" si="12"/>
        <v>3.6196999999999993E-2</v>
      </c>
    </row>
    <row r="166" spans="1:15" x14ac:dyDescent="0.2">
      <c r="A166" t="s">
        <v>172</v>
      </c>
      <c r="B166">
        <v>-0.150504</v>
      </c>
      <c r="C166">
        <v>-7.3903999999999997E-2</v>
      </c>
      <c r="D166">
        <v>7.9959999999999996E-3</v>
      </c>
      <c r="E166">
        <v>3.3959999999999997E-3</v>
      </c>
      <c r="F166">
        <v>1.2796E-2</v>
      </c>
      <c r="G166">
        <v>4.3396000000000004E-2</v>
      </c>
      <c r="H166">
        <v>-1.5504E-2</v>
      </c>
      <c r="I166" s="2">
        <f t="shared" si="13"/>
        <v>-0.152004</v>
      </c>
      <c r="J166" s="2">
        <f t="shared" si="13"/>
        <v>-7.5403999999999999E-2</v>
      </c>
      <c r="K166" s="2">
        <f t="shared" si="13"/>
        <v>6.496E-3</v>
      </c>
      <c r="L166" s="2">
        <f t="shared" si="12"/>
        <v>1.8959999999999997E-3</v>
      </c>
      <c r="M166" s="2">
        <f t="shared" si="12"/>
        <v>1.1296E-2</v>
      </c>
      <c r="N166" s="2">
        <f t="shared" si="12"/>
        <v>4.1896000000000003E-2</v>
      </c>
      <c r="O166" s="2">
        <f t="shared" si="12"/>
        <v>-1.7004000000000002E-2</v>
      </c>
    </row>
    <row r="167" spans="1:15" x14ac:dyDescent="0.2">
      <c r="A167" t="s">
        <v>173</v>
      </c>
      <c r="B167">
        <v>-3.8811999999999999E-2</v>
      </c>
      <c r="C167">
        <v>-1.6912E-2</v>
      </c>
      <c r="D167">
        <v>1.588E-3</v>
      </c>
      <c r="E167">
        <v>1.6287999999999997E-2</v>
      </c>
      <c r="F167">
        <v>-2.6119999999999997E-3</v>
      </c>
      <c r="G167">
        <v>-1.3712E-2</v>
      </c>
      <c r="H167">
        <v>2.3187999999999997E-2</v>
      </c>
      <c r="I167" s="2">
        <f t="shared" si="13"/>
        <v>-4.0312000000000001E-2</v>
      </c>
      <c r="J167" s="2">
        <f t="shared" si="13"/>
        <v>-1.8412000000000001E-2</v>
      </c>
      <c r="K167" s="2">
        <f t="shared" si="13"/>
        <v>8.7999999999999971E-5</v>
      </c>
      <c r="L167" s="2">
        <f t="shared" si="12"/>
        <v>1.4787999999999997E-2</v>
      </c>
      <c r="M167" s="2">
        <f t="shared" si="12"/>
        <v>-4.1119999999999993E-3</v>
      </c>
      <c r="N167" s="2">
        <f t="shared" si="12"/>
        <v>-1.5212E-2</v>
      </c>
      <c r="O167" s="2">
        <f t="shared" si="12"/>
        <v>2.1687999999999995E-2</v>
      </c>
    </row>
    <row r="168" spans="1:15" x14ac:dyDescent="0.2">
      <c r="A168" t="s">
        <v>174</v>
      </c>
      <c r="B168">
        <v>0.116401</v>
      </c>
      <c r="C168">
        <v>6.4601000000000006E-2</v>
      </c>
      <c r="D168">
        <v>1.5500999999999999E-2</v>
      </c>
      <c r="E168">
        <v>6.8009999999999998E-3</v>
      </c>
      <c r="F168">
        <v>0.14780099999999999</v>
      </c>
      <c r="G168">
        <v>0.20630100000000001</v>
      </c>
      <c r="H168">
        <v>2.4501000000000002E-2</v>
      </c>
      <c r="I168" s="2">
        <f t="shared" si="13"/>
        <v>0.114901</v>
      </c>
      <c r="J168" s="2">
        <f t="shared" si="13"/>
        <v>6.3101000000000004E-2</v>
      </c>
      <c r="K168" s="2">
        <f t="shared" si="13"/>
        <v>1.4001E-2</v>
      </c>
      <c r="L168" s="2">
        <f t="shared" si="12"/>
        <v>5.3010000000000002E-3</v>
      </c>
      <c r="M168" s="2">
        <f t="shared" si="12"/>
        <v>0.14630099999999999</v>
      </c>
      <c r="N168" s="2">
        <f t="shared" si="12"/>
        <v>0.20480100000000001</v>
      </c>
      <c r="O168" s="2">
        <f t="shared" si="12"/>
        <v>2.3001000000000001E-2</v>
      </c>
    </row>
    <row r="169" spans="1:15" x14ac:dyDescent="0.2">
      <c r="A169" t="s">
        <v>175</v>
      </c>
      <c r="B169">
        <v>-1.4605E-2</v>
      </c>
      <c r="C169">
        <v>5.3895000000000005E-2</v>
      </c>
      <c r="D169">
        <v>-5.0604999999999997E-2</v>
      </c>
      <c r="E169">
        <v>-7.5305000000000011E-2</v>
      </c>
      <c r="F169">
        <v>-1.3405E-2</v>
      </c>
      <c r="G169">
        <v>2.5794999999999998E-2</v>
      </c>
      <c r="H169">
        <v>-4.2049999999999995E-3</v>
      </c>
      <c r="I169" s="2">
        <f t="shared" si="13"/>
        <v>-1.6105000000000001E-2</v>
      </c>
      <c r="J169" s="2">
        <f t="shared" si="13"/>
        <v>5.2395000000000004E-2</v>
      </c>
      <c r="K169" s="2">
        <f t="shared" si="13"/>
        <v>-5.2104999999999999E-2</v>
      </c>
      <c r="L169" s="2">
        <f t="shared" si="12"/>
        <v>-7.6805000000000012E-2</v>
      </c>
      <c r="M169" s="2">
        <f t="shared" si="12"/>
        <v>-1.4905E-2</v>
      </c>
      <c r="N169" s="2">
        <f t="shared" si="12"/>
        <v>2.4294999999999997E-2</v>
      </c>
      <c r="O169" s="2">
        <f t="shared" si="12"/>
        <v>-5.705E-3</v>
      </c>
    </row>
    <row r="170" spans="1:15" x14ac:dyDescent="0.2">
      <c r="A170" t="s">
        <v>176</v>
      </c>
      <c r="B170">
        <v>-4.1112999999999997E-2</v>
      </c>
      <c r="C170">
        <v>-6.5613000000000005E-2</v>
      </c>
      <c r="D170">
        <v>-6.1130000000000004E-3</v>
      </c>
      <c r="E170">
        <v>-1.1213000000000001E-2</v>
      </c>
      <c r="F170">
        <v>-1.0513000000000002E-2</v>
      </c>
      <c r="G170">
        <v>-3.0313E-2</v>
      </c>
      <c r="H170">
        <v>-3.1012999999999999E-2</v>
      </c>
      <c r="I170" s="2">
        <f t="shared" si="13"/>
        <v>-4.2612999999999998E-2</v>
      </c>
      <c r="J170" s="2">
        <f t="shared" si="13"/>
        <v>-6.7113000000000006E-2</v>
      </c>
      <c r="K170" s="2">
        <f t="shared" si="13"/>
        <v>-7.613E-3</v>
      </c>
      <c r="L170" s="2">
        <f t="shared" si="12"/>
        <v>-1.2713E-2</v>
      </c>
      <c r="M170" s="2">
        <f t="shared" si="12"/>
        <v>-1.2013000000000001E-2</v>
      </c>
      <c r="N170" s="2">
        <f t="shared" si="12"/>
        <v>-3.1813000000000001E-2</v>
      </c>
      <c r="O170" s="2">
        <f t="shared" si="12"/>
        <v>-3.2513E-2</v>
      </c>
    </row>
    <row r="171" spans="1:15" x14ac:dyDescent="0.2">
      <c r="A171" t="s">
        <v>177</v>
      </c>
      <c r="B171">
        <v>0.11082099999999999</v>
      </c>
      <c r="C171">
        <v>0.143821</v>
      </c>
      <c r="D171">
        <v>4.9820999999999997E-2</v>
      </c>
      <c r="E171">
        <v>8.1820999999999991E-2</v>
      </c>
      <c r="F171">
        <v>-1.2378999999999999E-2</v>
      </c>
      <c r="G171">
        <v>5.0921000000000001E-2</v>
      </c>
      <c r="H171">
        <v>5.4920999999999998E-2</v>
      </c>
      <c r="I171" s="2">
        <f t="shared" si="13"/>
        <v>0.10932099999999999</v>
      </c>
      <c r="J171" s="2">
        <f t="shared" si="13"/>
        <v>0.142321</v>
      </c>
      <c r="K171" s="2">
        <f t="shared" si="13"/>
        <v>4.8320999999999996E-2</v>
      </c>
      <c r="L171" s="2">
        <f t="shared" si="12"/>
        <v>8.032099999999999E-2</v>
      </c>
      <c r="M171" s="2">
        <f t="shared" si="12"/>
        <v>-1.3878999999999999E-2</v>
      </c>
      <c r="N171" s="2">
        <f t="shared" si="12"/>
        <v>4.9421E-2</v>
      </c>
      <c r="O171" s="2">
        <f t="shared" si="12"/>
        <v>5.3420999999999996E-2</v>
      </c>
    </row>
    <row r="172" spans="1:15" x14ac:dyDescent="0.2">
      <c r="A172" t="s">
        <v>178</v>
      </c>
      <c r="B172">
        <v>-1.2192000000000001E-2</v>
      </c>
      <c r="C172">
        <v>1.3108E-2</v>
      </c>
      <c r="D172">
        <v>-5.5292000000000001E-2</v>
      </c>
      <c r="E172">
        <v>-1.6591999999999999E-2</v>
      </c>
      <c r="F172">
        <v>-1.4092E-2</v>
      </c>
      <c r="G172">
        <v>6.8207999999999991E-2</v>
      </c>
      <c r="H172">
        <v>-1.7391999999999998E-2</v>
      </c>
      <c r="I172" s="2">
        <f t="shared" si="13"/>
        <v>-1.3692000000000001E-2</v>
      </c>
      <c r="J172" s="2">
        <f t="shared" si="13"/>
        <v>1.1608E-2</v>
      </c>
      <c r="K172" s="2">
        <f t="shared" si="13"/>
        <v>-5.6792000000000002E-2</v>
      </c>
      <c r="L172" s="2">
        <f t="shared" si="12"/>
        <v>-1.8092E-2</v>
      </c>
      <c r="M172" s="2">
        <f t="shared" si="12"/>
        <v>-1.5592E-2</v>
      </c>
      <c r="N172" s="2">
        <f t="shared" si="12"/>
        <v>6.670799999999999E-2</v>
      </c>
      <c r="O172" s="2">
        <f t="shared" si="12"/>
        <v>-1.8891999999999999E-2</v>
      </c>
    </row>
    <row r="173" spans="1:15" x14ac:dyDescent="0.2">
      <c r="A173" t="s">
        <v>179</v>
      </c>
      <c r="B173">
        <v>-1.1929E-2</v>
      </c>
      <c r="C173">
        <v>-6.5129000000000006E-2</v>
      </c>
      <c r="D173">
        <v>7.6171000000000003E-2</v>
      </c>
      <c r="E173">
        <v>4.8771000000000002E-2</v>
      </c>
      <c r="F173">
        <v>-5.1129000000000001E-2</v>
      </c>
      <c r="G173">
        <v>-3.9529000000000002E-2</v>
      </c>
      <c r="H173">
        <v>8.4710000000000011E-3</v>
      </c>
      <c r="I173" s="2">
        <f t="shared" si="13"/>
        <v>-1.3429E-2</v>
      </c>
      <c r="J173" s="2">
        <f t="shared" si="13"/>
        <v>-6.6629000000000008E-2</v>
      </c>
      <c r="K173" s="2">
        <f t="shared" si="13"/>
        <v>7.4671000000000001E-2</v>
      </c>
      <c r="L173" s="2">
        <f t="shared" si="12"/>
        <v>4.7271000000000001E-2</v>
      </c>
      <c r="M173" s="2">
        <f t="shared" si="12"/>
        <v>-5.2629000000000002E-2</v>
      </c>
      <c r="N173" s="2">
        <f t="shared" si="12"/>
        <v>-4.1029000000000003E-2</v>
      </c>
      <c r="O173" s="2">
        <f t="shared" si="12"/>
        <v>6.9710000000000015E-3</v>
      </c>
    </row>
    <row r="174" spans="1:15" x14ac:dyDescent="0.2">
      <c r="A174" t="s">
        <v>180</v>
      </c>
      <c r="B174">
        <v>-3.9895E-2</v>
      </c>
      <c r="C174">
        <v>2.6005E-2</v>
      </c>
      <c r="D174">
        <v>-2.895E-3</v>
      </c>
      <c r="E174">
        <v>-1.9795E-2</v>
      </c>
      <c r="F174">
        <v>-4.2395000000000002E-2</v>
      </c>
      <c r="G174">
        <v>1.2905E-2</v>
      </c>
      <c r="H174">
        <v>1.0505E-2</v>
      </c>
      <c r="I174" s="2">
        <f t="shared" si="13"/>
        <v>-4.1395000000000001E-2</v>
      </c>
      <c r="J174" s="2">
        <f t="shared" si="13"/>
        <v>2.4504999999999999E-2</v>
      </c>
      <c r="K174" s="2">
        <f t="shared" si="13"/>
        <v>-4.3949999999999996E-3</v>
      </c>
      <c r="L174" s="2">
        <f t="shared" si="12"/>
        <v>-2.1295000000000001E-2</v>
      </c>
      <c r="M174" s="2">
        <f t="shared" si="12"/>
        <v>-4.3895000000000003E-2</v>
      </c>
      <c r="N174" s="2">
        <f t="shared" si="12"/>
        <v>1.1405E-2</v>
      </c>
      <c r="O174" s="2">
        <f t="shared" si="12"/>
        <v>9.0050000000000009E-3</v>
      </c>
    </row>
    <row r="175" spans="1:15" x14ac:dyDescent="0.2">
      <c r="A175" t="s">
        <v>181</v>
      </c>
      <c r="B175">
        <v>-1.0504000000000001E-2</v>
      </c>
      <c r="C175">
        <v>-6.3904000000000002E-2</v>
      </c>
      <c r="D175">
        <v>2.8396000000000001E-2</v>
      </c>
      <c r="E175">
        <v>-5.7203999999999998E-2</v>
      </c>
      <c r="F175">
        <v>-4.5003999999999995E-2</v>
      </c>
      <c r="G175">
        <v>2.9096E-2</v>
      </c>
      <c r="H175">
        <v>-2.1004000000000002E-2</v>
      </c>
      <c r="I175" s="2">
        <f t="shared" si="13"/>
        <v>-1.2004000000000001E-2</v>
      </c>
      <c r="J175" s="2">
        <f t="shared" si="13"/>
        <v>-6.5404000000000004E-2</v>
      </c>
      <c r="K175" s="2">
        <f t="shared" si="13"/>
        <v>2.6896E-2</v>
      </c>
      <c r="L175" s="2">
        <f t="shared" si="12"/>
        <v>-5.8703999999999999E-2</v>
      </c>
      <c r="M175" s="2">
        <f t="shared" si="12"/>
        <v>-4.6503999999999997E-2</v>
      </c>
      <c r="N175" s="2">
        <f t="shared" si="12"/>
        <v>2.7595999999999999E-2</v>
      </c>
      <c r="O175" s="2">
        <f t="shared" si="12"/>
        <v>-2.2504000000000003E-2</v>
      </c>
    </row>
    <row r="176" spans="1:15" x14ac:dyDescent="0.2">
      <c r="A176" t="s">
        <v>182</v>
      </c>
      <c r="B176">
        <v>-2.163E-3</v>
      </c>
      <c r="C176">
        <v>-5.4563E-2</v>
      </c>
      <c r="D176">
        <v>-8.6629999999999988E-3</v>
      </c>
      <c r="E176">
        <v>1.5736999999999998E-2</v>
      </c>
      <c r="F176">
        <v>1.4837000000000001E-2</v>
      </c>
      <c r="G176">
        <v>2.7370000000000003E-3</v>
      </c>
      <c r="H176">
        <v>1.9736999999999998E-2</v>
      </c>
      <c r="I176" s="2">
        <f t="shared" si="13"/>
        <v>-3.663E-3</v>
      </c>
      <c r="J176" s="2">
        <f t="shared" si="13"/>
        <v>-5.6063000000000002E-2</v>
      </c>
      <c r="K176" s="2">
        <f t="shared" si="13"/>
        <v>-1.0162999999999998E-2</v>
      </c>
      <c r="L176" s="2">
        <f t="shared" si="12"/>
        <v>1.4236999999999998E-2</v>
      </c>
      <c r="M176" s="2">
        <f t="shared" si="12"/>
        <v>1.3337000000000002E-2</v>
      </c>
      <c r="N176" s="2">
        <f t="shared" si="12"/>
        <v>1.2370000000000003E-3</v>
      </c>
      <c r="O176" s="2">
        <f t="shared" si="12"/>
        <v>1.8236999999999996E-2</v>
      </c>
    </row>
    <row r="177" spans="1:15" x14ac:dyDescent="0.2">
      <c r="A177" t="s">
        <v>183</v>
      </c>
      <c r="B177">
        <v>-6.4726999999999993E-2</v>
      </c>
      <c r="C177">
        <v>-6.5726999999999994E-2</v>
      </c>
      <c r="D177">
        <v>-4.4326999999999998E-2</v>
      </c>
      <c r="E177">
        <v>-1.6726999999999999E-2</v>
      </c>
      <c r="F177">
        <v>-9.4727000000000006E-2</v>
      </c>
      <c r="G177">
        <v>-4.3826999999999998E-2</v>
      </c>
      <c r="H177">
        <v>-6.2627000000000002E-2</v>
      </c>
      <c r="I177" s="2">
        <f t="shared" si="13"/>
        <v>-6.6226999999999994E-2</v>
      </c>
      <c r="J177" s="2">
        <f t="shared" si="13"/>
        <v>-6.7226999999999995E-2</v>
      </c>
      <c r="K177" s="2">
        <f t="shared" si="13"/>
        <v>-4.5827E-2</v>
      </c>
      <c r="L177" s="2">
        <f t="shared" si="12"/>
        <v>-1.8227E-2</v>
      </c>
      <c r="M177" s="2">
        <f t="shared" si="12"/>
        <v>-9.6227000000000007E-2</v>
      </c>
      <c r="N177" s="2">
        <f t="shared" si="12"/>
        <v>-4.5326999999999999E-2</v>
      </c>
      <c r="O177" s="2">
        <f t="shared" si="12"/>
        <v>-6.4127000000000003E-2</v>
      </c>
    </row>
    <row r="178" spans="1:15" x14ac:dyDescent="0.2">
      <c r="A178" t="s">
        <v>184</v>
      </c>
      <c r="B178">
        <v>-2.1594000000000002E-2</v>
      </c>
      <c r="C178">
        <v>3.1905999999999997E-2</v>
      </c>
      <c r="D178">
        <v>-1.8694000000000002E-2</v>
      </c>
      <c r="E178">
        <v>-5.4294000000000002E-2</v>
      </c>
      <c r="F178">
        <v>1.7059999999999998E-3</v>
      </c>
      <c r="G178">
        <v>1.2206000000000002E-2</v>
      </c>
      <c r="H178">
        <v>-2.6394000000000001E-2</v>
      </c>
      <c r="I178" s="2">
        <f t="shared" si="13"/>
        <v>-2.3094000000000003E-2</v>
      </c>
      <c r="J178" s="2">
        <f t="shared" si="13"/>
        <v>3.0405999999999996E-2</v>
      </c>
      <c r="K178" s="2">
        <f t="shared" si="13"/>
        <v>-2.0194000000000004E-2</v>
      </c>
      <c r="L178" s="2">
        <f t="shared" si="12"/>
        <v>-5.5794000000000003E-2</v>
      </c>
      <c r="M178" s="2">
        <f t="shared" si="12"/>
        <v>2.059999999999998E-4</v>
      </c>
      <c r="N178" s="2">
        <f t="shared" si="12"/>
        <v>1.0706000000000002E-2</v>
      </c>
      <c r="O178" s="2">
        <f t="shared" si="12"/>
        <v>-2.7894000000000002E-2</v>
      </c>
    </row>
    <row r="179" spans="1:15" x14ac:dyDescent="0.2">
      <c r="A179" t="s">
        <v>185</v>
      </c>
      <c r="B179">
        <v>0.102327</v>
      </c>
      <c r="C179">
        <v>0.16292699999999999</v>
      </c>
      <c r="D179">
        <v>4.3126999999999999E-2</v>
      </c>
      <c r="E179">
        <v>9.1327000000000005E-2</v>
      </c>
      <c r="F179">
        <v>-0.117173</v>
      </c>
      <c r="G179">
        <v>-1.8773000000000001E-2</v>
      </c>
      <c r="H179">
        <v>8.3027000000000004E-2</v>
      </c>
      <c r="I179" s="2">
        <f t="shared" si="13"/>
        <v>0.100827</v>
      </c>
      <c r="J179" s="2">
        <f t="shared" si="13"/>
        <v>0.16142699999999999</v>
      </c>
      <c r="K179" s="2">
        <f t="shared" si="13"/>
        <v>4.1626999999999997E-2</v>
      </c>
      <c r="L179" s="2">
        <f t="shared" si="12"/>
        <v>8.9827000000000004E-2</v>
      </c>
      <c r="M179" s="2">
        <f t="shared" si="12"/>
        <v>-0.118673</v>
      </c>
      <c r="N179" s="2">
        <f t="shared" si="12"/>
        <v>-2.0273000000000003E-2</v>
      </c>
      <c r="O179" s="2">
        <f t="shared" si="12"/>
        <v>8.1527000000000002E-2</v>
      </c>
    </row>
    <row r="180" spans="1:15" x14ac:dyDescent="0.2">
      <c r="A180" t="s">
        <v>186</v>
      </c>
      <c r="B180">
        <v>-3.2419999999999997E-2</v>
      </c>
      <c r="C180">
        <v>3.6979999999999999E-2</v>
      </c>
      <c r="D180">
        <v>4.7799999999999995E-3</v>
      </c>
      <c r="E180">
        <v>-3.0519999999999999E-2</v>
      </c>
      <c r="F180">
        <v>2.7980000000000001E-2</v>
      </c>
      <c r="G180">
        <v>-5.3420000000000002E-2</v>
      </c>
      <c r="H180">
        <v>4.8000000000000001E-4</v>
      </c>
      <c r="I180" s="2">
        <f t="shared" si="13"/>
        <v>-3.3919999999999999E-2</v>
      </c>
      <c r="J180" s="2">
        <f t="shared" si="13"/>
        <v>3.5479999999999998E-2</v>
      </c>
      <c r="K180" s="2">
        <f t="shared" si="13"/>
        <v>3.2799999999999995E-3</v>
      </c>
      <c r="L180" s="2">
        <f t="shared" si="12"/>
        <v>-3.202E-2</v>
      </c>
      <c r="M180" s="2">
        <f t="shared" si="12"/>
        <v>2.648E-2</v>
      </c>
      <c r="N180" s="2">
        <f t="shared" si="12"/>
        <v>-5.4920000000000004E-2</v>
      </c>
      <c r="O180" s="2">
        <f t="shared" si="12"/>
        <v>-1.0200000000000001E-3</v>
      </c>
    </row>
    <row r="181" spans="1:15" x14ac:dyDescent="0.2">
      <c r="A181" t="s">
        <v>187</v>
      </c>
      <c r="B181">
        <v>-1.6802999999999998E-2</v>
      </c>
      <c r="C181">
        <v>-5.1003E-2</v>
      </c>
      <c r="D181">
        <v>2.1897E-2</v>
      </c>
      <c r="E181">
        <v>1.6796999999999999E-2</v>
      </c>
      <c r="F181">
        <v>5.0497E-2</v>
      </c>
      <c r="G181">
        <v>1.397E-3</v>
      </c>
      <c r="H181">
        <v>-1.7603000000000001E-2</v>
      </c>
      <c r="I181" s="2">
        <f t="shared" si="13"/>
        <v>-1.8303E-2</v>
      </c>
      <c r="J181" s="2">
        <f t="shared" si="13"/>
        <v>-5.2503000000000001E-2</v>
      </c>
      <c r="K181" s="2">
        <f t="shared" si="13"/>
        <v>2.0396999999999998E-2</v>
      </c>
      <c r="L181" s="2">
        <f t="shared" si="12"/>
        <v>1.5297E-2</v>
      </c>
      <c r="M181" s="2">
        <f t="shared" si="12"/>
        <v>4.8996999999999999E-2</v>
      </c>
      <c r="N181" s="2">
        <f t="shared" si="12"/>
        <v>-1.0300000000000001E-4</v>
      </c>
      <c r="O181" s="2">
        <f t="shared" si="12"/>
        <v>-1.9103000000000002E-2</v>
      </c>
    </row>
    <row r="182" spans="1:15" x14ac:dyDescent="0.2">
      <c r="A182" t="s">
        <v>188</v>
      </c>
      <c r="B182">
        <v>-0.12403699999999999</v>
      </c>
      <c r="C182">
        <v>-0.12853700000000001</v>
      </c>
      <c r="D182">
        <v>6.266300000000001E-2</v>
      </c>
      <c r="E182">
        <v>9.4563000000000008E-2</v>
      </c>
      <c r="F182">
        <v>8.2463000000000009E-2</v>
      </c>
      <c r="G182">
        <v>-2.637E-3</v>
      </c>
      <c r="H182">
        <v>-5.0737000000000004E-2</v>
      </c>
      <c r="I182" s="2">
        <f t="shared" si="13"/>
        <v>-0.12553699999999998</v>
      </c>
      <c r="J182" s="2">
        <f t="shared" si="13"/>
        <v>-0.13003700000000001</v>
      </c>
      <c r="K182" s="2">
        <f t="shared" si="13"/>
        <v>6.1163000000000009E-2</v>
      </c>
      <c r="L182" s="2">
        <f t="shared" si="12"/>
        <v>9.3063000000000007E-2</v>
      </c>
      <c r="M182" s="2">
        <f t="shared" si="12"/>
        <v>8.0963000000000007E-2</v>
      </c>
      <c r="N182" s="2">
        <f t="shared" si="12"/>
        <v>-4.1370000000000001E-3</v>
      </c>
      <c r="O182" s="2">
        <f t="shared" si="12"/>
        <v>-5.2237000000000006E-2</v>
      </c>
    </row>
    <row r="183" spans="1:15" x14ac:dyDescent="0.2">
      <c r="A183" t="s">
        <v>189</v>
      </c>
      <c r="B183">
        <v>4.7495000000000002E-2</v>
      </c>
      <c r="C183">
        <v>-6.9050000000000005E-3</v>
      </c>
      <c r="D183">
        <v>2.4494999999999999E-2</v>
      </c>
      <c r="E183">
        <v>1.4995E-2</v>
      </c>
      <c r="F183">
        <v>-5.0500000000000002E-4</v>
      </c>
      <c r="G183">
        <v>9.1694999999999999E-2</v>
      </c>
      <c r="H183">
        <v>-4.3050000000000007E-3</v>
      </c>
      <c r="I183" s="2">
        <f t="shared" si="13"/>
        <v>4.5995000000000001E-2</v>
      </c>
      <c r="J183" s="2">
        <f t="shared" si="13"/>
        <v>-8.405000000000001E-3</v>
      </c>
      <c r="K183" s="2">
        <f t="shared" si="13"/>
        <v>2.2994999999999998E-2</v>
      </c>
      <c r="L183" s="2">
        <f t="shared" si="12"/>
        <v>1.3495E-2</v>
      </c>
      <c r="M183" s="2">
        <f t="shared" si="12"/>
        <v>-2.0049999999999998E-3</v>
      </c>
      <c r="N183" s="2">
        <f t="shared" si="12"/>
        <v>9.0194999999999997E-2</v>
      </c>
      <c r="O183" s="2">
        <f t="shared" si="12"/>
        <v>-5.8050000000000011E-3</v>
      </c>
    </row>
    <row r="184" spans="1:15" x14ac:dyDescent="0.2">
      <c r="A184" t="s">
        <v>190</v>
      </c>
      <c r="B184">
        <v>7.8910000000000008E-2</v>
      </c>
      <c r="C184">
        <v>8.0710000000000004E-2</v>
      </c>
      <c r="D184">
        <v>5.9909999999999998E-2</v>
      </c>
      <c r="E184">
        <v>6.5810000000000007E-2</v>
      </c>
      <c r="F184">
        <v>3.9909999999999994E-2</v>
      </c>
      <c r="G184">
        <v>4.861E-2</v>
      </c>
      <c r="H184">
        <v>6.5810000000000007E-2</v>
      </c>
      <c r="I184" s="2">
        <f t="shared" si="13"/>
        <v>7.7410000000000007E-2</v>
      </c>
      <c r="J184" s="2">
        <f t="shared" si="13"/>
        <v>7.9210000000000003E-2</v>
      </c>
      <c r="K184" s="2">
        <f t="shared" si="13"/>
        <v>5.8409999999999997E-2</v>
      </c>
      <c r="L184" s="2">
        <f t="shared" si="12"/>
        <v>6.4310000000000006E-2</v>
      </c>
      <c r="M184" s="2">
        <f t="shared" si="12"/>
        <v>3.8409999999999993E-2</v>
      </c>
      <c r="N184" s="2">
        <f t="shared" si="12"/>
        <v>4.7109999999999999E-2</v>
      </c>
      <c r="O184" s="2">
        <f t="shared" si="12"/>
        <v>6.4310000000000006E-2</v>
      </c>
    </row>
    <row r="185" spans="1:15" x14ac:dyDescent="0.2">
      <c r="A185" t="s">
        <v>191</v>
      </c>
      <c r="B185">
        <v>1.5448999999999999E-2</v>
      </c>
      <c r="C185">
        <v>1.1748999999999999E-2</v>
      </c>
      <c r="D185">
        <v>3.349E-3</v>
      </c>
      <c r="E185">
        <v>-4.8150999999999999E-2</v>
      </c>
      <c r="F185">
        <v>-2.3750999999999998E-2</v>
      </c>
      <c r="G185">
        <v>-3.3850999999999999E-2</v>
      </c>
      <c r="H185">
        <v>2.6490000000000003E-3</v>
      </c>
      <c r="I185" s="2">
        <f t="shared" si="13"/>
        <v>1.3949E-2</v>
      </c>
      <c r="J185" s="2">
        <f t="shared" si="13"/>
        <v>1.0248999999999999E-2</v>
      </c>
      <c r="K185" s="2">
        <f t="shared" si="13"/>
        <v>1.8489999999999999E-3</v>
      </c>
      <c r="L185" s="2">
        <f t="shared" si="12"/>
        <v>-4.9651000000000001E-2</v>
      </c>
      <c r="M185" s="2">
        <f t="shared" si="12"/>
        <v>-2.5250999999999999E-2</v>
      </c>
      <c r="N185" s="2">
        <f t="shared" si="12"/>
        <v>-3.5351E-2</v>
      </c>
      <c r="O185" s="2">
        <f t="shared" si="12"/>
        <v>1.1490000000000003E-3</v>
      </c>
    </row>
    <row r="186" spans="1:15" x14ac:dyDescent="0.2">
      <c r="A186" t="s">
        <v>192</v>
      </c>
      <c r="B186">
        <v>-5.3149999999999994E-3</v>
      </c>
      <c r="C186">
        <v>-1.6515000000000002E-2</v>
      </c>
      <c r="D186">
        <v>8.3850000000000001E-3</v>
      </c>
      <c r="E186">
        <v>-9.1500000000000001E-4</v>
      </c>
      <c r="F186">
        <v>6.6284999999999997E-2</v>
      </c>
      <c r="G186">
        <v>-0.128415</v>
      </c>
      <c r="H186">
        <v>1.5184999999999999E-2</v>
      </c>
      <c r="I186" s="2">
        <f t="shared" si="13"/>
        <v>-6.8149999999999999E-3</v>
      </c>
      <c r="J186" s="2">
        <f t="shared" si="13"/>
        <v>-1.8015000000000003E-2</v>
      </c>
      <c r="K186" s="2">
        <f t="shared" si="13"/>
        <v>6.8850000000000005E-3</v>
      </c>
      <c r="L186" s="2">
        <f t="shared" si="12"/>
        <v>-2.415E-3</v>
      </c>
      <c r="M186" s="2">
        <f t="shared" si="12"/>
        <v>6.4784999999999995E-2</v>
      </c>
      <c r="N186" s="2">
        <f t="shared" si="12"/>
        <v>-0.129915</v>
      </c>
      <c r="O186" s="2">
        <f t="shared" si="12"/>
        <v>1.3684999999999999E-2</v>
      </c>
    </row>
    <row r="187" spans="1:15" x14ac:dyDescent="0.2">
      <c r="A187" t="s">
        <v>193</v>
      </c>
      <c r="B187">
        <v>-6.838799999999999E-2</v>
      </c>
      <c r="C187">
        <v>-8.3787999999999987E-2</v>
      </c>
      <c r="D187">
        <v>0.10351200000000001</v>
      </c>
      <c r="E187">
        <v>9.6912000000000012E-2</v>
      </c>
      <c r="F187">
        <v>3.1412000000000002E-2</v>
      </c>
      <c r="G187">
        <v>1.4912E-2</v>
      </c>
      <c r="H187">
        <v>7.1199999999999996E-4</v>
      </c>
      <c r="I187" s="2">
        <f t="shared" si="13"/>
        <v>-6.9887999999999992E-2</v>
      </c>
      <c r="J187" s="2">
        <f t="shared" si="13"/>
        <v>-8.5287999999999989E-2</v>
      </c>
      <c r="K187" s="2">
        <f t="shared" si="13"/>
        <v>0.10201200000000001</v>
      </c>
      <c r="L187" s="2">
        <f t="shared" si="12"/>
        <v>9.5412000000000011E-2</v>
      </c>
      <c r="M187" s="2">
        <f t="shared" si="12"/>
        <v>2.9912000000000001E-2</v>
      </c>
      <c r="N187" s="2">
        <f t="shared" si="12"/>
        <v>1.3412E-2</v>
      </c>
      <c r="O187" s="2">
        <f t="shared" si="12"/>
        <v>-7.8800000000000007E-4</v>
      </c>
    </row>
    <row r="188" spans="1:15" x14ac:dyDescent="0.2">
      <c r="A188" t="s">
        <v>194</v>
      </c>
      <c r="B188">
        <v>1.7929E-2</v>
      </c>
      <c r="C188">
        <v>0.114329</v>
      </c>
      <c r="D188">
        <v>1.2829E-2</v>
      </c>
      <c r="E188">
        <v>2.1289999999999998E-3</v>
      </c>
      <c r="F188">
        <v>-8.7100000000000003E-4</v>
      </c>
      <c r="G188">
        <v>7.8728999999999993E-2</v>
      </c>
      <c r="H188">
        <v>3.5429000000000002E-2</v>
      </c>
      <c r="I188" s="2">
        <f t="shared" si="13"/>
        <v>1.6428999999999999E-2</v>
      </c>
      <c r="J188" s="2">
        <f t="shared" si="13"/>
        <v>0.112829</v>
      </c>
      <c r="K188" s="2">
        <f t="shared" si="13"/>
        <v>1.1329000000000001E-2</v>
      </c>
      <c r="L188" s="2">
        <f t="shared" si="12"/>
        <v>6.2899999999999978E-4</v>
      </c>
      <c r="M188" s="2">
        <f t="shared" si="12"/>
        <v>-2.3709999999999998E-3</v>
      </c>
      <c r="N188" s="2">
        <f t="shared" si="12"/>
        <v>7.7228999999999992E-2</v>
      </c>
      <c r="O188" s="2">
        <f t="shared" si="12"/>
        <v>3.3929000000000001E-2</v>
      </c>
    </row>
    <row r="189" spans="1:15" x14ac:dyDescent="0.2">
      <c r="A189" t="s">
        <v>195</v>
      </c>
      <c r="B189">
        <v>-4.8650000000000004E-3</v>
      </c>
      <c r="C189">
        <v>1.1835E-2</v>
      </c>
      <c r="D189">
        <v>-5.5864999999999998E-2</v>
      </c>
      <c r="E189">
        <v>-5.5764999999999995E-2</v>
      </c>
      <c r="F189">
        <v>-1.4465E-2</v>
      </c>
      <c r="G189">
        <v>-6.0964999999999998E-2</v>
      </c>
      <c r="H189">
        <v>-1.3649999999999999E-3</v>
      </c>
      <c r="I189" s="2">
        <f t="shared" si="13"/>
        <v>-6.3650000000000009E-3</v>
      </c>
      <c r="J189" s="2">
        <f t="shared" si="13"/>
        <v>1.0335E-2</v>
      </c>
      <c r="K189" s="2">
        <f t="shared" si="13"/>
        <v>-5.7364999999999999E-2</v>
      </c>
      <c r="L189" s="2">
        <f t="shared" si="12"/>
        <v>-5.7264999999999996E-2</v>
      </c>
      <c r="M189" s="2">
        <f t="shared" si="12"/>
        <v>-1.5965E-2</v>
      </c>
      <c r="N189" s="2">
        <f t="shared" si="12"/>
        <v>-6.2465E-2</v>
      </c>
      <c r="O189" s="2">
        <f t="shared" si="12"/>
        <v>-2.8649999999999999E-3</v>
      </c>
    </row>
    <row r="190" spans="1:15" x14ac:dyDescent="0.2">
      <c r="A190" t="s">
        <v>196</v>
      </c>
      <c r="B190">
        <v>-4.2318999999999996E-2</v>
      </c>
      <c r="C190">
        <v>6.9809999999999994E-3</v>
      </c>
      <c r="D190">
        <v>-6.8190000000000004E-3</v>
      </c>
      <c r="E190">
        <v>-6.9189999999999998E-3</v>
      </c>
      <c r="F190">
        <v>9.2809999999999993E-3</v>
      </c>
      <c r="G190">
        <v>-2.1718999999999999E-2</v>
      </c>
      <c r="H190">
        <v>-1.4189999999999999E-3</v>
      </c>
      <c r="I190" s="2">
        <f t="shared" si="13"/>
        <v>-4.3818999999999997E-2</v>
      </c>
      <c r="J190" s="2">
        <f t="shared" si="13"/>
        <v>5.4809999999999998E-3</v>
      </c>
      <c r="K190" s="2">
        <f t="shared" si="13"/>
        <v>-8.319E-3</v>
      </c>
      <c r="L190" s="2">
        <f t="shared" si="12"/>
        <v>-8.4189999999999994E-3</v>
      </c>
      <c r="M190" s="2">
        <f t="shared" si="12"/>
        <v>7.7809999999999997E-3</v>
      </c>
      <c r="N190" s="2">
        <f t="shared" si="12"/>
        <v>-2.3219E-2</v>
      </c>
      <c r="O190" s="2">
        <f t="shared" si="12"/>
        <v>-2.9189999999999997E-3</v>
      </c>
    </row>
    <row r="191" spans="1:15" x14ac:dyDescent="0.2">
      <c r="A191" t="s">
        <v>197</v>
      </c>
      <c r="B191">
        <v>-1.5167999999999999E-2</v>
      </c>
      <c r="C191">
        <v>-5.568E-3</v>
      </c>
      <c r="D191">
        <v>-8.3168000000000006E-2</v>
      </c>
      <c r="E191">
        <v>-6.4168000000000003E-2</v>
      </c>
      <c r="F191">
        <v>-2.9268000000000002E-2</v>
      </c>
      <c r="G191">
        <v>5.3199999999999992E-4</v>
      </c>
      <c r="H191">
        <v>-1.9568000000000002E-2</v>
      </c>
      <c r="I191" s="2">
        <f t="shared" si="13"/>
        <v>-1.6667999999999999E-2</v>
      </c>
      <c r="J191" s="2">
        <f t="shared" si="13"/>
        <v>-7.0679999999999996E-3</v>
      </c>
      <c r="K191" s="2">
        <f t="shared" si="13"/>
        <v>-8.4668000000000007E-2</v>
      </c>
      <c r="L191" s="2">
        <f t="shared" si="12"/>
        <v>-6.5668000000000004E-2</v>
      </c>
      <c r="M191" s="2">
        <f t="shared" si="12"/>
        <v>-3.0768000000000004E-2</v>
      </c>
      <c r="N191" s="2">
        <f t="shared" si="12"/>
        <v>-9.6800000000000011E-4</v>
      </c>
      <c r="O191" s="2">
        <f t="shared" si="12"/>
        <v>-2.1068000000000003E-2</v>
      </c>
    </row>
    <row r="192" spans="1:15" x14ac:dyDescent="0.2">
      <c r="A192" t="s">
        <v>198</v>
      </c>
      <c r="B192">
        <v>1.8564000000000001E-2</v>
      </c>
      <c r="C192">
        <v>9.2564000000000007E-2</v>
      </c>
      <c r="D192">
        <v>4.9864000000000006E-2</v>
      </c>
      <c r="E192">
        <v>3.7264000000000005E-2</v>
      </c>
      <c r="F192">
        <v>5.764E-3</v>
      </c>
      <c r="G192">
        <v>0.13306400000000002</v>
      </c>
      <c r="H192">
        <v>3.4064000000000004E-2</v>
      </c>
      <c r="I192" s="2">
        <f t="shared" si="13"/>
        <v>1.7063999999999999E-2</v>
      </c>
      <c r="J192" s="2">
        <f t="shared" si="13"/>
        <v>9.1064000000000006E-2</v>
      </c>
      <c r="K192" s="2">
        <f t="shared" si="13"/>
        <v>4.8364000000000004E-2</v>
      </c>
      <c r="L192" s="2">
        <f t="shared" si="12"/>
        <v>3.5764000000000004E-2</v>
      </c>
      <c r="M192" s="2">
        <f t="shared" si="12"/>
        <v>4.2640000000000004E-3</v>
      </c>
      <c r="N192" s="2">
        <f t="shared" si="12"/>
        <v>0.13156400000000001</v>
      </c>
      <c r="O192" s="2">
        <f t="shared" si="12"/>
        <v>3.2564000000000003E-2</v>
      </c>
    </row>
    <row r="193" spans="1:15" x14ac:dyDescent="0.2">
      <c r="A193" t="s">
        <v>199</v>
      </c>
      <c r="B193">
        <v>1.3961000000000001E-2</v>
      </c>
      <c r="C193">
        <v>1.9761000000000001E-2</v>
      </c>
      <c r="D193">
        <v>0.100761</v>
      </c>
      <c r="E193">
        <v>6.9460999999999995E-2</v>
      </c>
      <c r="F193">
        <v>-1.1838999999999999E-2</v>
      </c>
      <c r="G193">
        <v>-6.5139000000000002E-2</v>
      </c>
      <c r="H193">
        <v>1.7961000000000001E-2</v>
      </c>
      <c r="I193" s="2">
        <f t="shared" si="13"/>
        <v>1.2461000000000002E-2</v>
      </c>
      <c r="J193" s="2">
        <f t="shared" si="13"/>
        <v>1.8260999999999999E-2</v>
      </c>
      <c r="K193" s="2">
        <f t="shared" si="13"/>
        <v>9.9261000000000002E-2</v>
      </c>
      <c r="L193" s="2">
        <f t="shared" si="12"/>
        <v>6.7960999999999994E-2</v>
      </c>
      <c r="M193" s="2">
        <f t="shared" si="12"/>
        <v>-1.3338999999999998E-2</v>
      </c>
      <c r="N193" s="2">
        <f t="shared" si="12"/>
        <v>-6.6639000000000004E-2</v>
      </c>
      <c r="O193" s="2">
        <f t="shared" si="12"/>
        <v>1.6461E-2</v>
      </c>
    </row>
    <row r="194" spans="1:15" x14ac:dyDescent="0.2">
      <c r="A194" t="s">
        <v>200</v>
      </c>
      <c r="B194">
        <v>3.5042000000000004E-2</v>
      </c>
      <c r="C194">
        <v>5.0442000000000001E-2</v>
      </c>
      <c r="D194">
        <v>2.7419999999999996E-3</v>
      </c>
      <c r="E194">
        <v>-7.2258000000000003E-2</v>
      </c>
      <c r="F194">
        <v>-3.4757999999999997E-2</v>
      </c>
      <c r="G194">
        <v>-0.107658</v>
      </c>
      <c r="H194">
        <v>1.7541999999999999E-2</v>
      </c>
      <c r="I194" s="2">
        <f t="shared" si="13"/>
        <v>3.3542000000000002E-2</v>
      </c>
      <c r="J194" s="2">
        <f t="shared" si="13"/>
        <v>4.8941999999999999E-2</v>
      </c>
      <c r="K194" s="2">
        <f t="shared" si="13"/>
        <v>1.2419999999999996E-3</v>
      </c>
      <c r="L194" s="2">
        <f t="shared" si="12"/>
        <v>-7.3758000000000004E-2</v>
      </c>
      <c r="M194" s="2">
        <f t="shared" si="12"/>
        <v>-3.6257999999999999E-2</v>
      </c>
      <c r="N194" s="2">
        <f t="shared" si="12"/>
        <v>-0.10915800000000001</v>
      </c>
      <c r="O194" s="2">
        <f t="shared" si="12"/>
        <v>1.6041999999999997E-2</v>
      </c>
    </row>
    <row r="195" spans="1:15" x14ac:dyDescent="0.2">
      <c r="A195" t="s">
        <v>201</v>
      </c>
      <c r="B195">
        <v>1.3436E-2</v>
      </c>
      <c r="C195">
        <v>5.9360000000000003E-3</v>
      </c>
      <c r="D195">
        <v>-9.1640000000000003E-3</v>
      </c>
      <c r="E195">
        <v>1.2336E-2</v>
      </c>
      <c r="F195">
        <v>6.2435999999999992E-2</v>
      </c>
      <c r="G195">
        <v>-8.0464000000000008E-2</v>
      </c>
      <c r="H195">
        <v>3.6835999999999994E-2</v>
      </c>
      <c r="I195" s="2">
        <f t="shared" si="13"/>
        <v>1.1936E-2</v>
      </c>
      <c r="J195" s="2">
        <f t="shared" si="13"/>
        <v>4.4360000000000007E-3</v>
      </c>
      <c r="K195" s="2">
        <f t="shared" si="13"/>
        <v>-1.0664E-2</v>
      </c>
      <c r="L195" s="2">
        <f t="shared" si="12"/>
        <v>1.0836E-2</v>
      </c>
      <c r="M195" s="2">
        <f t="shared" si="12"/>
        <v>6.093599999999999E-2</v>
      </c>
      <c r="N195" s="2">
        <f t="shared" si="12"/>
        <v>-8.1964000000000009E-2</v>
      </c>
      <c r="O195" s="2">
        <f t="shared" si="12"/>
        <v>3.5335999999999992E-2</v>
      </c>
    </row>
    <row r="196" spans="1:15" x14ac:dyDescent="0.2">
      <c r="A196" t="s">
        <v>202</v>
      </c>
      <c r="B196">
        <v>-7.1353E-2</v>
      </c>
      <c r="C196">
        <v>-3.0752999999999999E-2</v>
      </c>
      <c r="D196">
        <v>-6.0530000000000002E-3</v>
      </c>
      <c r="E196">
        <v>-1.8053E-2</v>
      </c>
      <c r="F196">
        <v>2.3247E-2</v>
      </c>
      <c r="G196">
        <v>-6.1253000000000002E-2</v>
      </c>
      <c r="H196">
        <v>-7.5299999999999998E-4</v>
      </c>
      <c r="I196" s="2">
        <f t="shared" si="13"/>
        <v>-7.2853000000000001E-2</v>
      </c>
      <c r="J196" s="2">
        <f t="shared" si="13"/>
        <v>-3.2252999999999997E-2</v>
      </c>
      <c r="K196" s="2">
        <f t="shared" si="13"/>
        <v>-7.5530000000000007E-3</v>
      </c>
      <c r="L196" s="2">
        <f t="shared" si="12"/>
        <v>-1.9553000000000001E-2</v>
      </c>
      <c r="M196" s="2">
        <f t="shared" si="12"/>
        <v>2.1746999999999999E-2</v>
      </c>
      <c r="N196" s="2">
        <f t="shared" si="12"/>
        <v>-6.2753000000000003E-2</v>
      </c>
      <c r="O196" s="2">
        <f t="shared" si="12"/>
        <v>-2.2529999999999998E-3</v>
      </c>
    </row>
    <row r="197" spans="1:15" x14ac:dyDescent="0.2">
      <c r="A197" t="s">
        <v>203</v>
      </c>
      <c r="B197">
        <v>-1.8370000000000001E-3</v>
      </c>
      <c r="C197">
        <v>-2.0937000000000001E-2</v>
      </c>
      <c r="D197">
        <v>-3.5237000000000004E-2</v>
      </c>
      <c r="E197">
        <v>-4.7537000000000003E-2</v>
      </c>
      <c r="F197">
        <v>4.2462999999999994E-2</v>
      </c>
      <c r="G197">
        <v>1.1463000000000001E-2</v>
      </c>
      <c r="H197">
        <v>8.5630000000000012E-3</v>
      </c>
      <c r="I197" s="2">
        <f t="shared" si="13"/>
        <v>-3.3370000000000001E-3</v>
      </c>
      <c r="J197" s="2">
        <f t="shared" si="13"/>
        <v>-2.2437000000000002E-2</v>
      </c>
      <c r="K197" s="2">
        <f t="shared" si="13"/>
        <v>-3.6737000000000006E-2</v>
      </c>
      <c r="L197" s="2">
        <f t="shared" si="12"/>
        <v>-4.9037000000000004E-2</v>
      </c>
      <c r="M197" s="2">
        <f t="shared" si="12"/>
        <v>4.0962999999999992E-2</v>
      </c>
      <c r="N197" s="2">
        <f t="shared" si="12"/>
        <v>9.9630000000000014E-3</v>
      </c>
      <c r="O197" s="2">
        <f t="shared" si="12"/>
        <v>7.0630000000000016E-3</v>
      </c>
    </row>
    <row r="198" spans="1:15" x14ac:dyDescent="0.2">
      <c r="A198" t="s">
        <v>204</v>
      </c>
      <c r="B198">
        <v>-3.1113999999999999E-2</v>
      </c>
      <c r="C198">
        <v>-2.1114000000000001E-2</v>
      </c>
      <c r="D198">
        <v>-2.8413999999999998E-2</v>
      </c>
      <c r="E198">
        <v>1.5286000000000001E-2</v>
      </c>
      <c r="F198">
        <v>5.1785999999999999E-2</v>
      </c>
      <c r="G198">
        <v>-2.4139999999999999E-3</v>
      </c>
      <c r="H198">
        <v>1.0985999999999999E-2</v>
      </c>
      <c r="I198" s="2">
        <f t="shared" si="13"/>
        <v>-3.2613999999999997E-2</v>
      </c>
      <c r="J198" s="2">
        <f t="shared" si="13"/>
        <v>-2.2614000000000002E-2</v>
      </c>
      <c r="K198" s="2">
        <f t="shared" si="13"/>
        <v>-2.9914E-2</v>
      </c>
      <c r="L198" s="2">
        <f t="shared" si="12"/>
        <v>1.3786000000000001E-2</v>
      </c>
      <c r="M198" s="2">
        <f t="shared" si="12"/>
        <v>5.0285999999999997E-2</v>
      </c>
      <c r="N198" s="2">
        <f t="shared" si="12"/>
        <v>-3.9139999999999999E-3</v>
      </c>
      <c r="O198" s="2">
        <f t="shared" si="12"/>
        <v>9.4859999999999996E-3</v>
      </c>
    </row>
    <row r="199" spans="1:15" x14ac:dyDescent="0.2">
      <c r="A199" t="s">
        <v>205</v>
      </c>
      <c r="B199">
        <v>5.6829999999999997E-3</v>
      </c>
      <c r="C199">
        <v>4.0282999999999999E-2</v>
      </c>
      <c r="D199">
        <v>-2.1416999999999999E-2</v>
      </c>
      <c r="E199">
        <v>-4.3117000000000003E-2</v>
      </c>
      <c r="F199">
        <v>-3.7816999999999996E-2</v>
      </c>
      <c r="G199">
        <v>-5.2517000000000001E-2</v>
      </c>
      <c r="H199">
        <v>4.1829999999999992E-3</v>
      </c>
      <c r="I199" s="2">
        <f t="shared" si="13"/>
        <v>4.1829999999999992E-3</v>
      </c>
      <c r="J199" s="2">
        <f t="shared" si="13"/>
        <v>3.8782999999999998E-2</v>
      </c>
      <c r="K199" s="2">
        <f t="shared" si="13"/>
        <v>-2.2917E-2</v>
      </c>
      <c r="L199" s="2">
        <f t="shared" si="12"/>
        <v>-4.4617000000000004E-2</v>
      </c>
      <c r="M199" s="2">
        <f t="shared" si="12"/>
        <v>-3.9316999999999998E-2</v>
      </c>
      <c r="N199" s="2">
        <f t="shared" si="12"/>
        <v>-5.4017000000000003E-2</v>
      </c>
      <c r="O199" s="2">
        <f t="shared" si="12"/>
        <v>2.6829999999999992E-3</v>
      </c>
    </row>
    <row r="200" spans="1:15" x14ac:dyDescent="0.2">
      <c r="A200" t="s">
        <v>206</v>
      </c>
      <c r="B200">
        <v>1.4777999999999999E-2</v>
      </c>
      <c r="C200">
        <v>2.9377999999999998E-2</v>
      </c>
      <c r="D200">
        <v>4.6578000000000001E-2</v>
      </c>
      <c r="E200">
        <v>9.7378000000000006E-2</v>
      </c>
      <c r="F200">
        <v>5.6278000000000002E-2</v>
      </c>
      <c r="G200">
        <v>8.3077999999999999E-2</v>
      </c>
      <c r="H200">
        <v>1.8578000000000001E-2</v>
      </c>
      <c r="I200" s="2">
        <f t="shared" si="13"/>
        <v>1.3278E-2</v>
      </c>
      <c r="J200" s="2">
        <f t="shared" si="13"/>
        <v>2.7877999999999997E-2</v>
      </c>
      <c r="K200" s="2">
        <f t="shared" si="13"/>
        <v>4.5078E-2</v>
      </c>
      <c r="L200" s="2">
        <f t="shared" si="12"/>
        <v>9.5878000000000005E-2</v>
      </c>
      <c r="M200" s="2">
        <f t="shared" si="12"/>
        <v>5.4778E-2</v>
      </c>
      <c r="N200" s="2">
        <f t="shared" si="12"/>
        <v>8.1577999999999998E-2</v>
      </c>
      <c r="O200" s="2">
        <f t="shared" si="12"/>
        <v>1.7077999999999999E-2</v>
      </c>
    </row>
    <row r="201" spans="1:15" x14ac:dyDescent="0.2">
      <c r="A201" t="s">
        <v>207</v>
      </c>
      <c r="B201">
        <v>-1.7727E-2</v>
      </c>
      <c r="C201">
        <v>1.4773E-2</v>
      </c>
      <c r="D201">
        <v>-4.0327000000000002E-2</v>
      </c>
      <c r="E201">
        <v>-9.7269999999999995E-3</v>
      </c>
      <c r="F201">
        <v>-1.8727000000000001E-2</v>
      </c>
      <c r="G201">
        <v>-2.7927E-2</v>
      </c>
      <c r="H201">
        <v>-3.2700000000000003E-4</v>
      </c>
      <c r="I201" s="2">
        <f t="shared" si="13"/>
        <v>-1.9227000000000001E-2</v>
      </c>
      <c r="J201" s="2">
        <f t="shared" si="13"/>
        <v>1.3273E-2</v>
      </c>
      <c r="K201" s="2">
        <f t="shared" si="13"/>
        <v>-4.1827000000000003E-2</v>
      </c>
      <c r="L201" s="2">
        <f t="shared" si="12"/>
        <v>-1.1226999999999999E-2</v>
      </c>
      <c r="M201" s="2">
        <f t="shared" si="12"/>
        <v>-2.0227000000000002E-2</v>
      </c>
      <c r="N201" s="2">
        <f t="shared" si="12"/>
        <v>-2.9427000000000002E-2</v>
      </c>
      <c r="O201" s="2">
        <f t="shared" si="12"/>
        <v>-1.8270000000000001E-3</v>
      </c>
    </row>
    <row r="202" spans="1:15" x14ac:dyDescent="0.2">
      <c r="A202" t="s">
        <v>208</v>
      </c>
      <c r="B202">
        <v>8.4255999999999998E-2</v>
      </c>
      <c r="C202">
        <v>0.11555600000000001</v>
      </c>
      <c r="D202">
        <v>4.4656000000000001E-2</v>
      </c>
      <c r="E202">
        <v>3.0755999999999999E-2</v>
      </c>
      <c r="F202">
        <v>-4.4000000000000094E-5</v>
      </c>
      <c r="G202">
        <v>8.1255999999999995E-2</v>
      </c>
      <c r="H202">
        <v>1.8356000000000001E-2</v>
      </c>
      <c r="I202" s="2">
        <f t="shared" si="13"/>
        <v>8.2755999999999996E-2</v>
      </c>
      <c r="J202" s="2">
        <f t="shared" si="13"/>
        <v>0.114056</v>
      </c>
      <c r="K202" s="2">
        <f t="shared" si="13"/>
        <v>4.3156E-2</v>
      </c>
      <c r="L202" s="2">
        <f t="shared" si="12"/>
        <v>2.9255999999999997E-2</v>
      </c>
      <c r="M202" s="2">
        <f t="shared" si="12"/>
        <v>-1.5440000000000002E-3</v>
      </c>
      <c r="N202" s="2">
        <f t="shared" si="12"/>
        <v>7.9755999999999994E-2</v>
      </c>
      <c r="O202" s="2">
        <f t="shared" si="12"/>
        <v>1.6855999999999999E-2</v>
      </c>
    </row>
    <row r="203" spans="1:15" x14ac:dyDescent="0.2">
      <c r="A203" t="s">
        <v>209</v>
      </c>
      <c r="B203">
        <v>3.696E-2</v>
      </c>
      <c r="C203">
        <v>6.3560000000000005E-2</v>
      </c>
      <c r="D203">
        <v>-0.13084000000000001</v>
      </c>
      <c r="E203">
        <v>-2.1840000000000002E-2</v>
      </c>
      <c r="F203">
        <v>0.11656000000000001</v>
      </c>
      <c r="G203">
        <v>-3.4000000000000002E-4</v>
      </c>
      <c r="H203">
        <v>2.1360000000000001E-2</v>
      </c>
      <c r="I203" s="2">
        <f t="shared" si="13"/>
        <v>3.5459999999999998E-2</v>
      </c>
      <c r="J203" s="2">
        <f t="shared" si="13"/>
        <v>6.2060000000000004E-2</v>
      </c>
      <c r="K203" s="2">
        <f t="shared" si="13"/>
        <v>-0.13234000000000001</v>
      </c>
      <c r="L203" s="2">
        <f t="shared" si="12"/>
        <v>-2.3340000000000003E-2</v>
      </c>
      <c r="M203" s="2">
        <f t="shared" si="12"/>
        <v>0.11506000000000001</v>
      </c>
      <c r="N203" s="2">
        <f t="shared" si="12"/>
        <v>-1.8400000000000001E-3</v>
      </c>
      <c r="O203" s="2">
        <f t="shared" si="12"/>
        <v>1.9859999999999999E-2</v>
      </c>
    </row>
    <row r="204" spans="1:15" x14ac:dyDescent="0.2">
      <c r="A204" t="s">
        <v>210</v>
      </c>
      <c r="B204">
        <v>1.9574000000000001E-2</v>
      </c>
      <c r="C204">
        <v>1.774E-3</v>
      </c>
      <c r="D204">
        <v>8.0274000000000012E-2</v>
      </c>
      <c r="E204">
        <v>6.2274000000000003E-2</v>
      </c>
      <c r="F204">
        <v>0.11277400000000001</v>
      </c>
      <c r="G204">
        <v>2.4174000000000001E-2</v>
      </c>
      <c r="H204">
        <v>2.7274E-2</v>
      </c>
      <c r="I204" s="2">
        <f t="shared" si="13"/>
        <v>1.8074E-2</v>
      </c>
      <c r="J204" s="2">
        <f t="shared" si="13"/>
        <v>2.7399999999999994E-4</v>
      </c>
      <c r="K204" s="2">
        <f t="shared" si="13"/>
        <v>7.8774000000000011E-2</v>
      </c>
      <c r="L204" s="2">
        <f t="shared" si="12"/>
        <v>6.0774000000000002E-2</v>
      </c>
      <c r="M204" s="2">
        <f t="shared" si="12"/>
        <v>0.11127400000000001</v>
      </c>
      <c r="N204" s="2">
        <f t="shared" si="12"/>
        <v>2.2674E-2</v>
      </c>
      <c r="O204" s="2">
        <f t="shared" si="12"/>
        <v>2.5773999999999998E-2</v>
      </c>
    </row>
    <row r="205" spans="1:15" x14ac:dyDescent="0.2">
      <c r="A205" t="s">
        <v>211</v>
      </c>
      <c r="B205">
        <v>-3.2839999999999996E-3</v>
      </c>
      <c r="C205">
        <v>-4.0984E-2</v>
      </c>
      <c r="D205">
        <v>6.7816000000000001E-2</v>
      </c>
      <c r="E205">
        <v>3.9215999999999994E-2</v>
      </c>
      <c r="F205">
        <v>2.0116000000000002E-2</v>
      </c>
      <c r="G205">
        <v>8.8416000000000008E-2</v>
      </c>
      <c r="H205">
        <v>8.9160000000000003E-3</v>
      </c>
      <c r="I205" s="2">
        <f t="shared" si="13"/>
        <v>-4.7840000000000001E-3</v>
      </c>
      <c r="J205" s="2">
        <f t="shared" si="13"/>
        <v>-4.2484000000000001E-2</v>
      </c>
      <c r="K205" s="2">
        <f t="shared" si="13"/>
        <v>6.6316E-2</v>
      </c>
      <c r="L205" s="2">
        <f t="shared" si="12"/>
        <v>3.7715999999999993E-2</v>
      </c>
      <c r="M205" s="2">
        <f t="shared" si="12"/>
        <v>1.8616000000000001E-2</v>
      </c>
      <c r="N205" s="2">
        <f t="shared" si="12"/>
        <v>8.6916000000000007E-2</v>
      </c>
      <c r="O205" s="2">
        <f t="shared" si="12"/>
        <v>7.4160000000000007E-3</v>
      </c>
    </row>
    <row r="206" spans="1:15" x14ac:dyDescent="0.2">
      <c r="A206" t="s">
        <v>212</v>
      </c>
      <c r="B206">
        <v>-0.10072099999999999</v>
      </c>
      <c r="C206">
        <v>3.3479000000000002E-2</v>
      </c>
      <c r="D206">
        <v>-2.5021000000000002E-2</v>
      </c>
      <c r="E206">
        <v>3.2079000000000003E-2</v>
      </c>
      <c r="F206">
        <v>7.8379000000000004E-2</v>
      </c>
      <c r="G206">
        <v>0.15167899999999998</v>
      </c>
      <c r="H206">
        <v>5.5079000000000003E-2</v>
      </c>
      <c r="I206" s="2">
        <f t="shared" si="13"/>
        <v>-0.10222099999999999</v>
      </c>
      <c r="J206" s="2">
        <f t="shared" si="13"/>
        <v>3.1979E-2</v>
      </c>
      <c r="K206" s="2">
        <f t="shared" si="13"/>
        <v>-2.6521000000000003E-2</v>
      </c>
      <c r="L206" s="2">
        <f t="shared" si="12"/>
        <v>3.0579000000000002E-2</v>
      </c>
      <c r="M206" s="2">
        <f t="shared" si="12"/>
        <v>7.6879000000000003E-2</v>
      </c>
      <c r="N206" s="2">
        <f t="shared" si="12"/>
        <v>0.15017899999999998</v>
      </c>
      <c r="O206" s="2">
        <f t="shared" si="12"/>
        <v>5.3579000000000002E-2</v>
      </c>
    </row>
    <row r="207" spans="1:15" x14ac:dyDescent="0.2">
      <c r="A207" t="s">
        <v>213</v>
      </c>
      <c r="B207">
        <v>-3.3873E-2</v>
      </c>
      <c r="C207">
        <v>-7.3273000000000005E-2</v>
      </c>
      <c r="D207">
        <v>-3.1773000000000003E-2</v>
      </c>
      <c r="E207">
        <v>-0.118173</v>
      </c>
      <c r="F207">
        <v>-0.15667299999999998</v>
      </c>
      <c r="G207">
        <v>1.0027000000000001E-2</v>
      </c>
      <c r="H207">
        <v>-3.9972999999999995E-2</v>
      </c>
      <c r="I207" s="2">
        <f t="shared" si="13"/>
        <v>-3.5373000000000002E-2</v>
      </c>
      <c r="J207" s="2">
        <f t="shared" si="13"/>
        <v>-7.4773000000000006E-2</v>
      </c>
      <c r="K207" s="2">
        <f t="shared" si="13"/>
        <v>-3.3273000000000004E-2</v>
      </c>
      <c r="L207" s="2">
        <f t="shared" si="12"/>
        <v>-0.119673</v>
      </c>
      <c r="M207" s="2">
        <f t="shared" si="12"/>
        <v>-0.15817299999999998</v>
      </c>
      <c r="N207" s="2">
        <f t="shared" si="12"/>
        <v>8.5270000000000016E-3</v>
      </c>
      <c r="O207" s="2">
        <f t="shared" si="12"/>
        <v>-4.1472999999999996E-2</v>
      </c>
    </row>
    <row r="208" spans="1:15" x14ac:dyDescent="0.2">
      <c r="A208" t="s">
        <v>214</v>
      </c>
      <c r="B208">
        <v>4.4039000000000002E-2</v>
      </c>
      <c r="C208">
        <v>-6.7460999999999993E-2</v>
      </c>
      <c r="D208">
        <v>-1.8161E-2</v>
      </c>
      <c r="E208">
        <v>1.439E-3</v>
      </c>
      <c r="F208">
        <v>-5.9610000000000002E-3</v>
      </c>
      <c r="G208">
        <v>-7.9560999999999993E-2</v>
      </c>
      <c r="H208">
        <v>-2.7161000000000001E-2</v>
      </c>
      <c r="I208" s="2">
        <f t="shared" si="13"/>
        <v>4.2539E-2</v>
      </c>
      <c r="J208" s="2">
        <f t="shared" si="13"/>
        <v>-6.8960999999999995E-2</v>
      </c>
      <c r="K208" s="2">
        <f t="shared" si="13"/>
        <v>-1.9661000000000001E-2</v>
      </c>
      <c r="L208" s="2">
        <f t="shared" si="12"/>
        <v>-6.1000000000000073E-5</v>
      </c>
      <c r="M208" s="2">
        <f t="shared" si="12"/>
        <v>-7.4610000000000006E-3</v>
      </c>
      <c r="N208" s="2">
        <f t="shared" si="12"/>
        <v>-8.1060999999999994E-2</v>
      </c>
      <c r="O208" s="2">
        <f t="shared" si="12"/>
        <v>-2.8661000000000002E-2</v>
      </c>
    </row>
    <row r="209" spans="1:15" x14ac:dyDescent="0.2">
      <c r="A209" t="s">
        <v>215</v>
      </c>
      <c r="B209">
        <v>2.6866999999999999E-2</v>
      </c>
      <c r="C209">
        <v>9.5669999999999991E-3</v>
      </c>
      <c r="D209">
        <v>-7.1133000000000002E-2</v>
      </c>
      <c r="E209">
        <v>4.3567000000000002E-2</v>
      </c>
      <c r="F209">
        <v>-7.1330000000000005E-3</v>
      </c>
      <c r="G209">
        <v>4.4267000000000001E-2</v>
      </c>
      <c r="H209">
        <v>1.2670000000000001E-3</v>
      </c>
      <c r="I209" s="2">
        <f t="shared" si="13"/>
        <v>2.5366999999999997E-2</v>
      </c>
      <c r="J209" s="2">
        <f t="shared" si="13"/>
        <v>8.0669999999999995E-3</v>
      </c>
      <c r="K209" s="2">
        <f t="shared" si="13"/>
        <v>-7.2633000000000003E-2</v>
      </c>
      <c r="L209" s="2">
        <f t="shared" si="12"/>
        <v>4.2067E-2</v>
      </c>
      <c r="M209" s="2">
        <f t="shared" si="12"/>
        <v>-8.633E-3</v>
      </c>
      <c r="N209" s="2">
        <f t="shared" si="12"/>
        <v>4.2766999999999999E-2</v>
      </c>
      <c r="O209" s="2">
        <f t="shared" si="12"/>
        <v>-2.3299999999999992E-4</v>
      </c>
    </row>
    <row r="210" spans="1:15" x14ac:dyDescent="0.2">
      <c r="A210" t="s">
        <v>216</v>
      </c>
      <c r="B210">
        <v>2.6199E-2</v>
      </c>
      <c r="C210">
        <v>0.160799</v>
      </c>
      <c r="D210">
        <v>-1.3000999999999999E-2</v>
      </c>
      <c r="E210">
        <v>-3.5401000000000002E-2</v>
      </c>
      <c r="F210">
        <v>-6.2501000000000001E-2</v>
      </c>
      <c r="G210">
        <v>1.1099000000000001E-2</v>
      </c>
      <c r="H210">
        <v>2.0199000000000002E-2</v>
      </c>
      <c r="I210" s="2">
        <f t="shared" si="13"/>
        <v>2.4698999999999999E-2</v>
      </c>
      <c r="J210" s="2">
        <f t="shared" si="13"/>
        <v>0.159299</v>
      </c>
      <c r="K210" s="2">
        <f t="shared" si="13"/>
        <v>-1.4500999999999998E-2</v>
      </c>
      <c r="L210" s="2">
        <f t="shared" si="12"/>
        <v>-3.6901000000000003E-2</v>
      </c>
      <c r="M210" s="2">
        <f t="shared" si="12"/>
        <v>-6.4001000000000002E-2</v>
      </c>
      <c r="N210" s="2">
        <f t="shared" si="12"/>
        <v>9.5990000000000016E-3</v>
      </c>
      <c r="O210" s="2">
        <f t="shared" si="12"/>
        <v>1.8699E-2</v>
      </c>
    </row>
    <row r="211" spans="1:15" x14ac:dyDescent="0.2">
      <c r="A211" t="s">
        <v>217</v>
      </c>
      <c r="B211">
        <v>-4.3007999999999998E-2</v>
      </c>
      <c r="C211">
        <v>-7.0708000000000007E-2</v>
      </c>
      <c r="D211">
        <v>-7.9080000000000001E-3</v>
      </c>
      <c r="E211">
        <v>5.3991999999999998E-2</v>
      </c>
      <c r="F211">
        <v>3.6291999999999998E-2</v>
      </c>
      <c r="G211">
        <v>4.2892E-2</v>
      </c>
      <c r="H211">
        <v>3.3919999999999992E-3</v>
      </c>
      <c r="I211" s="2">
        <f t="shared" si="13"/>
        <v>-4.4507999999999999E-2</v>
      </c>
      <c r="J211" s="2">
        <f t="shared" si="13"/>
        <v>-7.2208000000000008E-2</v>
      </c>
      <c r="K211" s="2">
        <f t="shared" si="13"/>
        <v>-9.4079999999999997E-3</v>
      </c>
      <c r="L211" s="2">
        <f t="shared" si="12"/>
        <v>5.2491999999999997E-2</v>
      </c>
      <c r="M211" s="2">
        <f t="shared" si="12"/>
        <v>3.4791999999999997E-2</v>
      </c>
      <c r="N211" s="2">
        <f t="shared" si="12"/>
        <v>4.1391999999999998E-2</v>
      </c>
      <c r="O211" s="2">
        <f t="shared" si="12"/>
        <v>1.8919999999999992E-3</v>
      </c>
    </row>
    <row r="212" spans="1:15" x14ac:dyDescent="0.2">
      <c r="A212" t="s">
        <v>218</v>
      </c>
      <c r="B212">
        <v>-8.1757999999999997E-2</v>
      </c>
      <c r="C212">
        <v>-3.9357999999999997E-2</v>
      </c>
      <c r="D212">
        <v>9.5420000000000001E-3</v>
      </c>
      <c r="E212">
        <v>3.6842E-2</v>
      </c>
      <c r="F212">
        <v>4.0242E-2</v>
      </c>
      <c r="G212">
        <v>5.8342000000000005E-2</v>
      </c>
      <c r="H212">
        <v>3.4442E-2</v>
      </c>
      <c r="I212" s="2">
        <f t="shared" si="13"/>
        <v>-8.3257999999999999E-2</v>
      </c>
      <c r="J212" s="2">
        <f t="shared" si="13"/>
        <v>-4.0857999999999998E-2</v>
      </c>
      <c r="K212" s="2">
        <f t="shared" si="13"/>
        <v>8.0420000000000005E-3</v>
      </c>
      <c r="L212" s="2">
        <f t="shared" si="12"/>
        <v>3.5341999999999998E-2</v>
      </c>
      <c r="M212" s="2">
        <f t="shared" si="12"/>
        <v>3.8741999999999999E-2</v>
      </c>
      <c r="N212" s="2">
        <f t="shared" si="12"/>
        <v>5.6842000000000004E-2</v>
      </c>
      <c r="O212" s="2">
        <f t="shared" si="12"/>
        <v>3.2941999999999999E-2</v>
      </c>
    </row>
    <row r="213" spans="1:15" x14ac:dyDescent="0.2">
      <c r="A213" t="s">
        <v>219</v>
      </c>
      <c r="B213">
        <v>-5.7375000000000002E-2</v>
      </c>
      <c r="C213">
        <v>-5.0674999999999998E-2</v>
      </c>
      <c r="D213">
        <v>-2.4749999999999998E-3</v>
      </c>
      <c r="E213">
        <v>5.1325000000000003E-2</v>
      </c>
      <c r="F213">
        <v>7.9025000000000012E-2</v>
      </c>
      <c r="G213">
        <v>9.132499999999999E-2</v>
      </c>
      <c r="H213">
        <v>2.8725000000000001E-2</v>
      </c>
      <c r="I213" s="2">
        <f t="shared" si="13"/>
        <v>-5.8875000000000004E-2</v>
      </c>
      <c r="J213" s="2">
        <f t="shared" si="13"/>
        <v>-5.2174999999999999E-2</v>
      </c>
      <c r="K213" s="2">
        <f t="shared" si="13"/>
        <v>-3.9749999999999994E-3</v>
      </c>
      <c r="L213" s="2">
        <f t="shared" si="12"/>
        <v>4.9825000000000001E-2</v>
      </c>
      <c r="M213" s="2">
        <f t="shared" si="12"/>
        <v>7.7525000000000011E-2</v>
      </c>
      <c r="N213" s="2">
        <f t="shared" si="12"/>
        <v>8.9824999999999988E-2</v>
      </c>
      <c r="O213" s="2">
        <f t="shared" si="12"/>
        <v>2.7224999999999999E-2</v>
      </c>
    </row>
    <row r="214" spans="1:15" x14ac:dyDescent="0.2">
      <c r="A214" t="s">
        <v>220</v>
      </c>
      <c r="B214">
        <v>-2.579E-2</v>
      </c>
      <c r="C214">
        <v>-5.7189999999999998E-2</v>
      </c>
      <c r="D214">
        <v>4.981E-2</v>
      </c>
      <c r="E214">
        <v>-1.949E-2</v>
      </c>
      <c r="F214">
        <v>-2.1789999999999997E-2</v>
      </c>
      <c r="G214">
        <v>6.6099999999999996E-3</v>
      </c>
      <c r="H214">
        <v>2.81E-3</v>
      </c>
      <c r="I214" s="2">
        <f t="shared" si="13"/>
        <v>-2.7290000000000002E-2</v>
      </c>
      <c r="J214" s="2">
        <f t="shared" si="13"/>
        <v>-5.8689999999999999E-2</v>
      </c>
      <c r="K214" s="2">
        <f t="shared" si="13"/>
        <v>4.8309999999999999E-2</v>
      </c>
      <c r="L214" s="2">
        <f t="shared" si="12"/>
        <v>-2.0990000000000002E-2</v>
      </c>
      <c r="M214" s="2">
        <f t="shared" si="12"/>
        <v>-2.3289999999999998E-2</v>
      </c>
      <c r="N214" s="2">
        <f t="shared" si="12"/>
        <v>5.11E-3</v>
      </c>
      <c r="O214" s="2">
        <f t="shared" si="12"/>
        <v>1.31E-3</v>
      </c>
    </row>
    <row r="215" spans="1:15" x14ac:dyDescent="0.2">
      <c r="A215" t="s">
        <v>221</v>
      </c>
      <c r="B215">
        <v>4.8909999999999995E-2</v>
      </c>
      <c r="C215">
        <v>8.4809999999999997E-2</v>
      </c>
      <c r="D215">
        <v>-7.4590000000000004E-2</v>
      </c>
      <c r="E215">
        <v>7.911E-2</v>
      </c>
      <c r="F215">
        <v>6.5909999999999996E-2</v>
      </c>
      <c r="G215">
        <v>-5.3790000000000004E-2</v>
      </c>
      <c r="H215">
        <v>-7.1290000000000006E-2</v>
      </c>
      <c r="I215" s="2">
        <f t="shared" si="13"/>
        <v>4.7409999999999994E-2</v>
      </c>
      <c r="J215" s="2">
        <f t="shared" si="13"/>
        <v>8.3309999999999995E-2</v>
      </c>
      <c r="K215" s="2">
        <f t="shared" si="13"/>
        <v>-7.6090000000000005E-2</v>
      </c>
      <c r="L215" s="2">
        <f t="shared" si="12"/>
        <v>7.7609999999999998E-2</v>
      </c>
      <c r="M215" s="2">
        <f t="shared" si="12"/>
        <v>6.4409999999999995E-2</v>
      </c>
      <c r="N215" s="2">
        <f t="shared" si="12"/>
        <v>-5.5290000000000006E-2</v>
      </c>
      <c r="O215" s="2">
        <f t="shared" si="12"/>
        <v>-7.2790000000000007E-2</v>
      </c>
    </row>
    <row r="216" spans="1:15" x14ac:dyDescent="0.2">
      <c r="A216" t="s">
        <v>222</v>
      </c>
      <c r="B216">
        <v>-1.6494999999999999E-2</v>
      </c>
      <c r="C216">
        <v>3.5404999999999999E-2</v>
      </c>
      <c r="D216">
        <v>1.6504999999999999E-2</v>
      </c>
      <c r="E216">
        <v>5.4405000000000002E-2</v>
      </c>
      <c r="F216">
        <v>-2.7995000000000003E-2</v>
      </c>
      <c r="G216">
        <v>-0.145395</v>
      </c>
      <c r="H216">
        <v>1.6104999999999998E-2</v>
      </c>
      <c r="I216" s="2">
        <f t="shared" si="13"/>
        <v>-1.7995000000000001E-2</v>
      </c>
      <c r="J216" s="2">
        <f t="shared" si="13"/>
        <v>3.3904999999999998E-2</v>
      </c>
      <c r="K216" s="2">
        <f t="shared" si="13"/>
        <v>1.5004999999999999E-2</v>
      </c>
      <c r="L216" s="2">
        <f t="shared" si="12"/>
        <v>5.2905000000000001E-2</v>
      </c>
      <c r="M216" s="2">
        <f t="shared" si="12"/>
        <v>-2.9495000000000004E-2</v>
      </c>
      <c r="N216" s="2">
        <f t="shared" si="12"/>
        <v>-0.146895</v>
      </c>
      <c r="O216" s="2">
        <f t="shared" ref="O216:O253" si="14">H216-$R$3</f>
        <v>1.4604999999999998E-2</v>
      </c>
    </row>
    <row r="217" spans="1:15" x14ac:dyDescent="0.2">
      <c r="A217" t="s">
        <v>223</v>
      </c>
      <c r="B217">
        <v>-0.18892999999999999</v>
      </c>
      <c r="C217">
        <v>-0.11113000000000001</v>
      </c>
      <c r="D217">
        <v>-8.8330000000000006E-2</v>
      </c>
      <c r="E217">
        <v>-6.9629999999999997E-2</v>
      </c>
      <c r="F217">
        <v>-4.2730000000000004E-2</v>
      </c>
      <c r="G217">
        <v>-7.0529999999999995E-2</v>
      </c>
      <c r="H217">
        <v>-9.3730000000000008E-2</v>
      </c>
      <c r="I217" s="2">
        <f t="shared" si="13"/>
        <v>-0.19042999999999999</v>
      </c>
      <c r="J217" s="2">
        <f t="shared" si="13"/>
        <v>-0.11263000000000001</v>
      </c>
      <c r="K217" s="2">
        <f t="shared" si="13"/>
        <v>-8.9830000000000007E-2</v>
      </c>
      <c r="L217" s="2">
        <f t="shared" si="13"/>
        <v>-7.1129999999999999E-2</v>
      </c>
      <c r="M217" s="2">
        <f t="shared" si="13"/>
        <v>-4.4230000000000005E-2</v>
      </c>
      <c r="N217" s="2">
        <f t="shared" si="13"/>
        <v>-7.2029999999999997E-2</v>
      </c>
      <c r="O217" s="2">
        <f t="shared" si="14"/>
        <v>-9.5230000000000009E-2</v>
      </c>
    </row>
    <row r="218" spans="1:15" x14ac:dyDescent="0.2">
      <c r="A218" t="s">
        <v>224</v>
      </c>
      <c r="B218">
        <v>0.16818</v>
      </c>
      <c r="C218">
        <v>0.16458</v>
      </c>
      <c r="D218">
        <v>6.9179999999999992E-2</v>
      </c>
      <c r="E218">
        <v>-1.222E-2</v>
      </c>
      <c r="F218">
        <v>2.6879999999999998E-2</v>
      </c>
      <c r="G218">
        <v>0.10267999999999999</v>
      </c>
      <c r="H218">
        <v>7.6780000000000001E-2</v>
      </c>
      <c r="I218" s="2">
        <f t="shared" ref="I218:N253" si="15">B218-$R$3</f>
        <v>0.16667999999999999</v>
      </c>
      <c r="J218" s="2">
        <f t="shared" si="15"/>
        <v>0.16308</v>
      </c>
      <c r="K218" s="2">
        <f t="shared" si="15"/>
        <v>6.767999999999999E-2</v>
      </c>
      <c r="L218" s="2">
        <f t="shared" si="15"/>
        <v>-1.372E-2</v>
      </c>
      <c r="M218" s="2">
        <f t="shared" si="15"/>
        <v>2.5379999999999996E-2</v>
      </c>
      <c r="N218" s="2">
        <f t="shared" si="15"/>
        <v>0.10117999999999999</v>
      </c>
      <c r="O218" s="2">
        <f t="shared" si="14"/>
        <v>7.528E-2</v>
      </c>
    </row>
    <row r="219" spans="1:15" x14ac:dyDescent="0.2">
      <c r="A219" t="s">
        <v>225</v>
      </c>
      <c r="B219">
        <v>-5.2090000000000001E-3</v>
      </c>
      <c r="C219">
        <v>9.9909999999999999E-3</v>
      </c>
      <c r="D219">
        <v>3.3491E-2</v>
      </c>
      <c r="E219">
        <v>3.1990999999999999E-2</v>
      </c>
      <c r="F219">
        <v>3.1191E-2</v>
      </c>
      <c r="G219">
        <v>1.9909999999999997E-3</v>
      </c>
      <c r="H219">
        <v>2.7890999999999999E-2</v>
      </c>
      <c r="I219" s="2">
        <f t="shared" si="15"/>
        <v>-6.7089999999999997E-3</v>
      </c>
      <c r="J219" s="2">
        <f t="shared" si="15"/>
        <v>8.4910000000000003E-3</v>
      </c>
      <c r="K219" s="2">
        <f t="shared" si="15"/>
        <v>3.1990999999999999E-2</v>
      </c>
      <c r="L219" s="2">
        <f t="shared" si="15"/>
        <v>3.0490999999999997E-2</v>
      </c>
      <c r="M219" s="2">
        <f t="shared" si="15"/>
        <v>2.9690999999999999E-2</v>
      </c>
      <c r="N219" s="2">
        <f t="shared" si="15"/>
        <v>4.9099999999999968E-4</v>
      </c>
      <c r="O219" s="2">
        <f t="shared" si="14"/>
        <v>2.6390999999999998E-2</v>
      </c>
    </row>
    <row r="220" spans="1:15" x14ac:dyDescent="0.2">
      <c r="A220" t="s">
        <v>226</v>
      </c>
      <c r="B220">
        <v>-8.3500000000000002E-4</v>
      </c>
      <c r="C220">
        <v>-5.2835E-2</v>
      </c>
      <c r="D220">
        <v>5.7650000000000002E-3</v>
      </c>
      <c r="E220">
        <v>3.6865000000000002E-2</v>
      </c>
      <c r="F220">
        <v>-1.1335000000000001E-2</v>
      </c>
      <c r="G220">
        <v>0.10296499999999999</v>
      </c>
      <c r="H220">
        <v>1.5965E-2</v>
      </c>
      <c r="I220" s="2">
        <f t="shared" si="15"/>
        <v>-2.3350000000000003E-3</v>
      </c>
      <c r="J220" s="2">
        <f t="shared" si="15"/>
        <v>-5.4335000000000001E-2</v>
      </c>
      <c r="K220" s="2">
        <f t="shared" si="15"/>
        <v>4.2649999999999997E-3</v>
      </c>
      <c r="L220" s="2">
        <f t="shared" si="15"/>
        <v>3.5365000000000001E-2</v>
      </c>
      <c r="M220" s="2">
        <f t="shared" si="15"/>
        <v>-1.2835000000000001E-2</v>
      </c>
      <c r="N220" s="2">
        <f t="shared" si="15"/>
        <v>0.10146499999999999</v>
      </c>
      <c r="O220" s="2">
        <f t="shared" si="14"/>
        <v>1.4465E-2</v>
      </c>
    </row>
    <row r="221" spans="1:15" x14ac:dyDescent="0.2">
      <c r="A221" t="s">
        <v>227</v>
      </c>
      <c r="B221">
        <v>0.206875</v>
      </c>
      <c r="C221">
        <v>4.7774999999999998E-2</v>
      </c>
      <c r="D221">
        <v>9.7499999999999974E-4</v>
      </c>
      <c r="E221">
        <v>-2.4925000000000003E-2</v>
      </c>
      <c r="F221">
        <v>5.2274999999999995E-2</v>
      </c>
      <c r="G221">
        <v>-3.7525000000000003E-2</v>
      </c>
      <c r="H221">
        <v>3.7175E-2</v>
      </c>
      <c r="I221" s="2">
        <f t="shared" si="15"/>
        <v>0.205375</v>
      </c>
      <c r="J221" s="2">
        <f t="shared" si="15"/>
        <v>4.6274999999999997E-2</v>
      </c>
      <c r="K221" s="2">
        <f t="shared" si="15"/>
        <v>-5.2500000000000029E-4</v>
      </c>
      <c r="L221" s="2">
        <f t="shared" si="15"/>
        <v>-2.6425000000000004E-2</v>
      </c>
      <c r="M221" s="2">
        <f t="shared" si="15"/>
        <v>5.0774999999999994E-2</v>
      </c>
      <c r="N221" s="2">
        <f t="shared" si="15"/>
        <v>-3.9025000000000004E-2</v>
      </c>
      <c r="O221" s="2">
        <f t="shared" si="14"/>
        <v>3.5674999999999998E-2</v>
      </c>
    </row>
    <row r="222" spans="1:15" x14ac:dyDescent="0.2">
      <c r="A222" t="s">
        <v>228</v>
      </c>
      <c r="B222">
        <v>-9.0982999999999994E-2</v>
      </c>
      <c r="C222">
        <v>-0.145983</v>
      </c>
      <c r="D222">
        <v>-1.4283000000000001E-2</v>
      </c>
      <c r="E222">
        <v>-5.1683E-2</v>
      </c>
      <c r="F222">
        <v>-1.0383E-2</v>
      </c>
      <c r="G222">
        <v>4.6517000000000003E-2</v>
      </c>
      <c r="H222">
        <v>-6.7782999999999996E-2</v>
      </c>
      <c r="I222" s="2">
        <f t="shared" si="15"/>
        <v>-9.2482999999999996E-2</v>
      </c>
      <c r="J222" s="2">
        <f t="shared" si="15"/>
        <v>-0.147483</v>
      </c>
      <c r="K222" s="2">
        <f t="shared" si="15"/>
        <v>-1.5783000000000002E-2</v>
      </c>
      <c r="L222" s="2">
        <f t="shared" si="15"/>
        <v>-5.3183000000000001E-2</v>
      </c>
      <c r="M222" s="2">
        <f t="shared" si="15"/>
        <v>-1.1882999999999999E-2</v>
      </c>
      <c r="N222" s="2">
        <f t="shared" si="15"/>
        <v>4.5017000000000001E-2</v>
      </c>
      <c r="O222" s="2">
        <f t="shared" si="14"/>
        <v>-6.9282999999999997E-2</v>
      </c>
    </row>
    <row r="223" spans="1:15" x14ac:dyDescent="0.2">
      <c r="A223" t="s">
        <v>229</v>
      </c>
      <c r="B223">
        <v>7.2747000000000006E-2</v>
      </c>
      <c r="C223">
        <v>0.16624700000000001</v>
      </c>
      <c r="D223">
        <v>9.3947000000000003E-2</v>
      </c>
      <c r="E223">
        <v>4.9347000000000002E-2</v>
      </c>
      <c r="F223">
        <v>8.7347000000000008E-2</v>
      </c>
      <c r="G223">
        <v>7.4747000000000008E-2</v>
      </c>
      <c r="H223">
        <v>6.7047000000000009E-2</v>
      </c>
      <c r="I223" s="2">
        <f t="shared" si="15"/>
        <v>7.1247000000000005E-2</v>
      </c>
      <c r="J223" s="2">
        <f t="shared" si="15"/>
        <v>0.164747</v>
      </c>
      <c r="K223" s="2">
        <f t="shared" si="15"/>
        <v>9.2447000000000001E-2</v>
      </c>
      <c r="L223" s="2">
        <f t="shared" si="15"/>
        <v>4.7847000000000001E-2</v>
      </c>
      <c r="M223" s="2">
        <f t="shared" si="15"/>
        <v>8.5847000000000007E-2</v>
      </c>
      <c r="N223" s="2">
        <f t="shared" si="15"/>
        <v>7.3247000000000007E-2</v>
      </c>
      <c r="O223" s="2">
        <f t="shared" si="14"/>
        <v>6.5547000000000008E-2</v>
      </c>
    </row>
    <row r="224" spans="1:15" x14ac:dyDescent="0.2">
      <c r="A224" t="s">
        <v>230</v>
      </c>
      <c r="B224">
        <v>-5.6283E-2</v>
      </c>
      <c r="C224">
        <v>4.5217E-2</v>
      </c>
      <c r="D224">
        <v>2.9817000000000003E-2</v>
      </c>
      <c r="E224">
        <v>-2.3983000000000001E-2</v>
      </c>
      <c r="F224">
        <v>-2.7829999999999999E-3</v>
      </c>
      <c r="G224">
        <v>-4.1830000000000001E-3</v>
      </c>
      <c r="H224">
        <v>1.1317000000000001E-2</v>
      </c>
      <c r="I224" s="2">
        <f t="shared" si="15"/>
        <v>-5.7783000000000001E-2</v>
      </c>
      <c r="J224" s="2">
        <f t="shared" si="15"/>
        <v>4.3716999999999999E-2</v>
      </c>
      <c r="K224" s="2">
        <f t="shared" si="15"/>
        <v>2.8317000000000002E-2</v>
      </c>
      <c r="L224" s="2">
        <f t="shared" si="15"/>
        <v>-2.5483000000000002E-2</v>
      </c>
      <c r="M224" s="2">
        <f t="shared" si="15"/>
        <v>-4.2830000000000003E-3</v>
      </c>
      <c r="N224" s="2">
        <f t="shared" si="15"/>
        <v>-5.6830000000000006E-3</v>
      </c>
      <c r="O224" s="2">
        <f t="shared" si="14"/>
        <v>9.8170000000000011E-3</v>
      </c>
    </row>
    <row r="225" spans="1:15" x14ac:dyDescent="0.2">
      <c r="A225" t="s">
        <v>231</v>
      </c>
      <c r="B225">
        <v>-3.9708E-2</v>
      </c>
      <c r="C225">
        <v>-8.2508000000000012E-2</v>
      </c>
      <c r="D225">
        <v>3.3591999999999997E-2</v>
      </c>
      <c r="E225">
        <v>5.0391999999999999E-2</v>
      </c>
      <c r="F225">
        <v>3.8292E-2</v>
      </c>
      <c r="G225">
        <v>0.24649200000000002</v>
      </c>
      <c r="H225">
        <v>-2.0008000000000001E-2</v>
      </c>
      <c r="I225" s="2">
        <f t="shared" si="15"/>
        <v>-4.1208000000000002E-2</v>
      </c>
      <c r="J225" s="2">
        <f t="shared" si="15"/>
        <v>-8.4008000000000013E-2</v>
      </c>
      <c r="K225" s="2">
        <f t="shared" si="15"/>
        <v>3.2091999999999996E-2</v>
      </c>
      <c r="L225" s="2">
        <f t="shared" si="15"/>
        <v>4.8891999999999998E-2</v>
      </c>
      <c r="M225" s="2">
        <f t="shared" si="15"/>
        <v>3.6791999999999998E-2</v>
      </c>
      <c r="N225" s="2">
        <f t="shared" si="15"/>
        <v>0.24499200000000002</v>
      </c>
      <c r="O225" s="2">
        <f t="shared" si="14"/>
        <v>-2.1508000000000003E-2</v>
      </c>
    </row>
    <row r="226" spans="1:15" x14ac:dyDescent="0.2">
      <c r="A226" t="s">
        <v>232</v>
      </c>
      <c r="B226">
        <v>-2.8870000000000002E-3</v>
      </c>
      <c r="C226">
        <v>1.8613000000000001E-2</v>
      </c>
      <c r="D226">
        <v>7.1413000000000004E-2</v>
      </c>
      <c r="E226">
        <v>3.6013000000000003E-2</v>
      </c>
      <c r="F226">
        <v>3.6913000000000001E-2</v>
      </c>
      <c r="G226">
        <v>-2.9870000000000001E-3</v>
      </c>
      <c r="H226">
        <v>1.5413E-2</v>
      </c>
      <c r="I226" s="2">
        <f t="shared" si="15"/>
        <v>-4.3870000000000003E-3</v>
      </c>
      <c r="J226" s="2">
        <f t="shared" si="15"/>
        <v>1.7113E-2</v>
      </c>
      <c r="K226" s="2">
        <f t="shared" si="15"/>
        <v>6.9913000000000003E-2</v>
      </c>
      <c r="L226" s="2">
        <f t="shared" si="15"/>
        <v>3.4513000000000002E-2</v>
      </c>
      <c r="M226" s="2">
        <f t="shared" si="15"/>
        <v>3.5413E-2</v>
      </c>
      <c r="N226" s="2">
        <f t="shared" si="15"/>
        <v>-4.4869999999999997E-3</v>
      </c>
      <c r="O226" s="2">
        <f t="shared" si="14"/>
        <v>1.3913E-2</v>
      </c>
    </row>
    <row r="227" spans="1:15" x14ac:dyDescent="0.2">
      <c r="A227" t="s">
        <v>233</v>
      </c>
      <c r="B227">
        <v>-4.8131E-2</v>
      </c>
      <c r="C227">
        <v>-1.0031E-2</v>
      </c>
      <c r="D227">
        <v>2.9668999999999997E-2</v>
      </c>
      <c r="E227">
        <v>1.0669000000000001E-2</v>
      </c>
      <c r="F227">
        <v>-1.3531E-2</v>
      </c>
      <c r="G227">
        <v>-1.531E-3</v>
      </c>
      <c r="H227">
        <v>1.8869E-2</v>
      </c>
      <c r="I227" s="2">
        <f t="shared" si="15"/>
        <v>-4.9631000000000002E-2</v>
      </c>
      <c r="J227" s="2">
        <f t="shared" si="15"/>
        <v>-1.1531E-2</v>
      </c>
      <c r="K227" s="2">
        <f t="shared" si="15"/>
        <v>2.8168999999999996E-2</v>
      </c>
      <c r="L227" s="2">
        <f t="shared" si="15"/>
        <v>9.1690000000000018E-3</v>
      </c>
      <c r="M227" s="2">
        <f t="shared" si="15"/>
        <v>-1.5030999999999999E-2</v>
      </c>
      <c r="N227" s="2">
        <f t="shared" si="15"/>
        <v>-3.0309999999999998E-3</v>
      </c>
      <c r="O227" s="2">
        <f t="shared" si="14"/>
        <v>1.7368999999999999E-2</v>
      </c>
    </row>
    <row r="228" spans="1:15" x14ac:dyDescent="0.2">
      <c r="A228" t="s">
        <v>234</v>
      </c>
      <c r="B228">
        <v>5.3502999999999995E-2</v>
      </c>
      <c r="C228">
        <v>-3.2396999999999995E-2</v>
      </c>
      <c r="D228">
        <v>-2.9996999999999999E-2</v>
      </c>
      <c r="E228">
        <v>-4.9969999999999997E-3</v>
      </c>
      <c r="F228">
        <v>1.4402999999999999E-2</v>
      </c>
      <c r="G228">
        <v>0.17510300000000001</v>
      </c>
      <c r="H228">
        <v>3.2802999999999999E-2</v>
      </c>
      <c r="I228" s="2">
        <f t="shared" si="15"/>
        <v>5.2002999999999994E-2</v>
      </c>
      <c r="J228" s="2">
        <f t="shared" si="15"/>
        <v>-3.3896999999999997E-2</v>
      </c>
      <c r="K228" s="2">
        <f t="shared" si="15"/>
        <v>-3.1496999999999997E-2</v>
      </c>
      <c r="L228" s="2">
        <f t="shared" si="15"/>
        <v>-6.4969999999999993E-3</v>
      </c>
      <c r="M228" s="2">
        <f t="shared" si="15"/>
        <v>1.2903E-2</v>
      </c>
      <c r="N228" s="2">
        <f t="shared" si="15"/>
        <v>0.17360300000000001</v>
      </c>
      <c r="O228" s="2">
        <f t="shared" si="14"/>
        <v>3.1302999999999997E-2</v>
      </c>
    </row>
    <row r="229" spans="1:15" x14ac:dyDescent="0.2">
      <c r="A229" t="s">
        <v>235</v>
      </c>
      <c r="B229">
        <v>2.5068999999999998E-2</v>
      </c>
      <c r="C229">
        <v>2.6168999999999998E-2</v>
      </c>
      <c r="D229">
        <v>4.4068999999999997E-2</v>
      </c>
      <c r="E229">
        <v>1.7868999999999999E-2</v>
      </c>
      <c r="F229">
        <v>9.6899999999999959E-4</v>
      </c>
      <c r="G229">
        <v>2.4169E-2</v>
      </c>
      <c r="H229">
        <v>2.7168999999999999E-2</v>
      </c>
      <c r="I229" s="2">
        <f t="shared" si="15"/>
        <v>2.3568999999999996E-2</v>
      </c>
      <c r="J229" s="2">
        <f t="shared" si="15"/>
        <v>2.4668999999999996E-2</v>
      </c>
      <c r="K229" s="2">
        <f t="shared" si="15"/>
        <v>4.2568999999999996E-2</v>
      </c>
      <c r="L229" s="2">
        <f t="shared" si="15"/>
        <v>1.6368999999999998E-2</v>
      </c>
      <c r="M229" s="2">
        <f t="shared" si="15"/>
        <v>-5.3100000000000044E-4</v>
      </c>
      <c r="N229" s="2">
        <f t="shared" si="15"/>
        <v>2.2668999999999998E-2</v>
      </c>
      <c r="O229" s="2">
        <f t="shared" si="14"/>
        <v>2.5668999999999997E-2</v>
      </c>
    </row>
    <row r="230" spans="1:15" x14ac:dyDescent="0.2">
      <c r="A230" t="s">
        <v>236</v>
      </c>
      <c r="B230">
        <v>-3.6763999999999998E-2</v>
      </c>
      <c r="C230">
        <v>-8.8863999999999999E-2</v>
      </c>
      <c r="D230">
        <v>-2.5663999999999999E-2</v>
      </c>
      <c r="E230">
        <v>-2.2963999999999998E-2</v>
      </c>
      <c r="F230">
        <v>-3.7763999999999999E-2</v>
      </c>
      <c r="G230">
        <v>-0.137464</v>
      </c>
      <c r="H230">
        <v>-2.764E-3</v>
      </c>
      <c r="I230" s="2">
        <f t="shared" si="15"/>
        <v>-3.8263999999999999E-2</v>
      </c>
      <c r="J230" s="2">
        <f t="shared" si="15"/>
        <v>-9.0364E-2</v>
      </c>
      <c r="K230" s="2">
        <f t="shared" si="15"/>
        <v>-2.7164000000000001E-2</v>
      </c>
      <c r="L230" s="2">
        <f t="shared" si="15"/>
        <v>-2.4464E-2</v>
      </c>
      <c r="M230" s="2">
        <f t="shared" si="15"/>
        <v>-3.9264E-2</v>
      </c>
      <c r="N230" s="2">
        <f t="shared" si="15"/>
        <v>-0.138964</v>
      </c>
      <c r="O230" s="2">
        <f t="shared" si="14"/>
        <v>-4.2640000000000004E-3</v>
      </c>
    </row>
    <row r="231" spans="1:15" x14ac:dyDescent="0.2">
      <c r="A231" t="s">
        <v>237</v>
      </c>
      <c r="B231">
        <v>-0.21210799999999999</v>
      </c>
      <c r="C231">
        <v>-8.7807999999999997E-2</v>
      </c>
      <c r="D231">
        <v>-6.5007999999999996E-2</v>
      </c>
      <c r="E231">
        <v>-9.0008000000000005E-2</v>
      </c>
      <c r="F231">
        <v>-6.0707999999999998E-2</v>
      </c>
      <c r="G231">
        <v>-6.5907999999999994E-2</v>
      </c>
      <c r="H231">
        <v>-8.5307999999999995E-2</v>
      </c>
      <c r="I231" s="2">
        <f t="shared" si="15"/>
        <v>-0.21360799999999999</v>
      </c>
      <c r="J231" s="2">
        <f t="shared" si="15"/>
        <v>-8.9307999999999998E-2</v>
      </c>
      <c r="K231" s="2">
        <f t="shared" si="15"/>
        <v>-6.6507999999999998E-2</v>
      </c>
      <c r="L231" s="2">
        <f t="shared" si="15"/>
        <v>-9.1508000000000006E-2</v>
      </c>
      <c r="M231" s="2">
        <f t="shared" si="15"/>
        <v>-6.2207999999999999E-2</v>
      </c>
      <c r="N231" s="2">
        <f t="shared" si="15"/>
        <v>-6.7407999999999996E-2</v>
      </c>
      <c r="O231" s="2">
        <f t="shared" si="14"/>
        <v>-8.6807999999999996E-2</v>
      </c>
    </row>
    <row r="232" spans="1:15" x14ac:dyDescent="0.2">
      <c r="A232" t="s">
        <v>238</v>
      </c>
      <c r="B232">
        <v>-0.30726799999999999</v>
      </c>
      <c r="C232">
        <v>-0.31136799999999998</v>
      </c>
      <c r="D232">
        <v>-0.173568</v>
      </c>
      <c r="E232">
        <v>-9.1680000000000008E-3</v>
      </c>
      <c r="F232">
        <v>5.8632000000000004E-2</v>
      </c>
      <c r="G232">
        <v>-9.8668000000000006E-2</v>
      </c>
      <c r="H232">
        <v>-0.12636799999999998</v>
      </c>
      <c r="I232" s="2">
        <f t="shared" si="15"/>
        <v>-0.30876799999999999</v>
      </c>
      <c r="J232" s="2">
        <f t="shared" si="15"/>
        <v>-0.31286799999999998</v>
      </c>
      <c r="K232" s="2">
        <f t="shared" si="15"/>
        <v>-0.175068</v>
      </c>
      <c r="L232" s="2">
        <f t="shared" si="15"/>
        <v>-1.0668E-2</v>
      </c>
      <c r="M232" s="2">
        <f t="shared" si="15"/>
        <v>5.7132000000000002E-2</v>
      </c>
      <c r="N232" s="2">
        <f t="shared" si="15"/>
        <v>-0.10016800000000001</v>
      </c>
      <c r="O232" s="2">
        <f t="shared" si="14"/>
        <v>-0.12786799999999998</v>
      </c>
    </row>
    <row r="233" spans="1:15" x14ac:dyDescent="0.2">
      <c r="A233" t="s">
        <v>239</v>
      </c>
      <c r="B233">
        <v>5.3796999999999998E-2</v>
      </c>
      <c r="C233">
        <v>7.2696999999999998E-2</v>
      </c>
      <c r="D233">
        <v>6.3496999999999998E-2</v>
      </c>
      <c r="E233">
        <v>8.0696999999999991E-2</v>
      </c>
      <c r="F233">
        <v>6.9796999999999998E-2</v>
      </c>
      <c r="G233">
        <v>0.180397</v>
      </c>
      <c r="H233">
        <v>0.12679699999999999</v>
      </c>
      <c r="I233" s="2">
        <f t="shared" si="15"/>
        <v>5.2296999999999996E-2</v>
      </c>
      <c r="J233" s="2">
        <f t="shared" si="15"/>
        <v>7.1196999999999996E-2</v>
      </c>
      <c r="K233" s="2">
        <f t="shared" si="15"/>
        <v>6.1996999999999997E-2</v>
      </c>
      <c r="L233" s="2">
        <f t="shared" si="15"/>
        <v>7.919699999999999E-2</v>
      </c>
      <c r="M233" s="2">
        <f t="shared" si="15"/>
        <v>6.8296999999999997E-2</v>
      </c>
      <c r="N233" s="2">
        <f t="shared" si="15"/>
        <v>0.178897</v>
      </c>
      <c r="O233" s="2">
        <f t="shared" si="14"/>
        <v>0.12529699999999999</v>
      </c>
    </row>
    <row r="234" spans="1:15" x14ac:dyDescent="0.2">
      <c r="A234" t="s">
        <v>240</v>
      </c>
      <c r="B234">
        <v>0.121741</v>
      </c>
      <c r="C234">
        <v>0.16104099999999999</v>
      </c>
      <c r="D234">
        <v>1.2741000000000001E-2</v>
      </c>
      <c r="E234">
        <v>-1.2589999999999999E-3</v>
      </c>
      <c r="F234">
        <v>2.5141E-2</v>
      </c>
      <c r="G234">
        <v>0.120641</v>
      </c>
      <c r="H234">
        <v>4.5241000000000003E-2</v>
      </c>
      <c r="I234" s="2">
        <f t="shared" si="15"/>
        <v>0.120241</v>
      </c>
      <c r="J234" s="2">
        <f t="shared" si="15"/>
        <v>0.15954099999999999</v>
      </c>
      <c r="K234" s="2">
        <f t="shared" si="15"/>
        <v>1.1241000000000001E-2</v>
      </c>
      <c r="L234" s="2">
        <f t="shared" si="15"/>
        <v>-2.7590000000000002E-3</v>
      </c>
      <c r="M234" s="2">
        <f t="shared" si="15"/>
        <v>2.3640999999999999E-2</v>
      </c>
      <c r="N234" s="2">
        <f t="shared" si="15"/>
        <v>0.119141</v>
      </c>
      <c r="O234" s="2">
        <f t="shared" si="14"/>
        <v>4.3741000000000002E-2</v>
      </c>
    </row>
    <row r="235" spans="1:15" x14ac:dyDescent="0.2">
      <c r="A235" t="s">
        <v>241</v>
      </c>
      <c r="B235">
        <v>6.4688999999999997E-2</v>
      </c>
      <c r="C235">
        <v>-2.2511E-2</v>
      </c>
      <c r="D235">
        <v>-2.0511000000000001E-2</v>
      </c>
      <c r="E235">
        <v>-3.9310999999999999E-2</v>
      </c>
      <c r="F235">
        <v>-3.4611000000000003E-2</v>
      </c>
      <c r="G235">
        <v>-1.9710999999999999E-2</v>
      </c>
      <c r="H235">
        <v>1.8289E-2</v>
      </c>
      <c r="I235" s="2">
        <f t="shared" si="15"/>
        <v>6.3188999999999995E-2</v>
      </c>
      <c r="J235" s="2">
        <f t="shared" si="15"/>
        <v>-2.4011000000000001E-2</v>
      </c>
      <c r="K235" s="2">
        <f t="shared" si="15"/>
        <v>-2.2011000000000003E-2</v>
      </c>
      <c r="L235" s="2">
        <f t="shared" si="15"/>
        <v>-4.0811E-2</v>
      </c>
      <c r="M235" s="2">
        <f t="shared" si="15"/>
        <v>-3.6111000000000004E-2</v>
      </c>
      <c r="N235" s="2">
        <f t="shared" si="15"/>
        <v>-2.1211000000000001E-2</v>
      </c>
      <c r="O235" s="2">
        <f t="shared" si="14"/>
        <v>1.6788999999999998E-2</v>
      </c>
    </row>
    <row r="236" spans="1:15" x14ac:dyDescent="0.2">
      <c r="A236" t="s">
        <v>242</v>
      </c>
      <c r="B236">
        <v>8.7104000000000001E-2</v>
      </c>
      <c r="C236">
        <v>-1.6295999999999998E-2</v>
      </c>
      <c r="D236">
        <v>-4.3959999999999997E-3</v>
      </c>
      <c r="E236">
        <v>5.4404000000000001E-2</v>
      </c>
      <c r="F236">
        <v>8.0203999999999998E-2</v>
      </c>
      <c r="G236">
        <v>4.9503999999999999E-2</v>
      </c>
      <c r="H236">
        <v>5.5004000000000004E-2</v>
      </c>
      <c r="I236" s="2">
        <f t="shared" si="15"/>
        <v>8.5604E-2</v>
      </c>
      <c r="J236" s="2">
        <f t="shared" si="15"/>
        <v>-1.7795999999999999E-2</v>
      </c>
      <c r="K236" s="2">
        <f t="shared" si="15"/>
        <v>-5.8960000000000002E-3</v>
      </c>
      <c r="L236" s="2">
        <f t="shared" si="15"/>
        <v>5.2904E-2</v>
      </c>
      <c r="M236" s="2">
        <f t="shared" si="15"/>
        <v>7.8703999999999996E-2</v>
      </c>
      <c r="N236" s="2">
        <f t="shared" si="15"/>
        <v>4.8003999999999998E-2</v>
      </c>
      <c r="O236" s="2">
        <f t="shared" si="14"/>
        <v>5.3504000000000003E-2</v>
      </c>
    </row>
    <row r="237" spans="1:15" x14ac:dyDescent="0.2">
      <c r="A237" t="s">
        <v>243</v>
      </c>
      <c r="B237">
        <v>3.1720999999999999E-2</v>
      </c>
      <c r="C237">
        <v>0.19032100000000002</v>
      </c>
      <c r="D237">
        <v>7.7209999999999996E-3</v>
      </c>
      <c r="E237">
        <v>3.1021E-2</v>
      </c>
      <c r="F237">
        <v>7.7321000000000001E-2</v>
      </c>
      <c r="G237">
        <v>0.207121</v>
      </c>
      <c r="H237">
        <v>7.0021E-2</v>
      </c>
      <c r="I237" s="2">
        <f t="shared" si="15"/>
        <v>3.0220999999999998E-2</v>
      </c>
      <c r="J237" s="2">
        <f t="shared" si="15"/>
        <v>0.18882100000000002</v>
      </c>
      <c r="K237" s="2">
        <f t="shared" si="15"/>
        <v>6.2209999999999991E-3</v>
      </c>
      <c r="L237" s="2">
        <f t="shared" si="15"/>
        <v>2.9520999999999999E-2</v>
      </c>
      <c r="M237" s="2">
        <f t="shared" si="15"/>
        <v>7.5821E-2</v>
      </c>
      <c r="N237" s="2">
        <f t="shared" si="15"/>
        <v>0.205621</v>
      </c>
      <c r="O237" s="2">
        <f t="shared" si="14"/>
        <v>6.8520999999999999E-2</v>
      </c>
    </row>
    <row r="238" spans="1:15" x14ac:dyDescent="0.2">
      <c r="A238" t="s">
        <v>244</v>
      </c>
      <c r="B238">
        <v>-2.3576E-2</v>
      </c>
      <c r="C238">
        <v>-1.4759999999999999E-3</v>
      </c>
      <c r="D238">
        <v>-4.3676E-2</v>
      </c>
      <c r="E238">
        <v>3.6240000000000001E-3</v>
      </c>
      <c r="F238">
        <v>7.5240000000000003E-3</v>
      </c>
      <c r="G238">
        <v>4.1023999999999998E-2</v>
      </c>
      <c r="H238">
        <v>-3.9275999999999998E-2</v>
      </c>
      <c r="I238" s="2">
        <f t="shared" si="15"/>
        <v>-2.5076000000000001E-2</v>
      </c>
      <c r="J238" s="2">
        <f t="shared" si="15"/>
        <v>-2.9759999999999999E-3</v>
      </c>
      <c r="K238" s="2">
        <f t="shared" si="15"/>
        <v>-4.5176000000000001E-2</v>
      </c>
      <c r="L238" s="2">
        <f t="shared" si="15"/>
        <v>2.124E-3</v>
      </c>
      <c r="M238" s="2">
        <f t="shared" si="15"/>
        <v>6.0239999999999998E-3</v>
      </c>
      <c r="N238" s="2">
        <f t="shared" si="15"/>
        <v>3.9523999999999997E-2</v>
      </c>
      <c r="O238" s="2">
        <f t="shared" si="14"/>
        <v>-4.0776E-2</v>
      </c>
    </row>
    <row r="239" spans="1:15" x14ac:dyDescent="0.2">
      <c r="A239" t="s">
        <v>245</v>
      </c>
      <c r="B239">
        <v>0.16062700000000002</v>
      </c>
      <c r="C239">
        <v>0.166827</v>
      </c>
      <c r="D239">
        <v>-3.5073E-2</v>
      </c>
      <c r="E239">
        <v>-3.1972999999999994E-2</v>
      </c>
      <c r="F239">
        <v>-8.3730000000000002E-3</v>
      </c>
      <c r="G239">
        <v>-3.3072999999999998E-2</v>
      </c>
      <c r="H239">
        <v>-2.7772999999999999E-2</v>
      </c>
      <c r="I239" s="2">
        <f t="shared" si="15"/>
        <v>0.15912700000000002</v>
      </c>
      <c r="J239" s="2">
        <f t="shared" si="15"/>
        <v>0.165327</v>
      </c>
      <c r="K239" s="2">
        <f t="shared" si="15"/>
        <v>-3.6573000000000001E-2</v>
      </c>
      <c r="L239" s="2">
        <f t="shared" si="15"/>
        <v>-3.3472999999999996E-2</v>
      </c>
      <c r="M239" s="2">
        <f t="shared" si="15"/>
        <v>-9.8729999999999998E-3</v>
      </c>
      <c r="N239" s="2">
        <f t="shared" si="15"/>
        <v>-3.4573E-2</v>
      </c>
      <c r="O239" s="2">
        <f t="shared" si="14"/>
        <v>-2.9273E-2</v>
      </c>
    </row>
    <row r="240" spans="1:15" x14ac:dyDescent="0.2">
      <c r="A240" t="s">
        <v>246</v>
      </c>
      <c r="B240">
        <v>0.17453399999999999</v>
      </c>
      <c r="C240">
        <v>0.269534</v>
      </c>
      <c r="D240">
        <v>6.3934000000000005E-2</v>
      </c>
      <c r="E240">
        <v>5.9934000000000001E-2</v>
      </c>
      <c r="F240">
        <v>0.101134</v>
      </c>
      <c r="G240">
        <v>0.18423399999999998</v>
      </c>
      <c r="H240">
        <v>0.107434</v>
      </c>
      <c r="I240" s="2">
        <f t="shared" si="15"/>
        <v>0.17303399999999999</v>
      </c>
      <c r="J240" s="2">
        <f t="shared" si="15"/>
        <v>0.26803399999999999</v>
      </c>
      <c r="K240" s="2">
        <f t="shared" si="15"/>
        <v>6.2434000000000003E-2</v>
      </c>
      <c r="L240" s="2">
        <f t="shared" si="15"/>
        <v>5.8434E-2</v>
      </c>
      <c r="M240" s="2">
        <f t="shared" si="15"/>
        <v>9.9634E-2</v>
      </c>
      <c r="N240" s="2">
        <f t="shared" si="15"/>
        <v>0.18273399999999998</v>
      </c>
      <c r="O240" s="2">
        <f t="shared" si="14"/>
        <v>0.105934</v>
      </c>
    </row>
    <row r="241" spans="1:15" x14ac:dyDescent="0.2">
      <c r="A241" t="s">
        <v>247</v>
      </c>
      <c r="B241">
        <v>-3.1959999999999995E-2</v>
      </c>
      <c r="C241">
        <v>-5.0259999999999999E-2</v>
      </c>
      <c r="D241">
        <v>2.3999999999999998E-4</v>
      </c>
      <c r="E241">
        <v>-2.7560000000000001E-2</v>
      </c>
      <c r="F241">
        <v>-5.3159999999999999E-2</v>
      </c>
      <c r="G241">
        <v>-1.6760000000000001E-2</v>
      </c>
      <c r="H241">
        <v>3.7040000000000003E-2</v>
      </c>
      <c r="I241" s="2">
        <f t="shared" si="15"/>
        <v>-3.3459999999999997E-2</v>
      </c>
      <c r="J241" s="2">
        <f t="shared" si="15"/>
        <v>-5.176E-2</v>
      </c>
      <c r="K241" s="2">
        <f t="shared" si="15"/>
        <v>-1.2600000000000001E-3</v>
      </c>
      <c r="L241" s="2">
        <f t="shared" si="15"/>
        <v>-2.9060000000000002E-2</v>
      </c>
      <c r="M241" s="2">
        <f t="shared" si="15"/>
        <v>-5.466E-2</v>
      </c>
      <c r="N241" s="2">
        <f t="shared" si="15"/>
        <v>-1.8260000000000002E-2</v>
      </c>
      <c r="O241" s="2">
        <f t="shared" si="14"/>
        <v>3.5540000000000002E-2</v>
      </c>
    </row>
    <row r="242" spans="1:15" x14ac:dyDescent="0.2">
      <c r="A242" t="s">
        <v>248</v>
      </c>
      <c r="B242">
        <v>0.19795400000000002</v>
      </c>
      <c r="C242">
        <v>0.217054</v>
      </c>
      <c r="D242">
        <v>1.3254E-2</v>
      </c>
      <c r="E242">
        <v>-5.8145999999999996E-2</v>
      </c>
      <c r="F242">
        <v>-2.5446E-2</v>
      </c>
      <c r="G242">
        <v>2.6254E-2</v>
      </c>
      <c r="H242">
        <v>-1.1146E-2</v>
      </c>
      <c r="I242" s="2">
        <f t="shared" si="15"/>
        <v>0.19645400000000002</v>
      </c>
      <c r="J242" s="2">
        <f t="shared" si="15"/>
        <v>0.215554</v>
      </c>
      <c r="K242" s="2">
        <f t="shared" si="15"/>
        <v>1.1754000000000001E-2</v>
      </c>
      <c r="L242" s="2">
        <f t="shared" si="15"/>
        <v>-5.9645999999999998E-2</v>
      </c>
      <c r="M242" s="2">
        <f t="shared" si="15"/>
        <v>-2.6946000000000001E-2</v>
      </c>
      <c r="N242" s="2">
        <f t="shared" si="15"/>
        <v>2.4753999999999998E-2</v>
      </c>
      <c r="O242" s="2">
        <f t="shared" si="14"/>
        <v>-1.2645999999999999E-2</v>
      </c>
    </row>
    <row r="243" spans="1:15" x14ac:dyDescent="0.2">
      <c r="A243" t="s">
        <v>249</v>
      </c>
      <c r="B243">
        <v>0.111055</v>
      </c>
      <c r="C243">
        <v>1.2755000000000001E-2</v>
      </c>
      <c r="D243">
        <v>-2.5845E-2</v>
      </c>
      <c r="E243">
        <v>9.9550000000000003E-3</v>
      </c>
      <c r="F243">
        <v>-7.5245000000000006E-2</v>
      </c>
      <c r="G243">
        <v>1.6055E-2</v>
      </c>
      <c r="H243">
        <v>2.6055000000000002E-2</v>
      </c>
      <c r="I243" s="2">
        <f t="shared" si="15"/>
        <v>0.109555</v>
      </c>
      <c r="J243" s="2">
        <f t="shared" si="15"/>
        <v>1.1255000000000001E-2</v>
      </c>
      <c r="K243" s="2">
        <f t="shared" si="15"/>
        <v>-2.7345000000000001E-2</v>
      </c>
      <c r="L243" s="2">
        <f t="shared" si="15"/>
        <v>8.4550000000000007E-3</v>
      </c>
      <c r="M243" s="2">
        <f t="shared" si="15"/>
        <v>-7.6745000000000008E-2</v>
      </c>
      <c r="N243" s="2">
        <f t="shared" si="15"/>
        <v>1.4555E-2</v>
      </c>
      <c r="O243" s="2">
        <f t="shared" si="14"/>
        <v>2.4555E-2</v>
      </c>
    </row>
    <row r="244" spans="1:15" x14ac:dyDescent="0.2">
      <c r="A244" t="s">
        <v>250</v>
      </c>
      <c r="B244">
        <v>4.6973000000000001E-2</v>
      </c>
      <c r="C244">
        <v>0.11937300000000001</v>
      </c>
      <c r="D244">
        <v>8.5273000000000002E-2</v>
      </c>
      <c r="E244">
        <v>5.1472999999999998E-2</v>
      </c>
      <c r="F244">
        <v>4.9873000000000001E-2</v>
      </c>
      <c r="G244">
        <v>7.9772999999999997E-2</v>
      </c>
      <c r="H244">
        <v>4.2373000000000001E-2</v>
      </c>
      <c r="I244" s="2">
        <f t="shared" si="15"/>
        <v>4.5473E-2</v>
      </c>
      <c r="J244" s="2">
        <f t="shared" si="15"/>
        <v>0.11787300000000001</v>
      </c>
      <c r="K244" s="2">
        <f t="shared" si="15"/>
        <v>8.3773E-2</v>
      </c>
      <c r="L244" s="2">
        <f t="shared" si="15"/>
        <v>4.9972999999999997E-2</v>
      </c>
      <c r="M244" s="2">
        <f t="shared" si="15"/>
        <v>4.8372999999999999E-2</v>
      </c>
      <c r="N244" s="2">
        <f t="shared" si="15"/>
        <v>7.8272999999999995E-2</v>
      </c>
      <c r="O244" s="2">
        <f t="shared" si="14"/>
        <v>4.0873E-2</v>
      </c>
    </row>
    <row r="245" spans="1:15" x14ac:dyDescent="0.2">
      <c r="A245" t="s">
        <v>251</v>
      </c>
      <c r="B245">
        <v>-5.8014000000000003E-2</v>
      </c>
      <c r="C245">
        <v>-4.2139999999999999E-3</v>
      </c>
      <c r="D245">
        <v>5.5585999999999997E-2</v>
      </c>
      <c r="E245">
        <v>4.5859999999999998E-3</v>
      </c>
      <c r="F245">
        <v>2.9985999999999999E-2</v>
      </c>
      <c r="G245">
        <v>4.6385999999999997E-2</v>
      </c>
      <c r="H245">
        <v>5.2386000000000002E-2</v>
      </c>
      <c r="I245" s="2">
        <f t="shared" si="15"/>
        <v>-5.9514000000000004E-2</v>
      </c>
      <c r="J245" s="2">
        <f t="shared" si="15"/>
        <v>-5.7140000000000003E-3</v>
      </c>
      <c r="K245" s="2">
        <f t="shared" si="15"/>
        <v>5.4085999999999995E-2</v>
      </c>
      <c r="L245" s="2">
        <f t="shared" si="15"/>
        <v>3.0859999999999998E-3</v>
      </c>
      <c r="M245" s="2">
        <f t="shared" si="15"/>
        <v>2.8485999999999997E-2</v>
      </c>
      <c r="N245" s="2">
        <f t="shared" si="15"/>
        <v>4.4885999999999995E-2</v>
      </c>
      <c r="O245" s="2">
        <f t="shared" si="14"/>
        <v>5.0886000000000001E-2</v>
      </c>
    </row>
    <row r="246" spans="1:15" x14ac:dyDescent="0.2">
      <c r="A246" t="s">
        <v>252</v>
      </c>
      <c r="B246">
        <v>0.25909500000000002</v>
      </c>
      <c r="C246">
        <v>3.6495E-2</v>
      </c>
      <c r="D246">
        <v>-6.3005000000000005E-2</v>
      </c>
      <c r="E246">
        <v>-2.2505000000000001E-2</v>
      </c>
      <c r="F246">
        <v>1.9094999999999997E-2</v>
      </c>
      <c r="G246">
        <v>9.8494999999999999E-2</v>
      </c>
      <c r="H246">
        <v>5.4949999999999999E-3</v>
      </c>
      <c r="I246" s="2">
        <f t="shared" si="15"/>
        <v>0.25759500000000002</v>
      </c>
      <c r="J246" s="2">
        <f t="shared" si="15"/>
        <v>3.4994999999999998E-2</v>
      </c>
      <c r="K246" s="2">
        <f t="shared" si="15"/>
        <v>-6.4505000000000007E-2</v>
      </c>
      <c r="L246" s="2">
        <f t="shared" si="15"/>
        <v>-2.4005000000000002E-2</v>
      </c>
      <c r="M246" s="2">
        <f t="shared" si="15"/>
        <v>1.7594999999999996E-2</v>
      </c>
      <c r="N246" s="2">
        <f t="shared" si="15"/>
        <v>9.6994999999999998E-2</v>
      </c>
      <c r="O246" s="2">
        <f t="shared" si="14"/>
        <v>3.9950000000000003E-3</v>
      </c>
    </row>
    <row r="247" spans="1:15" x14ac:dyDescent="0.2">
      <c r="A247" t="s">
        <v>253</v>
      </c>
      <c r="B247">
        <v>2.2696000000000001E-2</v>
      </c>
      <c r="C247">
        <v>-2.4039999999999999E-3</v>
      </c>
      <c r="D247">
        <v>-2.2104000000000002E-2</v>
      </c>
      <c r="E247">
        <v>-8.1040000000000001E-3</v>
      </c>
      <c r="F247">
        <v>-7.1040000000000001E-3</v>
      </c>
      <c r="G247">
        <v>6.5295999999999993E-2</v>
      </c>
      <c r="H247">
        <v>2.2196E-2</v>
      </c>
      <c r="I247" s="2">
        <f t="shared" si="15"/>
        <v>2.1196E-2</v>
      </c>
      <c r="J247" s="2">
        <f t="shared" si="15"/>
        <v>-3.9039999999999999E-3</v>
      </c>
      <c r="K247" s="2">
        <f t="shared" si="15"/>
        <v>-2.3604000000000003E-2</v>
      </c>
      <c r="L247" s="2">
        <f t="shared" si="15"/>
        <v>-9.6039999999999997E-3</v>
      </c>
      <c r="M247" s="2">
        <f t="shared" si="15"/>
        <v>-8.6040000000000005E-3</v>
      </c>
      <c r="N247" s="2">
        <f t="shared" si="15"/>
        <v>6.3795999999999992E-2</v>
      </c>
      <c r="O247" s="2">
        <f t="shared" si="14"/>
        <v>2.0695999999999999E-2</v>
      </c>
    </row>
    <row r="248" spans="1:15" x14ac:dyDescent="0.2">
      <c r="A248" t="s">
        <v>254</v>
      </c>
      <c r="B248">
        <v>-6.1231000000000001E-2</v>
      </c>
      <c r="C248">
        <v>-3.9431000000000001E-2</v>
      </c>
      <c r="D248">
        <v>-7.4310000000000001E-3</v>
      </c>
      <c r="E248">
        <v>6.7689999999999998E-3</v>
      </c>
      <c r="F248">
        <v>1.0769000000000001E-2</v>
      </c>
      <c r="G248">
        <v>7.9868999999999996E-2</v>
      </c>
      <c r="H248">
        <v>2.2669000000000002E-2</v>
      </c>
      <c r="I248" s="2">
        <f t="shared" si="15"/>
        <v>-6.2730999999999995E-2</v>
      </c>
      <c r="J248" s="2">
        <f t="shared" si="15"/>
        <v>-4.0931000000000002E-2</v>
      </c>
      <c r="K248" s="2">
        <f t="shared" si="15"/>
        <v>-8.9309999999999997E-3</v>
      </c>
      <c r="L248" s="2">
        <f t="shared" si="15"/>
        <v>5.2689999999999994E-3</v>
      </c>
      <c r="M248" s="2">
        <f t="shared" si="15"/>
        <v>9.2690000000000012E-3</v>
      </c>
      <c r="N248" s="2">
        <f t="shared" si="15"/>
        <v>7.8368999999999994E-2</v>
      </c>
      <c r="O248" s="2">
        <f t="shared" si="14"/>
        <v>2.1169E-2</v>
      </c>
    </row>
    <row r="249" spans="1:15" x14ac:dyDescent="0.2">
      <c r="A249" t="s">
        <v>255</v>
      </c>
      <c r="B249">
        <v>-6.6048999999999997E-2</v>
      </c>
      <c r="C249">
        <v>-0.137849</v>
      </c>
      <c r="D249">
        <v>-2.2549E-2</v>
      </c>
      <c r="E249">
        <v>-1.4049000000000001E-2</v>
      </c>
      <c r="F249">
        <v>4.2750999999999997E-2</v>
      </c>
      <c r="G249">
        <v>-5.0649E-2</v>
      </c>
      <c r="H249">
        <v>2.8951000000000001E-2</v>
      </c>
      <c r="I249" s="2">
        <f t="shared" si="15"/>
        <v>-6.7548999999999998E-2</v>
      </c>
      <c r="J249" s="2">
        <f t="shared" si="15"/>
        <v>-0.139349</v>
      </c>
      <c r="K249" s="2">
        <f t="shared" si="15"/>
        <v>-2.4049000000000001E-2</v>
      </c>
      <c r="L249" s="2">
        <f t="shared" si="15"/>
        <v>-1.5549E-2</v>
      </c>
      <c r="M249" s="2">
        <f t="shared" si="15"/>
        <v>4.1250999999999996E-2</v>
      </c>
      <c r="N249" s="2">
        <f t="shared" si="15"/>
        <v>-5.2149000000000001E-2</v>
      </c>
      <c r="O249" s="2">
        <f t="shared" si="14"/>
        <v>2.7451E-2</v>
      </c>
    </row>
    <row r="250" spans="1:15" x14ac:dyDescent="0.2">
      <c r="A250" t="s">
        <v>256</v>
      </c>
      <c r="B250">
        <v>8.6666999999999994E-2</v>
      </c>
      <c r="C250">
        <v>7.5466999999999992E-2</v>
      </c>
      <c r="D250">
        <v>-1.5032999999999999E-2</v>
      </c>
      <c r="E250">
        <v>-1.8032999999999997E-2</v>
      </c>
      <c r="F250">
        <v>-5.8932999999999999E-2</v>
      </c>
      <c r="G250">
        <v>-7.3733000000000007E-2</v>
      </c>
      <c r="H250">
        <v>-4.7633000000000002E-2</v>
      </c>
      <c r="I250" s="2">
        <f t="shared" si="15"/>
        <v>8.5166999999999993E-2</v>
      </c>
      <c r="J250" s="2">
        <f t="shared" si="15"/>
        <v>7.3966999999999991E-2</v>
      </c>
      <c r="K250" s="2">
        <f t="shared" si="15"/>
        <v>-1.6532999999999999E-2</v>
      </c>
      <c r="L250" s="2">
        <f t="shared" si="15"/>
        <v>-1.9532999999999998E-2</v>
      </c>
      <c r="M250" s="2">
        <f t="shared" si="15"/>
        <v>-6.0433000000000001E-2</v>
      </c>
      <c r="N250" s="2">
        <f t="shared" si="15"/>
        <v>-7.5233000000000008E-2</v>
      </c>
      <c r="O250" s="2">
        <f t="shared" si="14"/>
        <v>-4.9133000000000003E-2</v>
      </c>
    </row>
    <row r="251" spans="1:15" x14ac:dyDescent="0.2">
      <c r="A251" t="s">
        <v>257</v>
      </c>
      <c r="B251">
        <v>0.20616299999999999</v>
      </c>
      <c r="C251">
        <v>3.2562999999999995E-2</v>
      </c>
      <c r="D251">
        <v>-4.6837000000000004E-2</v>
      </c>
      <c r="E251">
        <v>-7.2369999999999995E-3</v>
      </c>
      <c r="F251">
        <v>7.1962999999999999E-2</v>
      </c>
      <c r="G251">
        <v>0.13486299999999998</v>
      </c>
      <c r="H251">
        <v>6.9062999999999999E-2</v>
      </c>
      <c r="I251" s="2">
        <f t="shared" si="15"/>
        <v>0.20466299999999998</v>
      </c>
      <c r="J251" s="2">
        <f t="shared" si="15"/>
        <v>3.1062999999999993E-2</v>
      </c>
      <c r="K251" s="2">
        <f t="shared" si="15"/>
        <v>-4.8337000000000005E-2</v>
      </c>
      <c r="L251" s="2">
        <f t="shared" si="15"/>
        <v>-8.737E-3</v>
      </c>
      <c r="M251" s="2">
        <f t="shared" si="15"/>
        <v>7.0462999999999998E-2</v>
      </c>
      <c r="N251" s="2">
        <f t="shared" si="15"/>
        <v>0.13336299999999998</v>
      </c>
      <c r="O251" s="2">
        <f t="shared" si="14"/>
        <v>6.7562999999999998E-2</v>
      </c>
    </row>
    <row r="252" spans="1:15" x14ac:dyDescent="0.2">
      <c r="A252" t="s">
        <v>258</v>
      </c>
      <c r="B252">
        <v>0.12925600000000001</v>
      </c>
      <c r="C252">
        <v>6.3156000000000004E-2</v>
      </c>
      <c r="D252">
        <v>-9.6243999999999996E-2</v>
      </c>
      <c r="E252">
        <v>-5.1344000000000001E-2</v>
      </c>
      <c r="F252">
        <v>-5.8844E-2</v>
      </c>
      <c r="G252">
        <v>-5.7644000000000001E-2</v>
      </c>
      <c r="H252">
        <v>-8.3440000000000007E-3</v>
      </c>
      <c r="I252" s="2">
        <f t="shared" si="15"/>
        <v>0.12775600000000001</v>
      </c>
      <c r="J252" s="2">
        <f t="shared" si="15"/>
        <v>6.1656000000000002E-2</v>
      </c>
      <c r="K252" s="2">
        <f t="shared" si="15"/>
        <v>-9.7743999999999998E-2</v>
      </c>
      <c r="L252" s="2">
        <f t="shared" si="15"/>
        <v>-5.2844000000000002E-2</v>
      </c>
      <c r="M252" s="2">
        <f t="shared" si="15"/>
        <v>-6.0344000000000002E-2</v>
      </c>
      <c r="N252" s="2">
        <f t="shared" si="15"/>
        <v>-5.9144000000000002E-2</v>
      </c>
      <c r="O252" s="2">
        <f t="shared" si="14"/>
        <v>-9.8440000000000003E-3</v>
      </c>
    </row>
    <row r="253" spans="1:15" x14ac:dyDescent="0.2">
      <c r="A253" t="s">
        <v>259</v>
      </c>
      <c r="B253">
        <v>8.2233000000000001E-2</v>
      </c>
      <c r="C253">
        <v>1.3033000000000001E-2</v>
      </c>
      <c r="D253">
        <v>7.7433000000000002E-2</v>
      </c>
      <c r="E253">
        <v>3.3533E-2</v>
      </c>
      <c r="F253">
        <v>3.2933000000000004E-2</v>
      </c>
      <c r="G253">
        <v>-5.0966999999999998E-2</v>
      </c>
      <c r="H253">
        <v>4.3533000000000002E-2</v>
      </c>
      <c r="I253" s="2">
        <f t="shared" si="15"/>
        <v>8.0732999999999999E-2</v>
      </c>
      <c r="J253" s="2">
        <f t="shared" si="15"/>
        <v>1.1533000000000002E-2</v>
      </c>
      <c r="K253" s="2">
        <f t="shared" si="15"/>
        <v>7.5933E-2</v>
      </c>
      <c r="L253" s="2">
        <f t="shared" si="15"/>
        <v>3.2032999999999999E-2</v>
      </c>
      <c r="M253" s="2">
        <f t="shared" si="15"/>
        <v>3.1433000000000003E-2</v>
      </c>
      <c r="N253" s="2">
        <f t="shared" si="15"/>
        <v>-5.2467E-2</v>
      </c>
      <c r="O253" s="2">
        <f t="shared" si="14"/>
        <v>4.2033000000000001E-2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2025-11-03T06:18:06Z</dcterms:created>
  <dcterms:modified xsi:type="dcterms:W3CDTF">2025-11-03T06:21:32Z</dcterms:modified>
</cp:coreProperties>
</file>