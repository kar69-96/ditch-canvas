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8_{86AB1693-5ED6-0343-931C-7768597654AE}" xr6:coauthVersionLast="47" xr6:coauthVersionMax="47" xr10:uidLastSave="{00000000-0000-0000-0000-000000000000}"/>
  <bookViews>
    <workbookView xWindow="480" yWindow="500" windowWidth="24200" windowHeight="16280" xr2:uid="{C17E397F-7570-A74C-B78E-71278DFBCCA3}"/>
  </bookViews>
  <sheets>
    <sheet name="Retu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" l="1"/>
  <c r="K44" i="1"/>
  <c r="K40" i="1"/>
  <c r="K43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G2" i="1"/>
  <c r="H2" i="1"/>
  <c r="F2" i="1"/>
  <c r="K7" i="1"/>
  <c r="K6" i="1"/>
  <c r="L45" i="1"/>
  <c r="L44" i="1"/>
  <c r="L40" i="1"/>
  <c r="L43" i="1"/>
  <c r="I3" i="1"/>
  <c r="I4" i="1"/>
  <c r="I2" i="1"/>
  <c r="L7" i="1"/>
  <c r="L6" i="1"/>
</calcChain>
</file>

<file path=xl/sharedStrings.xml><?xml version="1.0" encoding="utf-8"?>
<sst xmlns="http://schemas.openxmlformats.org/spreadsheetml/2006/main" count="321" uniqueCount="317">
  <si>
    <t>Date</t>
  </si>
  <si>
    <t>AAPL</t>
  </si>
  <si>
    <t>IBM</t>
  </si>
  <si>
    <t>SPY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</si>
  <si>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</si>
  <si>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</si>
  <si>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</si>
  <si>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</si>
  <si>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</si>
  <si>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</si>
  <si>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</si>
  <si>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</si>
  <si>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</si>
  <si>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</si>
  <si>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</si>
  <si>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</si>
  <si>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</si>
  <si>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</si>
  <si>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</si>
  <si>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</si>
  <si>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</si>
  <si>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</si>
  <si>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</si>
  <si>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</si>
  <si>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</si>
  <si>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</si>
  <si>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</si>
  <si>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</si>
  <si>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</si>
  <si>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</si>
  <si>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</si>
  <si>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</si>
  <si>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</si>
  <si>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</si>
  <si>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</si>
  <si>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</si>
  <si>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</si>
  <si>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</si>
  <si>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</si>
  <si>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</si>
  <si>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</si>
  <si>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</si>
  <si>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</si>
  <si>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</si>
  <si>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</si>
  <si>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</si>
  <si>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</si>
  <si>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</si>
  <si>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</si>
  <si>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</si>
  <si>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</si>
  <si>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</si>
  <si>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</si>
  <si>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</si>
  <si>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</si>
  <si>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</si>
  <si>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</si>
  <si>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</si>
  <si>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</si>
  <si>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</si>
  <si>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</si>
  <si>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</si>
  <si>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</si>
  <si>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</si>
  <si>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</si>
  <si>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</si>
  <si>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</si>
  <si>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</si>
  <si>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</si>
  <si>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</si>
  <si>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</si>
  <si>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</si>
  <si>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</si>
  <si>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</si>
  <si>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</si>
  <si>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</si>
  <si>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</si>
  <si>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</si>
  <si>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</si>
  <si>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</si>
  <si>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</si>
  <si>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</si>
  <si>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</si>
  <si>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</si>
  <si>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</si>
  <si>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</si>
  <si>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</si>
  <si>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</si>
  <si>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</si>
  <si>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</si>
  <si>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</si>
  <si>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</si>
  <si>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</si>
  <si>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</si>
  <si>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</si>
  <si>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</si>
  <si>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</si>
  <si>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</si>
  <si>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</si>
  <si>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</si>
  <si>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</si>
  <si>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</si>
  <si>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</si>
  <si>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</si>
  <si>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</si>
  <si>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</si>
  <si>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</si>
  <si>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</si>
  <si>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</si>
  <si>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</si>
  <si>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</si>
  <si>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</si>
  <si>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</si>
  <si>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</si>
  <si>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</si>
  <si>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</si>
  <si>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</si>
  <si>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</si>
  <si>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</si>
  <si>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</si>
  <si>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</si>
  <si>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</si>
  <si>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</si>
  <si>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</si>
  <si>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</si>
  <si>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</si>
  <si>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</si>
  <si>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</si>
  <si>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</si>
  <si>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</si>
  <si>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</si>
  <si>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</si>
  <si>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</si>
  <si>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</si>
  <si>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</si>
  <si>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</si>
  <si>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</si>
  <si>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</si>
  <si>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</si>
  <si>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</si>
  <si>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</si>
  <si>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</si>
  <si>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</si>
  <si>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</si>
  <si>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</si>
  <si>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</si>
  <si>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</si>
  <si>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</si>
  <si>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</si>
  <si>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</si>
  <si>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</si>
  <si>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</si>
  <si>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</si>
  <si>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</si>
  <si>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</si>
  <si>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</si>
  <si>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</si>
  <si>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</si>
  <si>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</si>
  <si>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</si>
  <si>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</si>
  <si>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</si>
  <si>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</si>
  <si>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</si>
  <si>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</si>
  <si>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</si>
  <si>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</si>
  <si>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</si>
  <si>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</si>
  <si>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</si>
  <si>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</si>
  <si>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</si>
  <si>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</si>
  <si>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</si>
  <si>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</si>
  <si>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</si>
  <si>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</si>
  <si>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</si>
  <si>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</si>
  <si>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</si>
  <si>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</si>
  <si>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</si>
  <si>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</si>
  <si>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</si>
  <si>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</si>
  <si>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</si>
  <si>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</si>
  <si>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</si>
  <si>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</si>
  <si>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</si>
  <si>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</si>
  <si>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</si>
  <si>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</si>
  <si>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</si>
  <si>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</si>
  <si>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</si>
  <si>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</si>
  <si>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</si>
  <si>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</si>
  <si>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</si>
  <si>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</si>
  <si>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</si>
  <si>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</si>
  <si>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</si>
  <si>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</si>
  <si>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</si>
  <si>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</si>
  <si>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</si>
  <si>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</si>
  <si>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</si>
  <si>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</si>
  <si>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</si>
  <si>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</si>
  <si>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</si>
  <si>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</si>
  <si>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</si>
  <si>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</si>
  <si>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</si>
  <si>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</si>
  <si>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</si>
  <si>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</si>
  <si>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</si>
  <si>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</si>
  <si>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</si>
  <si>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</si>
  <si>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</si>
  <si>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</si>
  <si>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</si>
  <si>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</si>
  <si>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</si>
  <si>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</si>
  <si>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</si>
  <si>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</si>
  <si>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</si>
  <si>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</si>
  <si>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</si>
  <si>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</si>
  <si>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</si>
  <si>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</si>
  <si>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</si>
  <si>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</si>
  <si>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</si>
  <si>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</si>
  <si>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</si>
  <si>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</si>
  <si>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</si>
  <si>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</si>
  <si>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</si>
  <si>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</si>
  <si>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</si>
  <si>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</si>
  <si>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</si>
  <si>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</si>
  <si>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</si>
  <si>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</si>
  <si>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</si>
  <si>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</si>
  <si>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</si>
  <si>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</si>
  <si>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</si>
  <si>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</si>
  <si>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</si>
  <si>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</si>
  <si>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</si>
  <si>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</si>
  <si>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</si>
  <si>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</si>
  <si>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</si>
  <si>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</si>
  <si>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</si>
  <si>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</si>
  <si>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</si>
  <si>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</si>
  <si>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</si>
  <si>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30 Day T-Bill Returns</t>
  </si>
  <si>
    <t>Individual stocks: AAPL, IBM</t>
  </si>
  <si>
    <t>Market: SPY (S&amp;P 500 ETF)</t>
  </si>
  <si>
    <t>Total risk = Variance</t>
  </si>
  <si>
    <t>Total risk AAPL = Systematic risk + Idiosyncratic Risk</t>
  </si>
  <si>
    <t>To separate out these components we need a regression model</t>
  </si>
  <si>
    <t>AAPL Excess Returns</t>
  </si>
  <si>
    <t>IBM Excess Returns</t>
  </si>
  <si>
    <t>SPY Excess Returns</t>
  </si>
  <si>
    <t xml:space="preserve">Set-up the regression model: </t>
  </si>
  <si>
    <t>Y = AAPL Excess Returns</t>
  </si>
  <si>
    <t>X = SPY Excess Returns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</si>
  <si>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</si>
  <si>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</si>
  <si>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</si>
  <si>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</si>
  <si>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</si>
  <si>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</si>
  <si>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</si>
  <si>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</si>
  <si>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</si>
  <si>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</si>
  <si>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</si>
  <si>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</si>
  <si>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</si>
  <si>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</si>
  <si>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</si>
  <si>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</si>
  <si>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</si>
  <si>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</si>
  <si>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</si>
  <si>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</si>
  <si>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</si>
  <si>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</si>
  <si>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</si>
  <si>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</si>
  <si>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Model output:</t>
  </si>
  <si>
    <t>r_AAPL - r_F = 0.0183 + 1.392 x (r_SPY - r_F)</t>
  </si>
  <si>
    <t>AAPL Risk Decomposition</t>
  </si>
  <si>
    <t>Total risk</t>
  </si>
  <si>
    <t>Non-diversifiable (systematic) risk</t>
  </si>
  <si>
    <t>Total risk of the market (SPY)</t>
  </si>
  <si>
    <t>Diversifiable (idiosyncratic)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</si>
</sst>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/>
    <xf numFmtId="0" fontId="1" fillId="0" borderId="0" xfId="0" applyFont="1"/>
    <xf numFmtId="0" fontId="1" fillId="0" borderId="0" xfId="0" applyFont="1" applyFill="1" applyBorder="1" applyAlignment="1" applyProtection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0" fillId="2" borderId="0" xfId="0" applyFill="1"/>
    <xf numFmtId="0" fontId="0" fillId="2" borderId="0" xfId="0" applyFill="1" applyBorder="1" applyAlignment="1"/>
    <xf numFmtId="0" fontId="0" fillId="3" borderId="1" xfId="0" applyFill="1" applyBorder="1" applyAlignment="1"/>
    <xf numFmtId="0" fontId="1" fillId="2" borderId="0" xfId="0" applyFont="1" applyFill="1" applyBorder="1" applyAlignment="1" applyProtection="1"/>
    <xf numFmtId="0" fontId="3" fillId="2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E7A5-AB94-A24D-8EB2-25E5D7B92BE2}">
  <sheetPr>
    <outlinePr summaryBelow="0" summaryRight="0"/>
  </sheetPr>
  <dimension ref="A1:R271"/>
  <sheetViews>
    <sheetView tabSelected="1" topLeftCell="G1" zoomScale="180" zoomScaleNormal="180" workbookViewId="0">
      <pane ySplit="1" topLeftCell="A28" activePane="bottomLeft" state="frozen"/>
      <selection pane="bottomLeft" activeCell="J46" sqref="J46"/>
    </sheetView>
  </sheetViews>
  <sheetFormatPr baseColWidth="10" defaultRowHeight="13" x14ac:dyDescent="0.15"/>
  <cols>
    <col min="5" max="5" width="16.5" customWidth="1"/>
    <col min="6" max="6" width="13.6640625" customWidth="1"/>
    <col min="7" max="7" width="13.1640625" customWidth="1"/>
    <col min="8" max="9" width="16.1640625" customWidth="1"/>
    <col min="10" max="10" width="28" customWidth="1"/>
  </cols>
  <sheetData>
    <row r="1" spans="1:12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3" t="s">
        <v>274</v>
      </c>
      <c r="F1" s="3" t="s">
        <v>280</v>
      </c>
      <c r="G1" s="3" t="s">
        <v>281</v>
      </c>
      <c r="H1" s="3" t="s">
        <v>282</v>
      </c>
      <c r="I1" s="3"/>
      <c r="J1" s="1"/>
      <c r="K1" s="1"/>
    </row>
    <row r="2" spans="1:12" x14ac:dyDescent="0.15">
      <c r="A2" s="2" t="s">
        <v>4</v>
      </c>
      <c r="B2" s="2">
        <v>9.1000000000000004E-3</v>
      </c>
      <c r="C2" s="2">
        <v>4.0599999999999997E-2</v>
      </c>
      <c r="D2" s="2">
        <v>-4.9399999999999999E-2</v>
      </c>
      <c r="E2">
        <v>4.3430000000000005E-3</v>
      </c>
      <c r="F2">
        <f>B2-$E2</f>
        <v>4.7569999999999999E-3</v>
      </c>
      <c r="G2">
        <f t="shared" ref="G2:H2" si="0">C2-$E2</f>
        <v>3.6256999999999998E-2</v>
      </c>
      <c r="H2">
        <f t="shared" si="0"/>
        <v>-5.3742999999999999E-2</v>
      </c>
      <c r="I2" s="2" t="str">
        <f ca="1">_xlfn.FORMULATEXT(F2)</f>
        <v>=B2-$E2</v>
      </c>
      <c r="J2" s="4" t="s">
        <v>275</v>
      </c>
      <c r="K2" s="2"/>
      <c r="L2" s="3"/>
    </row>
    <row r="3" spans="1:12" x14ac:dyDescent="0.15">
      <c r="A3" s="2" t="s">
        <v>5</v>
      </c>
      <c r="B3" s="2">
        <v>0.1048</v>
      </c>
      <c r="C3" s="2">
        <v>-8.3699999999999997E-2</v>
      </c>
      <c r="D3" s="2">
        <v>-1.5699999999999999E-2</v>
      </c>
      <c r="E3">
        <v>4.2950000000000002E-3</v>
      </c>
      <c r="F3">
        <f t="shared" ref="F3:F66" si="1">B3-$E3</f>
        <v>0.10050500000000001</v>
      </c>
      <c r="G3">
        <f t="shared" ref="G3:G66" si="2">C3-$E3</f>
        <v>-8.799499999999999E-2</v>
      </c>
      <c r="H3">
        <f t="shared" ref="H3:H66" si="3">D3-$E3</f>
        <v>-1.9994999999999999E-2</v>
      </c>
      <c r="I3" s="2" t="str">
        <f t="shared" ref="I3:I4" ca="1" si="4">_xlfn.FORMULATEXT(F3)</f>
        <v>=B3-$E3</v>
      </c>
      <c r="J3" s="4" t="s">
        <v>276</v>
      </c>
      <c r="K3" s="2"/>
    </row>
    <row r="4" spans="1:12" x14ac:dyDescent="0.15">
      <c r="A4" s="2" t="s">
        <v>6</v>
      </c>
      <c r="B4" s="2">
        <v>0.18479999999999999</v>
      </c>
      <c r="C4" s="2">
        <v>0.1484</v>
      </c>
      <c r="D4" s="2">
        <v>9.69E-2</v>
      </c>
      <c r="E4">
        <v>4.3770000000000007E-3</v>
      </c>
      <c r="F4">
        <f t="shared" si="1"/>
        <v>0.180423</v>
      </c>
      <c r="G4">
        <f t="shared" si="2"/>
        <v>0.14402300000000001</v>
      </c>
      <c r="H4">
        <f t="shared" si="3"/>
        <v>9.2522999999999994E-2</v>
      </c>
      <c r="I4" s="2" t="str">
        <f t="shared" ca="1" si="4"/>
        <v>=B4-$E4</v>
      </c>
      <c r="J4" s="2"/>
      <c r="K4" s="2"/>
    </row>
    <row r="5" spans="1:12" x14ac:dyDescent="0.15">
      <c r="A5" s="2" t="s">
        <v>7</v>
      </c>
      <c r="B5" s="2">
        <v>-8.6499999999999994E-2</v>
      </c>
      <c r="C5" s="2">
        <v>-5.5100000000000003E-2</v>
      </c>
      <c r="D5" s="2">
        <v>-3.5099999999999999E-2</v>
      </c>
      <c r="E5">
        <v>4.5950000000000001E-3</v>
      </c>
      <c r="F5">
        <f t="shared" si="1"/>
        <v>-9.1094999999999995E-2</v>
      </c>
      <c r="G5">
        <f t="shared" si="2"/>
        <v>-5.9695000000000005E-2</v>
      </c>
      <c r="H5">
        <f t="shared" si="3"/>
        <v>-3.9695000000000001E-2</v>
      </c>
      <c r="I5" s="2"/>
      <c r="J5" s="4" t="s">
        <v>277</v>
      </c>
      <c r="K5" s="2"/>
    </row>
    <row r="6" spans="1:12" x14ac:dyDescent="0.15">
      <c r="A6" s="2" t="s">
        <v>8</v>
      </c>
      <c r="B6" s="2">
        <v>-0.32290000000000002</v>
      </c>
      <c r="C6" s="2">
        <v>-3.5900000000000001E-2</v>
      </c>
      <c r="D6" s="2">
        <v>-1.5699999999999999E-2</v>
      </c>
      <c r="E6">
        <v>4.7820000000000007E-3</v>
      </c>
      <c r="F6">
        <f t="shared" si="1"/>
        <v>-0.32768200000000003</v>
      </c>
      <c r="G6">
        <f t="shared" si="2"/>
        <v>-4.0682000000000003E-2</v>
      </c>
      <c r="H6">
        <f t="shared" si="3"/>
        <v>-2.0482E-2</v>
      </c>
      <c r="I6" s="2"/>
      <c r="J6" s="4" t="s">
        <v>1</v>
      </c>
      <c r="K6" s="2">
        <f>_xlfn.VAR.S(B2:B271)</f>
        <v>1.2935520528156408E-2</v>
      </c>
      <c r="L6" t="str">
        <f ca="1">_xlfn.FORMULATEXT(K6)</f>
        <v>=VAR.S(B2:B271)</v>
      </c>
    </row>
    <row r="7" spans="1:12" x14ac:dyDescent="0.15">
      <c r="A7" s="2" t="s">
        <v>9</v>
      </c>
      <c r="B7" s="2">
        <v>0.247</v>
      </c>
      <c r="C7" s="2">
        <v>2.0400000000000001E-2</v>
      </c>
      <c r="D7" s="2">
        <v>1.9699999999999999E-2</v>
      </c>
      <c r="E7">
        <v>3.7440000000000004E-3</v>
      </c>
      <c r="F7">
        <f t="shared" si="1"/>
        <v>0.243256</v>
      </c>
      <c r="G7">
        <f t="shared" si="2"/>
        <v>1.6656000000000001E-2</v>
      </c>
      <c r="H7">
        <f t="shared" si="3"/>
        <v>1.5955999999999998E-2</v>
      </c>
      <c r="I7" s="2"/>
      <c r="J7" s="4" t="s">
        <v>2</v>
      </c>
      <c r="K7" s="2">
        <f>_xlfn.VAR.S(C2:C271)</f>
        <v>5.1537923840010991E-3</v>
      </c>
      <c r="L7" t="str">
        <f ca="1">_xlfn.FORMULATEXT(K7)</f>
        <v>=VAR.S(C2:C271)</v>
      </c>
    </row>
    <row r="8" spans="1:12" x14ac:dyDescent="0.15">
      <c r="A8" s="2" t="s">
        <v>10</v>
      </c>
      <c r="B8" s="2">
        <v>-2.98E-2</v>
      </c>
      <c r="C8" s="2">
        <v>2.6200000000000001E-2</v>
      </c>
      <c r="D8" s="2">
        <v>-1.6299999999999999E-2</v>
      </c>
      <c r="E8">
        <v>4.7720000000000002E-3</v>
      </c>
      <c r="F8">
        <f t="shared" si="1"/>
        <v>-3.4571999999999999E-2</v>
      </c>
      <c r="G8">
        <f t="shared" si="2"/>
        <v>2.1428000000000003E-2</v>
      </c>
      <c r="H8">
        <f t="shared" si="3"/>
        <v>-2.1072E-2</v>
      </c>
      <c r="I8" s="2"/>
      <c r="J8" s="2"/>
      <c r="K8" s="2"/>
    </row>
    <row r="9" spans="1:12" x14ac:dyDescent="0.15">
      <c r="A9" s="2" t="s">
        <v>11</v>
      </c>
      <c r="B9" s="2">
        <v>0.1993</v>
      </c>
      <c r="C9" s="2">
        <v>0.17530000000000001</v>
      </c>
      <c r="D9" s="2">
        <v>6.6000000000000003E-2</v>
      </c>
      <c r="E9">
        <v>5.0020000000000004E-3</v>
      </c>
      <c r="F9">
        <f t="shared" si="1"/>
        <v>0.194298</v>
      </c>
      <c r="G9">
        <f t="shared" si="2"/>
        <v>0.170298</v>
      </c>
      <c r="H9">
        <f t="shared" si="3"/>
        <v>6.0998000000000004E-2</v>
      </c>
      <c r="I9" s="2"/>
      <c r="J9" s="4" t="s">
        <v>278</v>
      </c>
      <c r="K9" s="2"/>
    </row>
    <row r="10" spans="1:12" x14ac:dyDescent="0.15">
      <c r="A10" s="2" t="s">
        <v>12</v>
      </c>
      <c r="B10" s="2">
        <v>-0.57740000000000002</v>
      </c>
      <c r="C10" s="2">
        <v>-0.1477</v>
      </c>
      <c r="D10" s="2">
        <v>-5.4800000000000001E-2</v>
      </c>
      <c r="E10">
        <v>5.0930000000000003E-3</v>
      </c>
      <c r="F10">
        <f t="shared" si="1"/>
        <v>-0.58249300000000004</v>
      </c>
      <c r="G10">
        <f t="shared" si="2"/>
        <v>-0.15279300000000001</v>
      </c>
      <c r="H10">
        <f t="shared" si="3"/>
        <v>-5.9893000000000002E-2</v>
      </c>
      <c r="I10" s="2"/>
      <c r="J10" s="4" t="s">
        <v>279</v>
      </c>
      <c r="K10" s="2"/>
    </row>
    <row r="11" spans="1:12" x14ac:dyDescent="0.15">
      <c r="A11" s="2" t="s">
        <v>13</v>
      </c>
      <c r="B11" s="2">
        <v>-0.24030000000000001</v>
      </c>
      <c r="C11" s="2">
        <v>-0.1244</v>
      </c>
      <c r="D11" s="2">
        <v>-4.7000000000000002E-3</v>
      </c>
      <c r="E11">
        <v>5.2170000000000003E-3</v>
      </c>
      <c r="F11">
        <f t="shared" si="1"/>
        <v>-0.24551700000000001</v>
      </c>
      <c r="G11">
        <f t="shared" si="2"/>
        <v>-0.12961700000000001</v>
      </c>
      <c r="H11">
        <f t="shared" si="3"/>
        <v>-9.9170000000000005E-3</v>
      </c>
      <c r="I11" s="2"/>
      <c r="J11" s="2"/>
      <c r="K11" s="2"/>
    </row>
    <row r="12" spans="1:12" x14ac:dyDescent="0.15">
      <c r="A12" s="2" t="s">
        <v>14</v>
      </c>
      <c r="B12" s="2">
        <v>-0.15659999999999999</v>
      </c>
      <c r="C12" s="2">
        <v>-4.9500000000000002E-2</v>
      </c>
      <c r="D12" s="2">
        <v>-7.4700000000000003E-2</v>
      </c>
      <c r="E12">
        <v>4.9659999999999999E-3</v>
      </c>
      <c r="F12">
        <f t="shared" si="1"/>
        <v>-0.16156599999999999</v>
      </c>
      <c r="G12">
        <f t="shared" si="2"/>
        <v>-5.4466000000000001E-2</v>
      </c>
      <c r="H12">
        <f t="shared" si="3"/>
        <v>-7.9666000000000001E-2</v>
      </c>
      <c r="I12" s="2"/>
      <c r="J12" s="4" t="s">
        <v>283</v>
      </c>
      <c r="K12" s="2"/>
    </row>
    <row r="13" spans="1:12" x14ac:dyDescent="0.15">
      <c r="A13" s="2" t="s">
        <v>15</v>
      </c>
      <c r="B13" s="2">
        <v>-9.8500000000000004E-2</v>
      </c>
      <c r="C13" s="2">
        <v>-9.0899999999999995E-2</v>
      </c>
      <c r="D13" s="2">
        <v>-5.1999999999999998E-3</v>
      </c>
      <c r="E13">
        <v>4.9090000000000002E-3</v>
      </c>
      <c r="F13">
        <f t="shared" si="1"/>
        <v>-0.103409</v>
      </c>
      <c r="G13">
        <f t="shared" si="2"/>
        <v>-9.5808999999999991E-2</v>
      </c>
      <c r="H13">
        <f t="shared" si="3"/>
        <v>-1.0109E-2</v>
      </c>
      <c r="I13" s="2"/>
      <c r="J13" s="4" t="s">
        <v>284</v>
      </c>
      <c r="K13" s="2"/>
    </row>
    <row r="14" spans="1:12" x14ac:dyDescent="0.15">
      <c r="A14" s="2" t="s">
        <v>16</v>
      </c>
      <c r="B14" s="2">
        <v>0.45379999999999998</v>
      </c>
      <c r="C14" s="2">
        <v>0.31759999999999999</v>
      </c>
      <c r="D14" s="2">
        <v>4.4499999999999998E-2</v>
      </c>
      <c r="E14">
        <v>5.2430000000000003E-3</v>
      </c>
      <c r="F14">
        <f t="shared" si="1"/>
        <v>0.44855699999999998</v>
      </c>
      <c r="G14">
        <f t="shared" si="2"/>
        <v>0.312357</v>
      </c>
      <c r="H14">
        <f t="shared" si="3"/>
        <v>3.9257E-2</v>
      </c>
      <c r="I14" s="2"/>
      <c r="J14" s="4" t="s">
        <v>285</v>
      </c>
      <c r="K14" s="2"/>
    </row>
    <row r="15" spans="1:12" x14ac:dyDescent="0.15">
      <c r="A15" s="2" t="s">
        <v>17</v>
      </c>
      <c r="B15" s="2">
        <v>-0.15609999999999999</v>
      </c>
      <c r="C15" s="2">
        <v>-0.107</v>
      </c>
      <c r="D15" s="2">
        <v>-9.5399999999999999E-2</v>
      </c>
      <c r="E15">
        <v>3.6530000000000004E-3</v>
      </c>
      <c r="F15">
        <f t="shared" si="1"/>
        <v>-0.15975299999999998</v>
      </c>
      <c r="G15">
        <f t="shared" si="2"/>
        <v>-0.110653</v>
      </c>
      <c r="H15">
        <f t="shared" si="3"/>
        <v>-9.9053000000000002E-2</v>
      </c>
      <c r="I15" s="2"/>
      <c r="J15" s="2"/>
      <c r="K15" s="2"/>
    </row>
    <row r="16" spans="1:12" x14ac:dyDescent="0.15">
      <c r="A16" s="2" t="s">
        <v>18</v>
      </c>
      <c r="B16" s="2">
        <v>0.20930000000000001</v>
      </c>
      <c r="C16" s="2">
        <v>-3.7199999999999997E-2</v>
      </c>
      <c r="D16" s="2">
        <v>-5.6000000000000001E-2</v>
      </c>
      <c r="E16">
        <v>4.3200000000000001E-3</v>
      </c>
      <c r="F16">
        <f t="shared" si="1"/>
        <v>0.20498000000000002</v>
      </c>
      <c r="G16">
        <f t="shared" si="2"/>
        <v>-4.1519999999999994E-2</v>
      </c>
      <c r="H16">
        <f t="shared" si="3"/>
        <v>-6.0319999999999999E-2</v>
      </c>
      <c r="I16" s="2"/>
      <c r="J16" t="s">
        <v>286</v>
      </c>
    </row>
    <row r="17" spans="1:18" ht="14" thickBot="1" x14ac:dyDescent="0.2">
      <c r="A17" s="2" t="s">
        <v>19</v>
      </c>
      <c r="B17" s="2">
        <v>0.155</v>
      </c>
      <c r="C17" s="2">
        <v>0.1971</v>
      </c>
      <c r="D17" s="2">
        <v>7.0400000000000004E-2</v>
      </c>
      <c r="E17">
        <v>3.8640000000000002E-3</v>
      </c>
      <c r="F17">
        <f t="shared" si="1"/>
        <v>0.15113599999999999</v>
      </c>
      <c r="G17">
        <f t="shared" si="2"/>
        <v>0.19323599999999999</v>
      </c>
      <c r="H17">
        <f t="shared" si="3"/>
        <v>6.6535999999999998E-2</v>
      </c>
      <c r="I17" s="2"/>
    </row>
    <row r="18" spans="1:18" x14ac:dyDescent="0.15">
      <c r="A18" s="2" t="s">
        <v>20</v>
      </c>
      <c r="B18" s="2">
        <v>-0.21729999999999999</v>
      </c>
      <c r="C18" s="2">
        <v>-2.7900000000000001E-2</v>
      </c>
      <c r="D18" s="2">
        <v>8.3000000000000001E-3</v>
      </c>
      <c r="E18">
        <v>3.1830000000000001E-3</v>
      </c>
      <c r="F18">
        <f t="shared" si="1"/>
        <v>-0.22048299999999998</v>
      </c>
      <c r="G18">
        <f t="shared" si="2"/>
        <v>-3.1083E-2</v>
      </c>
      <c r="H18">
        <f t="shared" si="3"/>
        <v>5.117E-3</v>
      </c>
      <c r="I18" s="2"/>
      <c r="J18" s="8" t="s">
        <v>287</v>
      </c>
      <c r="K18" s="8"/>
    </row>
    <row r="19" spans="1:18" x14ac:dyDescent="0.15">
      <c r="A19" s="2" t="s">
        <v>21</v>
      </c>
      <c r="B19" s="2">
        <v>0.16539999999999999</v>
      </c>
      <c r="C19" s="2">
        <v>1.0699999999999999E-2</v>
      </c>
      <c r="D19" s="2">
        <v>-2.3800000000000002E-2</v>
      </c>
      <c r="E19">
        <v>2.7780000000000001E-3</v>
      </c>
      <c r="F19">
        <f t="shared" si="1"/>
        <v>0.16262199999999999</v>
      </c>
      <c r="G19">
        <f t="shared" si="2"/>
        <v>7.9219999999999985E-3</v>
      </c>
      <c r="H19">
        <f t="shared" si="3"/>
        <v>-2.6578000000000001E-2</v>
      </c>
      <c r="I19" s="2"/>
      <c r="J19" s="5" t="s">
        <v>288</v>
      </c>
      <c r="K19" s="5">
        <v>0.53731791840202925</v>
      </c>
    </row>
    <row r="20" spans="1:18" x14ac:dyDescent="0.15">
      <c r="A20" s="2" t="s">
        <v>22</v>
      </c>
      <c r="B20" s="2">
        <v>-0.1918</v>
      </c>
      <c r="C20" s="2">
        <v>-6.8900000000000003E-2</v>
      </c>
      <c r="D20" s="2">
        <v>-1.0200000000000001E-2</v>
      </c>
      <c r="E20">
        <v>2.9990000000000004E-3</v>
      </c>
      <c r="F20">
        <f t="shared" si="1"/>
        <v>-0.194799</v>
      </c>
      <c r="G20">
        <f t="shared" si="2"/>
        <v>-7.1899000000000005E-2</v>
      </c>
      <c r="H20">
        <f t="shared" si="3"/>
        <v>-1.3199000000000001E-2</v>
      </c>
      <c r="I20" s="2"/>
      <c r="J20" s="5" t="s">
        <v>289</v>
      </c>
      <c r="K20" s="5">
        <v>0.28871054543588975</v>
      </c>
    </row>
    <row r="21" spans="1:18" x14ac:dyDescent="0.15">
      <c r="A21" s="2" t="s">
        <v>23</v>
      </c>
      <c r="B21" s="2">
        <v>-1.2800000000000001E-2</v>
      </c>
      <c r="C21" s="2">
        <v>-4.87E-2</v>
      </c>
      <c r="D21" s="2">
        <v>-5.9299999999999999E-2</v>
      </c>
      <c r="E21">
        <v>2.9960000000000004E-3</v>
      </c>
      <c r="F21">
        <f t="shared" si="1"/>
        <v>-1.5796000000000001E-2</v>
      </c>
      <c r="G21">
        <f t="shared" si="2"/>
        <v>-5.1695999999999999E-2</v>
      </c>
      <c r="H21">
        <f t="shared" si="3"/>
        <v>-6.2295999999999997E-2</v>
      </c>
      <c r="I21" s="2"/>
      <c r="J21" s="5" t="s">
        <v>290</v>
      </c>
      <c r="K21" s="5">
        <v>0.28605648030691921</v>
      </c>
    </row>
    <row r="22" spans="1:18" x14ac:dyDescent="0.15">
      <c r="A22" s="2" t="s">
        <v>24</v>
      </c>
      <c r="B22" s="2">
        <v>-0.16389999999999999</v>
      </c>
      <c r="C22" s="2">
        <v>-8.2299999999999998E-2</v>
      </c>
      <c r="D22" s="2">
        <v>-8.1600000000000006E-2</v>
      </c>
      <c r="E22">
        <v>2.7300000000000002E-3</v>
      </c>
      <c r="F22">
        <f t="shared" si="1"/>
        <v>-0.16663</v>
      </c>
      <c r="G22">
        <f t="shared" si="2"/>
        <v>-8.5029999999999994E-2</v>
      </c>
      <c r="H22">
        <f t="shared" si="3"/>
        <v>-8.4330000000000002E-2</v>
      </c>
      <c r="I22" s="2"/>
      <c r="J22" s="5" t="s">
        <v>291</v>
      </c>
      <c r="K22" s="5">
        <v>9.6164198272587084E-2</v>
      </c>
    </row>
    <row r="23" spans="1:18" ht="14" thickBot="1" x14ac:dyDescent="0.2">
      <c r="A23" s="2" t="s">
        <v>25</v>
      </c>
      <c r="B23" s="2">
        <v>0.13220000000000001</v>
      </c>
      <c r="C23" s="2">
        <v>0.17829999999999999</v>
      </c>
      <c r="D23" s="2">
        <v>1.2999999999999999E-2</v>
      </c>
      <c r="E23">
        <v>2.1540000000000001E-3</v>
      </c>
      <c r="F23">
        <f t="shared" si="1"/>
        <v>0.13004600000000002</v>
      </c>
      <c r="G23">
        <f t="shared" si="2"/>
        <v>0.176146</v>
      </c>
      <c r="H23">
        <f t="shared" si="3"/>
        <v>1.0846E-2</v>
      </c>
      <c r="I23" s="2"/>
      <c r="J23" s="6" t="s">
        <v>292</v>
      </c>
      <c r="K23" s="6">
        <v>270</v>
      </c>
    </row>
    <row r="24" spans="1:18" x14ac:dyDescent="0.15">
      <c r="A24" s="2" t="s">
        <v>26</v>
      </c>
      <c r="B24" s="2">
        <v>0.21299999999999999</v>
      </c>
      <c r="C24" s="2">
        <v>7.0900000000000005E-2</v>
      </c>
      <c r="D24" s="2">
        <v>7.8E-2</v>
      </c>
      <c r="E24">
        <v>1.7490000000000001E-3</v>
      </c>
      <c r="F24">
        <f t="shared" si="1"/>
        <v>0.21125099999999999</v>
      </c>
      <c r="G24">
        <f t="shared" si="2"/>
        <v>6.9151000000000004E-2</v>
      </c>
      <c r="H24">
        <f t="shared" si="3"/>
        <v>7.6250999999999999E-2</v>
      </c>
      <c r="I24" s="2"/>
    </row>
    <row r="25" spans="1:18" ht="14" thickBot="1" x14ac:dyDescent="0.2">
      <c r="A25" s="2" t="s">
        <v>27</v>
      </c>
      <c r="B25" s="2">
        <v>2.8199999999999999E-2</v>
      </c>
      <c r="C25" s="2">
        <v>4.65E-2</v>
      </c>
      <c r="D25" s="2">
        <v>5.5999999999999999E-3</v>
      </c>
      <c r="E25">
        <v>1.4840000000000001E-3</v>
      </c>
      <c r="F25">
        <f t="shared" si="1"/>
        <v>2.6716E-2</v>
      </c>
      <c r="G25">
        <f t="shared" si="2"/>
        <v>4.5016E-2</v>
      </c>
      <c r="H25">
        <f t="shared" si="3"/>
        <v>4.1159999999999999E-3</v>
      </c>
      <c r="I25" s="2"/>
      <c r="J25" t="s">
        <v>293</v>
      </c>
    </row>
    <row r="26" spans="1:18" x14ac:dyDescent="0.15">
      <c r="A26" s="2" t="s">
        <v>28</v>
      </c>
      <c r="B26" s="2">
        <v>0.1288</v>
      </c>
      <c r="C26" s="2">
        <v>-0.1081</v>
      </c>
      <c r="D26" s="2">
        <v>-9.7999999999999997E-3</v>
      </c>
      <c r="E26">
        <v>1.3900000000000002E-3</v>
      </c>
      <c r="F26">
        <f t="shared" si="1"/>
        <v>0.12741</v>
      </c>
      <c r="G26">
        <f t="shared" si="2"/>
        <v>-0.10949</v>
      </c>
      <c r="H26">
        <f t="shared" si="3"/>
        <v>-1.119E-2</v>
      </c>
      <c r="I26" s="2"/>
      <c r="J26" s="7"/>
      <c r="K26" s="7" t="s">
        <v>298</v>
      </c>
      <c r="L26" s="7" t="s">
        <v>299</v>
      </c>
      <c r="M26" s="7" t="s">
        <v>300</v>
      </c>
      <c r="N26" s="7" t="s">
        <v>301</v>
      </c>
      <c r="O26" s="7" t="s">
        <v>302</v>
      </c>
    </row>
    <row r="27" spans="1:18" x14ac:dyDescent="0.15">
      <c r="A27" s="2" t="s">
        <v>29</v>
      </c>
      <c r="B27" s="2">
        <v>-0.1222</v>
      </c>
      <c r="C27" s="2">
        <v>-8.9399999999999993E-2</v>
      </c>
      <c r="D27" s="2">
        <v>-1.7899999999999999E-2</v>
      </c>
      <c r="E27">
        <v>1.2850000000000001E-3</v>
      </c>
      <c r="F27">
        <f t="shared" si="1"/>
        <v>-0.123485</v>
      </c>
      <c r="G27">
        <f t="shared" si="2"/>
        <v>-9.0684999999999988E-2</v>
      </c>
      <c r="H27">
        <f t="shared" si="3"/>
        <v>-1.9185000000000001E-2</v>
      </c>
      <c r="I27" s="2"/>
      <c r="J27" s="5" t="s">
        <v>294</v>
      </c>
      <c r="K27" s="5">
        <v>1</v>
      </c>
      <c r="L27" s="5">
        <v>1.005953489959639</v>
      </c>
      <c r="M27" s="5">
        <v>1.005953489959639</v>
      </c>
      <c r="N27" s="5">
        <v>108.78050515206186</v>
      </c>
      <c r="O27" s="5">
        <v>1.3414449099887238E-21</v>
      </c>
    </row>
    <row r="28" spans="1:18" x14ac:dyDescent="0.15">
      <c r="A28" s="2" t="s">
        <v>30</v>
      </c>
      <c r="B28" s="2">
        <v>9.0800000000000006E-2</v>
      </c>
      <c r="C28" s="2">
        <v>5.9900000000000002E-2</v>
      </c>
      <c r="D28" s="2">
        <v>3.32E-2</v>
      </c>
      <c r="E28">
        <v>1.3410000000000002E-3</v>
      </c>
      <c r="F28">
        <f t="shared" si="1"/>
        <v>8.9459000000000011E-2</v>
      </c>
      <c r="G28">
        <f t="shared" si="2"/>
        <v>5.8559E-2</v>
      </c>
      <c r="H28">
        <f t="shared" si="3"/>
        <v>3.1858999999999998E-2</v>
      </c>
      <c r="I28" s="2"/>
      <c r="J28" s="5" t="s">
        <v>295</v>
      </c>
      <c r="K28" s="5">
        <v>268</v>
      </c>
      <c r="L28" s="5">
        <v>2.4783442118817303</v>
      </c>
      <c r="M28" s="5">
        <v>9.2475530294094405E-3</v>
      </c>
      <c r="N28" s="5"/>
      <c r="O28" s="5"/>
    </row>
    <row r="29" spans="1:18" ht="14" thickBot="1" x14ac:dyDescent="0.2">
      <c r="A29" s="2" t="s">
        <v>31</v>
      </c>
      <c r="B29" s="2">
        <v>2.53E-2</v>
      </c>
      <c r="C29" s="2">
        <v>-0.1946</v>
      </c>
      <c r="D29" s="2">
        <v>-5.8200000000000002E-2</v>
      </c>
      <c r="E29">
        <v>1.5460000000000001E-3</v>
      </c>
      <c r="F29">
        <f t="shared" si="1"/>
        <v>2.3754000000000001E-2</v>
      </c>
      <c r="G29">
        <f t="shared" si="2"/>
        <v>-0.19614599999999999</v>
      </c>
      <c r="H29">
        <f t="shared" si="3"/>
        <v>-5.9746E-2</v>
      </c>
      <c r="I29" s="2"/>
      <c r="J29" s="6" t="s">
        <v>296</v>
      </c>
      <c r="K29" s="6">
        <v>269</v>
      </c>
      <c r="L29" s="6">
        <v>3.4842977018413692</v>
      </c>
      <c r="M29" s="6"/>
      <c r="N29" s="6"/>
      <c r="O29" s="6"/>
    </row>
    <row r="30" spans="1:18" ht="14" thickBot="1" x14ac:dyDescent="0.2">
      <c r="A30" s="2" t="s">
        <v>32</v>
      </c>
      <c r="B30" s="2">
        <v>-0.04</v>
      </c>
      <c r="C30" s="2">
        <v>-3.78E-2</v>
      </c>
      <c r="D30" s="2">
        <v>-5.8999999999999999E-3</v>
      </c>
      <c r="E30">
        <v>1.4420000000000001E-3</v>
      </c>
      <c r="F30">
        <f t="shared" si="1"/>
        <v>-4.1442E-2</v>
      </c>
      <c r="G30">
        <f t="shared" si="2"/>
        <v>-3.9241999999999999E-2</v>
      </c>
      <c r="H30">
        <f t="shared" si="3"/>
        <v>-7.3419999999999996E-3</v>
      </c>
      <c r="I30" s="2"/>
    </row>
    <row r="31" spans="1:18" x14ac:dyDescent="0.15">
      <c r="A31" s="2" t="s">
        <v>33</v>
      </c>
      <c r="B31" s="2">
        <v>-0.23949999999999999</v>
      </c>
      <c r="C31" s="2">
        <v>-0.105</v>
      </c>
      <c r="D31" s="2">
        <v>-7.3800000000000004E-2</v>
      </c>
      <c r="E31">
        <v>1.312E-3</v>
      </c>
      <c r="F31">
        <f t="shared" si="1"/>
        <v>-0.240812</v>
      </c>
      <c r="G31">
        <f t="shared" si="2"/>
        <v>-0.10631199999999999</v>
      </c>
      <c r="H31">
        <f t="shared" si="3"/>
        <v>-7.5111999999999998E-2</v>
      </c>
      <c r="I31" s="2"/>
      <c r="J31" s="7"/>
      <c r="K31" s="7" t="s">
        <v>303</v>
      </c>
      <c r="L31" s="7" t="s">
        <v>291</v>
      </c>
      <c r="M31" s="7" t="s">
        <v>304</v>
      </c>
      <c r="N31" s="7" t="s">
        <v>305</v>
      </c>
      <c r="O31" s="7" t="s">
        <v>306</v>
      </c>
      <c r="P31" s="7" t="s">
        <v>307</v>
      </c>
      <c r="Q31" s="7" t="s">
        <v>308</v>
      </c>
      <c r="R31" s="7" t="s">
        <v>309</v>
      </c>
    </row>
    <row r="32" spans="1:18" x14ac:dyDescent="0.15">
      <c r="A32" s="2" t="s">
        <v>34</v>
      </c>
      <c r="B32" s="2">
        <v>-0.13880000000000001</v>
      </c>
      <c r="C32" s="2">
        <v>-2.2200000000000001E-2</v>
      </c>
      <c r="D32" s="2">
        <v>-7.8799999999999995E-2</v>
      </c>
      <c r="E32">
        <v>1.5070000000000001E-3</v>
      </c>
      <c r="F32">
        <f t="shared" si="1"/>
        <v>-0.14030700000000002</v>
      </c>
      <c r="G32">
        <f t="shared" si="2"/>
        <v>-2.3707000000000002E-2</v>
      </c>
      <c r="H32">
        <f t="shared" si="3"/>
        <v>-8.030699999999999E-2</v>
      </c>
      <c r="I32" s="2"/>
      <c r="J32" s="5" t="s">
        <v>297</v>
      </c>
      <c r="K32" s="10">
        <v>1.8298720059584214E-2</v>
      </c>
      <c r="L32" s="5">
        <v>5.8873906994022264E-3</v>
      </c>
      <c r="M32" s="5">
        <v>3.1081205569459089</v>
      </c>
      <c r="N32" s="5">
        <v>2.0854773902929543E-3</v>
      </c>
      <c r="O32" s="5">
        <v>6.7073004233554039E-3</v>
      </c>
      <c r="P32" s="5">
        <v>2.9890139695813021E-2</v>
      </c>
      <c r="Q32" s="5">
        <v>6.7073004233554039E-3</v>
      </c>
      <c r="R32" s="5">
        <v>2.9890139695813021E-2</v>
      </c>
    </row>
    <row r="33" spans="1:18" ht="14" thickBot="1" x14ac:dyDescent="0.2">
      <c r="A33" s="2" t="s">
        <v>35</v>
      </c>
      <c r="B33" s="2">
        <v>-3.3399999999999999E-2</v>
      </c>
      <c r="C33" s="2">
        <v>7.3099999999999998E-2</v>
      </c>
      <c r="D33" s="2">
        <v>6.7999999999999996E-3</v>
      </c>
      <c r="E33">
        <v>1.402E-3</v>
      </c>
      <c r="F33">
        <f t="shared" si="1"/>
        <v>-3.4802E-2</v>
      </c>
      <c r="G33">
        <f t="shared" si="2"/>
        <v>7.1697999999999998E-2</v>
      </c>
      <c r="H33">
        <f t="shared" si="3"/>
        <v>5.398E-3</v>
      </c>
      <c r="I33" s="2"/>
      <c r="J33" s="6" t="s">
        <v>282</v>
      </c>
      <c r="K33" s="11">
        <v>1.3920396367134078</v>
      </c>
      <c r="L33" s="6">
        <v>0.13346766599897072</v>
      </c>
      <c r="M33" s="6">
        <v>10.429789314845312</v>
      </c>
      <c r="N33" s="6">
        <v>1.3414449099888974E-21</v>
      </c>
      <c r="O33" s="6">
        <v>1.1292611320323478</v>
      </c>
      <c r="P33" s="6">
        <v>1.6548181413944678</v>
      </c>
      <c r="Q33" s="6">
        <v>1.1292611320323478</v>
      </c>
      <c r="R33" s="6">
        <v>1.6548181413944678</v>
      </c>
    </row>
    <row r="34" spans="1:18" x14ac:dyDescent="0.15">
      <c r="A34" s="2" t="s">
        <v>36</v>
      </c>
      <c r="B34" s="2">
        <v>-1.6899999999999998E-2</v>
      </c>
      <c r="C34" s="2">
        <v>-0.22650000000000001</v>
      </c>
      <c r="D34" s="2">
        <v>-0.10489999999999999</v>
      </c>
      <c r="E34">
        <v>1.4140000000000001E-3</v>
      </c>
      <c r="F34">
        <f t="shared" si="1"/>
        <v>-1.8313999999999997E-2</v>
      </c>
      <c r="G34">
        <f t="shared" si="2"/>
        <v>-0.22791400000000001</v>
      </c>
      <c r="H34">
        <f t="shared" si="3"/>
        <v>-0.10631399999999999</v>
      </c>
      <c r="I34" s="2"/>
    </row>
    <row r="35" spans="1:18" x14ac:dyDescent="0.15">
      <c r="A35" s="2" t="s">
        <v>37</v>
      </c>
      <c r="B35" s="2">
        <v>0.10829999999999999</v>
      </c>
      <c r="C35" s="2">
        <v>0.3538</v>
      </c>
      <c r="D35" s="2">
        <v>8.2299999999999998E-2</v>
      </c>
      <c r="E35">
        <v>1.3340000000000001E-3</v>
      </c>
      <c r="F35">
        <f t="shared" si="1"/>
        <v>0.10696599999999999</v>
      </c>
      <c r="G35">
        <f t="shared" si="2"/>
        <v>0.352466</v>
      </c>
      <c r="H35">
        <f t="shared" si="3"/>
        <v>8.0965999999999996E-2</v>
      </c>
      <c r="I35" s="2"/>
      <c r="J35" s="3" t="s">
        <v>310</v>
      </c>
    </row>
    <row r="36" spans="1:18" x14ac:dyDescent="0.15">
      <c r="A36" s="2" t="s">
        <v>38</v>
      </c>
      <c r="B36" s="2">
        <v>-3.5499999999999997E-2</v>
      </c>
      <c r="C36" s="2">
        <v>0.1031</v>
      </c>
      <c r="D36" s="2">
        <v>6.1699999999999998E-2</v>
      </c>
      <c r="E36">
        <v>1.1660000000000002E-3</v>
      </c>
      <c r="F36">
        <f t="shared" si="1"/>
        <v>-3.6665999999999997E-2</v>
      </c>
      <c r="G36">
        <f t="shared" si="2"/>
        <v>0.101934</v>
      </c>
      <c r="H36">
        <f t="shared" si="3"/>
        <v>6.0533999999999998E-2</v>
      </c>
      <c r="I36" s="2"/>
    </row>
    <row r="37" spans="1:18" x14ac:dyDescent="0.15">
      <c r="A37" s="2" t="s">
        <v>39</v>
      </c>
      <c r="B37" s="2">
        <v>-7.5499999999999998E-2</v>
      </c>
      <c r="C37" s="2">
        <v>-0.1084</v>
      </c>
      <c r="D37" s="2">
        <v>-5.6599999999999998E-2</v>
      </c>
      <c r="E37">
        <v>1.0790000000000001E-3</v>
      </c>
      <c r="F37">
        <f t="shared" si="1"/>
        <v>-7.6578999999999994E-2</v>
      </c>
      <c r="G37">
        <f t="shared" si="2"/>
        <v>-0.10947899999999999</v>
      </c>
      <c r="H37">
        <f t="shared" si="3"/>
        <v>-5.7678999999999994E-2</v>
      </c>
      <c r="I37" s="2"/>
      <c r="J37" s="12" t="s">
        <v>311</v>
      </c>
      <c r="K37" s="13"/>
      <c r="L37" s="9"/>
    </row>
    <row r="38" spans="1:18" x14ac:dyDescent="0.15">
      <c r="A38" s="2" t="s">
        <v>40</v>
      </c>
      <c r="B38" s="2">
        <v>2.0999999999999999E-3</v>
      </c>
      <c r="C38" s="2">
        <v>8.9999999999999993E-3</v>
      </c>
      <c r="D38" s="2">
        <v>-2.46E-2</v>
      </c>
      <c r="E38">
        <v>9.3400000000000004E-4</v>
      </c>
      <c r="F38">
        <f t="shared" si="1"/>
        <v>1.1659999999999999E-3</v>
      </c>
      <c r="G38">
        <f t="shared" si="2"/>
        <v>8.0659999999999985E-3</v>
      </c>
      <c r="H38">
        <f t="shared" si="3"/>
        <v>-2.5534000000000001E-2</v>
      </c>
      <c r="I38" s="2"/>
    </row>
    <row r="39" spans="1:18" x14ac:dyDescent="0.15">
      <c r="A39" s="2" t="s">
        <v>41</v>
      </c>
      <c r="B39" s="2">
        <v>4.53E-2</v>
      </c>
      <c r="C39" s="2">
        <v>-1.2999999999999999E-3</v>
      </c>
      <c r="D39" s="2">
        <v>-1.35E-2</v>
      </c>
      <c r="E39">
        <v>8.7100000000000003E-4</v>
      </c>
      <c r="F39">
        <f t="shared" si="1"/>
        <v>4.4429000000000003E-2</v>
      </c>
      <c r="G39">
        <f t="shared" si="2"/>
        <v>-2.1710000000000002E-3</v>
      </c>
      <c r="H39">
        <f t="shared" si="3"/>
        <v>-1.4371E-2</v>
      </c>
      <c r="I39" s="2"/>
    </row>
    <row r="40" spans="1:18" x14ac:dyDescent="0.15">
      <c r="A40" s="2" t="s">
        <v>42</v>
      </c>
      <c r="B40" s="2">
        <v>-5.8000000000000003E-2</v>
      </c>
      <c r="C40" s="2">
        <v>6.1999999999999998E-3</v>
      </c>
      <c r="D40" s="2">
        <v>2.0999999999999999E-3</v>
      </c>
      <c r="E40">
        <v>1.0200000000000001E-3</v>
      </c>
      <c r="F40">
        <f t="shared" si="1"/>
        <v>-5.9020000000000003E-2</v>
      </c>
      <c r="G40">
        <f t="shared" si="2"/>
        <v>5.1799999999999997E-3</v>
      </c>
      <c r="H40">
        <f t="shared" si="3"/>
        <v>1.0799999999999998E-3</v>
      </c>
      <c r="I40" s="2"/>
      <c r="J40" s="4" t="s">
        <v>315</v>
      </c>
      <c r="K40" s="2">
        <f>_xlfn.VAR.S(D2:D271)</f>
        <v>1.9126342563678923E-3</v>
      </c>
      <c r="L40" t="str">
        <f ca="1">_xlfn.FORMULATEXT(K40)</f>
        <v>=VAR.S(D2:D271)</v>
      </c>
    </row>
    <row r="41" spans="1:18" x14ac:dyDescent="0.15">
      <c r="A41" s="2" t="s">
        <v>43</v>
      </c>
      <c r="B41" s="2">
        <v>5.7000000000000002E-3</v>
      </c>
      <c r="C41" s="2">
        <v>8.2500000000000004E-2</v>
      </c>
      <c r="D41" s="2">
        <v>8.4599999999999995E-2</v>
      </c>
      <c r="E41">
        <v>9.3900000000000006E-4</v>
      </c>
      <c r="F41">
        <f t="shared" si="1"/>
        <v>4.7610000000000005E-3</v>
      </c>
      <c r="G41">
        <f t="shared" si="2"/>
        <v>8.1561000000000008E-2</v>
      </c>
      <c r="H41">
        <f t="shared" si="3"/>
        <v>8.3660999999999999E-2</v>
      </c>
      <c r="I41" s="2"/>
    </row>
    <row r="42" spans="1:18" x14ac:dyDescent="0.15">
      <c r="A42" s="2" t="s">
        <v>44</v>
      </c>
      <c r="B42" s="2">
        <v>0.26229999999999998</v>
      </c>
      <c r="C42" s="2">
        <v>3.8899999999999997E-2</v>
      </c>
      <c r="D42" s="2">
        <v>5.4800000000000001E-2</v>
      </c>
      <c r="E42">
        <v>9.0300000000000005E-4</v>
      </c>
      <c r="F42">
        <f t="shared" si="1"/>
        <v>0.26139699999999999</v>
      </c>
      <c r="G42">
        <f t="shared" si="2"/>
        <v>3.7996999999999996E-2</v>
      </c>
      <c r="H42">
        <f t="shared" si="3"/>
        <v>5.3897E-2</v>
      </c>
      <c r="I42" s="2"/>
      <c r="J42" s="4" t="s">
        <v>312</v>
      </c>
      <c r="K42" s="2"/>
    </row>
    <row r="43" spans="1:18" x14ac:dyDescent="0.15">
      <c r="A43" s="2" t="s">
        <v>45</v>
      </c>
      <c r="B43" s="2">
        <v>6.1800000000000001E-2</v>
      </c>
      <c r="C43" s="2">
        <v>-6.2899999999999998E-2</v>
      </c>
      <c r="D43" s="2">
        <v>1.0699999999999999E-2</v>
      </c>
      <c r="E43">
        <v>9.8400000000000007E-4</v>
      </c>
      <c r="F43">
        <f t="shared" si="1"/>
        <v>6.0816000000000002E-2</v>
      </c>
      <c r="G43">
        <f t="shared" si="2"/>
        <v>-6.3883999999999996E-2</v>
      </c>
      <c r="H43">
        <f t="shared" si="3"/>
        <v>9.7159999999999989E-3</v>
      </c>
      <c r="I43" s="2"/>
      <c r="J43" s="4" t="s">
        <v>313</v>
      </c>
      <c r="K43" s="2">
        <f>K6</f>
        <v>1.2935520528156408E-2</v>
      </c>
      <c r="L43" t="str">
        <f ca="1">_xlfn.FORMULATEXT(K43)</f>
        <v>=K6</v>
      </c>
    </row>
    <row r="44" spans="1:18" x14ac:dyDescent="0.15">
      <c r="A44" s="2" t="s">
        <v>46</v>
      </c>
      <c r="B44" s="2">
        <v>0.106</v>
      </c>
      <c r="C44" s="2">
        <v>-1.52E-2</v>
      </c>
      <c r="D44" s="2">
        <v>1.7999999999999999E-2</v>
      </c>
      <c r="E44">
        <v>6.7400000000000001E-4</v>
      </c>
      <c r="F44">
        <f t="shared" si="1"/>
        <v>0.105326</v>
      </c>
      <c r="G44">
        <f t="shared" si="2"/>
        <v>-1.5873999999999999E-2</v>
      </c>
      <c r="H44">
        <f t="shared" si="3"/>
        <v>1.7325999999999998E-2</v>
      </c>
      <c r="I44" s="2"/>
      <c r="J44" s="4" t="s">
        <v>314</v>
      </c>
      <c r="K44" s="2">
        <f>(K33^2)*K40</f>
        <v>3.7062536032675883E-3</v>
      </c>
      <c r="L44" t="str">
        <f ca="1">_xlfn.FORMULATEXT(K44)</f>
        <v>=(K33^2)*K40</v>
      </c>
    </row>
    <row r="45" spans="1:18" x14ac:dyDescent="0.15">
      <c r="A45" s="2" t="s">
        <v>47</v>
      </c>
      <c r="B45" s="2">
        <v>7.2599999999999998E-2</v>
      </c>
      <c r="C45" s="2">
        <v>1.14E-2</v>
      </c>
      <c r="D45" s="2">
        <v>2.06E-2</v>
      </c>
      <c r="E45">
        <v>6.8900000000000005E-4</v>
      </c>
      <c r="F45">
        <f t="shared" si="1"/>
        <v>7.1911000000000003E-2</v>
      </c>
      <c r="G45">
        <f t="shared" si="2"/>
        <v>1.0711E-2</v>
      </c>
      <c r="H45">
        <f t="shared" si="3"/>
        <v>1.9911000000000002E-2</v>
      </c>
      <c r="I45" s="2"/>
      <c r="J45" s="4" t="s">
        <v>316</v>
      </c>
      <c r="K45" s="2">
        <f>K43-K44</f>
        <v>9.2292669248888199E-3</v>
      </c>
      <c r="L45" t="str">
        <f ca="1">_xlfn.FORMULATEXT(K45)</f>
        <v>=K43-K44</v>
      </c>
    </row>
    <row r="46" spans="1:18" x14ac:dyDescent="0.15">
      <c r="A46" s="2" t="s">
        <v>48</v>
      </c>
      <c r="B46" s="2">
        <v>-8.3599999999999994E-2</v>
      </c>
      <c r="C46" s="2">
        <v>7.7100000000000002E-2</v>
      </c>
      <c r="D46" s="2">
        <v>-1.09E-2</v>
      </c>
      <c r="E46">
        <v>8.6499999999999999E-4</v>
      </c>
      <c r="F46">
        <f t="shared" si="1"/>
        <v>-8.4464999999999998E-2</v>
      </c>
      <c r="G46">
        <f t="shared" si="2"/>
        <v>7.6234999999999997E-2</v>
      </c>
      <c r="H46">
        <f t="shared" si="3"/>
        <v>-1.1764999999999999E-2</v>
      </c>
      <c r="I46" s="2"/>
      <c r="J46" s="2"/>
      <c r="K46" s="2"/>
    </row>
    <row r="47" spans="1:18" x14ac:dyDescent="0.15">
      <c r="A47" s="2" t="s">
        <v>49</v>
      </c>
      <c r="B47" s="2">
        <v>0.1047</v>
      </c>
      <c r="C47" s="2">
        <v>1.2999999999999999E-2</v>
      </c>
      <c r="D47" s="2">
        <v>5.3499999999999999E-2</v>
      </c>
      <c r="E47">
        <v>6.9999999999999999E-4</v>
      </c>
      <c r="F47">
        <f t="shared" si="1"/>
        <v>0.104</v>
      </c>
      <c r="G47">
        <f t="shared" si="2"/>
        <v>1.23E-2</v>
      </c>
      <c r="H47">
        <f t="shared" si="3"/>
        <v>5.28E-2</v>
      </c>
      <c r="I47" s="2"/>
      <c r="J47" s="2"/>
      <c r="K47" s="2"/>
    </row>
    <row r="48" spans="1:18" x14ac:dyDescent="0.15">
      <c r="A48" s="2" t="s">
        <v>50</v>
      </c>
      <c r="B48" s="2">
        <v>-8.6499999999999994E-2</v>
      </c>
      <c r="C48" s="2">
        <v>1.37E-2</v>
      </c>
      <c r="D48" s="2">
        <v>1.09E-2</v>
      </c>
      <c r="E48">
        <v>7.2500000000000006E-4</v>
      </c>
      <c r="F48">
        <f t="shared" si="1"/>
        <v>-8.7224999999999997E-2</v>
      </c>
      <c r="G48">
        <f t="shared" si="2"/>
        <v>1.2975E-2</v>
      </c>
      <c r="H48">
        <f t="shared" si="3"/>
        <v>1.0175E-2</v>
      </c>
      <c r="I48" s="2"/>
      <c r="J48" s="2"/>
      <c r="K48" s="2"/>
    </row>
    <row r="49" spans="1:11" x14ac:dyDescent="0.15">
      <c r="A49" s="2" t="s">
        <v>51</v>
      </c>
      <c r="B49" s="2">
        <v>2.1999999999999999E-2</v>
      </c>
      <c r="C49" s="2">
        <v>2.3599999999999999E-2</v>
      </c>
      <c r="D49" s="2">
        <v>5.0299999999999997E-2</v>
      </c>
      <c r="E49">
        <v>8.3100000000000003E-4</v>
      </c>
      <c r="F49">
        <f t="shared" si="1"/>
        <v>2.1169E-2</v>
      </c>
      <c r="G49">
        <f t="shared" si="2"/>
        <v>2.2769000000000001E-2</v>
      </c>
      <c r="H49">
        <f t="shared" si="3"/>
        <v>4.9468999999999999E-2</v>
      </c>
      <c r="I49" s="2"/>
      <c r="J49" s="2"/>
      <c r="K49" s="2"/>
    </row>
    <row r="50" spans="1:11" x14ac:dyDescent="0.15">
      <c r="A50" s="2" t="s">
        <v>52</v>
      </c>
      <c r="B50" s="2">
        <v>5.57E-2</v>
      </c>
      <c r="C50" s="2">
        <v>7.0699999999999999E-2</v>
      </c>
      <c r="D50" s="2">
        <v>1.9800000000000002E-2</v>
      </c>
      <c r="E50">
        <v>6.96E-4</v>
      </c>
      <c r="F50">
        <f t="shared" si="1"/>
        <v>5.5003999999999997E-2</v>
      </c>
      <c r="G50">
        <f t="shared" si="2"/>
        <v>7.0003999999999997E-2</v>
      </c>
      <c r="H50">
        <f t="shared" si="3"/>
        <v>1.9104000000000003E-2</v>
      </c>
      <c r="I50" s="2"/>
      <c r="J50" s="2"/>
      <c r="K50" s="2"/>
    </row>
    <row r="51" spans="1:11" x14ac:dyDescent="0.15">
      <c r="A51" s="2" t="s">
        <v>53</v>
      </c>
      <c r="B51" s="2">
        <v>6.0299999999999999E-2</v>
      </c>
      <c r="C51" s="2">
        <v>-2.5899999999999999E-2</v>
      </c>
      <c r="D51" s="2">
        <v>1.3599999999999999E-2</v>
      </c>
      <c r="E51">
        <v>6.2300000000000007E-4</v>
      </c>
      <c r="F51">
        <f t="shared" si="1"/>
        <v>5.9677000000000001E-2</v>
      </c>
      <c r="G51">
        <f t="shared" si="2"/>
        <v>-2.6522999999999998E-2</v>
      </c>
      <c r="H51">
        <f t="shared" si="3"/>
        <v>1.2976999999999999E-2</v>
      </c>
      <c r="I51" s="2"/>
      <c r="J51" s="2"/>
      <c r="K51" s="2"/>
    </row>
    <row r="52" spans="1:11" x14ac:dyDescent="0.15">
      <c r="A52" s="2" t="s">
        <v>54</v>
      </c>
      <c r="B52" s="2">
        <v>0.13039999999999999</v>
      </c>
      <c r="C52" s="2">
        <v>-4.8300000000000003E-2</v>
      </c>
      <c r="D52" s="2">
        <v>-1.32E-2</v>
      </c>
      <c r="E52">
        <v>8.4400000000000002E-4</v>
      </c>
      <c r="F52">
        <f t="shared" si="1"/>
        <v>0.12955599999999998</v>
      </c>
      <c r="G52">
        <f t="shared" si="2"/>
        <v>-4.9144E-2</v>
      </c>
      <c r="H52">
        <f t="shared" si="3"/>
        <v>-1.4043999999999999E-2</v>
      </c>
      <c r="I52" s="2"/>
      <c r="J52" s="2"/>
      <c r="K52" s="2"/>
    </row>
    <row r="53" spans="1:11" x14ac:dyDescent="0.15">
      <c r="A53" s="2" t="s">
        <v>55</v>
      </c>
      <c r="B53" s="2">
        <v>-4.6600000000000003E-2</v>
      </c>
      <c r="C53" s="2">
        <v>-0.04</v>
      </c>
      <c r="D53" s="2">
        <v>-1.89E-2</v>
      </c>
      <c r="E53">
        <v>7.9500000000000003E-4</v>
      </c>
      <c r="F53">
        <f t="shared" si="1"/>
        <v>-4.7395E-2</v>
      </c>
      <c r="G53">
        <f t="shared" si="2"/>
        <v>-4.0794999999999998E-2</v>
      </c>
      <c r="H53">
        <f t="shared" si="3"/>
        <v>-1.9695000000000001E-2</v>
      </c>
      <c r="I53" s="2"/>
      <c r="J53" s="2"/>
      <c r="K53" s="2"/>
    </row>
    <row r="54" spans="1:11" x14ac:dyDescent="0.15">
      <c r="A54" s="2" t="s">
        <v>56</v>
      </c>
      <c r="B54" s="2">
        <v>8.8400000000000006E-2</v>
      </c>
      <c r="C54" s="2">
        <v>6.7999999999999996E-3</v>
      </c>
      <c r="D54" s="2">
        <v>1.7100000000000001E-2</v>
      </c>
      <c r="E54">
        <v>6.0300000000000002E-4</v>
      </c>
      <c r="F54">
        <f t="shared" si="1"/>
        <v>8.7797E-2</v>
      </c>
      <c r="G54">
        <f t="shared" si="2"/>
        <v>6.1969999999999994E-3</v>
      </c>
      <c r="H54">
        <f t="shared" si="3"/>
        <v>1.6497000000000001E-2</v>
      </c>
      <c r="I54" s="2"/>
      <c r="J54" s="2"/>
      <c r="K54" s="2"/>
    </row>
    <row r="55" spans="1:11" x14ac:dyDescent="0.15">
      <c r="A55" s="2" t="s">
        <v>57</v>
      </c>
      <c r="B55" s="2">
        <v>0.15970000000000001</v>
      </c>
      <c r="C55" s="2">
        <v>-5.0000000000000001E-3</v>
      </c>
      <c r="D55" s="2">
        <v>1.8499999999999999E-2</v>
      </c>
      <c r="E55">
        <v>8.1700000000000002E-4</v>
      </c>
      <c r="F55">
        <f t="shared" si="1"/>
        <v>0.158883</v>
      </c>
      <c r="G55">
        <f t="shared" si="2"/>
        <v>-5.8170000000000001E-3</v>
      </c>
      <c r="H55">
        <f t="shared" si="3"/>
        <v>1.7682999999999997E-2</v>
      </c>
      <c r="I55" s="2"/>
      <c r="J55" s="2"/>
      <c r="K55" s="2"/>
    </row>
    <row r="56" spans="1:11" x14ac:dyDescent="0.15">
      <c r="A56" s="2" t="s">
        <v>58</v>
      </c>
      <c r="B56" s="2">
        <v>-6.1000000000000004E-3</v>
      </c>
      <c r="C56" s="2">
        <v>-1.23E-2</v>
      </c>
      <c r="D56" s="2">
        <v>-3.2199999999999999E-2</v>
      </c>
      <c r="E56">
        <v>9.19E-4</v>
      </c>
      <c r="F56">
        <f t="shared" si="1"/>
        <v>-7.0190000000000001E-3</v>
      </c>
      <c r="G56">
        <f t="shared" si="2"/>
        <v>-1.3219E-2</v>
      </c>
      <c r="H56">
        <f t="shared" si="3"/>
        <v>-3.3119000000000003E-2</v>
      </c>
      <c r="I56" s="2"/>
      <c r="J56" s="2"/>
      <c r="K56" s="2"/>
    </row>
    <row r="57" spans="1:11" x14ac:dyDescent="0.15">
      <c r="A57" s="2" t="s">
        <v>59</v>
      </c>
      <c r="B57" s="2">
        <v>6.6500000000000004E-2</v>
      </c>
      <c r="C57" s="2">
        <v>-2.52E-2</v>
      </c>
      <c r="D57" s="2">
        <v>2.3999999999999998E-3</v>
      </c>
      <c r="E57">
        <v>1.116E-3</v>
      </c>
      <c r="F57">
        <f t="shared" si="1"/>
        <v>6.5383999999999998E-2</v>
      </c>
      <c r="G57">
        <f t="shared" si="2"/>
        <v>-2.6315999999999999E-2</v>
      </c>
      <c r="H57">
        <f t="shared" si="3"/>
        <v>1.2839999999999998E-3</v>
      </c>
      <c r="I57" s="2"/>
      <c r="J57" s="2"/>
      <c r="K57" s="2"/>
    </row>
    <row r="58" spans="1:11" x14ac:dyDescent="0.15">
      <c r="A58" s="2" t="s">
        <v>60</v>
      </c>
      <c r="B58" s="2">
        <v>0.1235</v>
      </c>
      <c r="C58" s="2">
        <v>1.24E-2</v>
      </c>
      <c r="D58" s="2">
        <v>0.01</v>
      </c>
      <c r="E58">
        <v>1.1850000000000001E-3</v>
      </c>
      <c r="F58">
        <f t="shared" si="1"/>
        <v>0.12231499999999999</v>
      </c>
      <c r="G58">
        <f t="shared" si="2"/>
        <v>1.1214999999999999E-2</v>
      </c>
      <c r="H58">
        <f t="shared" si="3"/>
        <v>8.8149999999999999E-3</v>
      </c>
      <c r="I58" s="2"/>
      <c r="J58" s="2"/>
      <c r="K58" s="2"/>
    </row>
    <row r="59" spans="1:11" x14ac:dyDescent="0.15">
      <c r="A59" s="2" t="s">
        <v>61</v>
      </c>
      <c r="B59" s="2">
        <v>0.3523</v>
      </c>
      <c r="C59" s="2">
        <v>4.6800000000000001E-2</v>
      </c>
      <c r="D59" s="2">
        <v>1.29E-2</v>
      </c>
      <c r="E59">
        <v>1.129E-3</v>
      </c>
      <c r="F59">
        <f t="shared" si="1"/>
        <v>0.35117100000000001</v>
      </c>
      <c r="G59">
        <f t="shared" si="2"/>
        <v>4.5671000000000003E-2</v>
      </c>
      <c r="H59">
        <f t="shared" si="3"/>
        <v>1.1771E-2</v>
      </c>
      <c r="I59" s="2"/>
      <c r="J59" s="2"/>
      <c r="K59" s="2"/>
    </row>
    <row r="60" spans="1:11" x14ac:dyDescent="0.15">
      <c r="A60" s="2" t="s">
        <v>62</v>
      </c>
      <c r="B60" s="2">
        <v>0.27960000000000002</v>
      </c>
      <c r="C60" s="2">
        <v>5.21E-2</v>
      </c>
      <c r="D60" s="2">
        <v>4.4499999999999998E-2</v>
      </c>
      <c r="E60">
        <v>1.5410000000000001E-3</v>
      </c>
      <c r="F60">
        <f t="shared" si="1"/>
        <v>0.278059</v>
      </c>
      <c r="G60">
        <f t="shared" si="2"/>
        <v>5.0559E-2</v>
      </c>
      <c r="H60">
        <f t="shared" si="3"/>
        <v>4.2958999999999997E-2</v>
      </c>
      <c r="I60" s="2"/>
      <c r="J60" s="2"/>
      <c r="K60" s="2"/>
    </row>
    <row r="61" spans="1:11" x14ac:dyDescent="0.15">
      <c r="A61" s="2" t="s">
        <v>63</v>
      </c>
      <c r="B61" s="2">
        <v>-3.95E-2</v>
      </c>
      <c r="C61" s="2">
        <v>4.6100000000000002E-2</v>
      </c>
      <c r="D61" s="2">
        <v>3.0200000000000001E-2</v>
      </c>
      <c r="E61">
        <v>1.6720000000000001E-3</v>
      </c>
      <c r="F61">
        <f t="shared" si="1"/>
        <v>-4.1172E-2</v>
      </c>
      <c r="G61">
        <f t="shared" si="2"/>
        <v>4.4428000000000002E-2</v>
      </c>
      <c r="H61">
        <f t="shared" si="3"/>
        <v>2.8528000000000001E-2</v>
      </c>
      <c r="I61" s="2"/>
      <c r="J61" s="2"/>
      <c r="K61" s="2"/>
    </row>
    <row r="62" spans="1:11" x14ac:dyDescent="0.15">
      <c r="A62" s="2" t="s">
        <v>64</v>
      </c>
      <c r="B62" s="2">
        <v>0.19409999999999999</v>
      </c>
      <c r="C62" s="2">
        <v>-5.2299999999999999E-2</v>
      </c>
      <c r="D62" s="2">
        <v>-2.24E-2</v>
      </c>
      <c r="E62">
        <v>1.6610000000000001E-3</v>
      </c>
      <c r="F62">
        <f t="shared" si="1"/>
        <v>0.192439</v>
      </c>
      <c r="G62">
        <f t="shared" si="2"/>
        <v>-5.3961000000000002E-2</v>
      </c>
      <c r="H62">
        <f t="shared" si="3"/>
        <v>-2.4060999999999999E-2</v>
      </c>
      <c r="I62" s="2"/>
      <c r="J62" s="2"/>
      <c r="K62" s="2"/>
    </row>
    <row r="63" spans="1:11" x14ac:dyDescent="0.15">
      <c r="A63" s="2" t="s">
        <v>65</v>
      </c>
      <c r="B63" s="2">
        <v>0.16669999999999999</v>
      </c>
      <c r="C63" s="2">
        <v>-7.1000000000000004E-3</v>
      </c>
      <c r="D63" s="2">
        <v>2.0899999999999998E-2</v>
      </c>
      <c r="E63">
        <v>1.6410000000000001E-3</v>
      </c>
      <c r="F63">
        <f t="shared" si="1"/>
        <v>0.16505899999999998</v>
      </c>
      <c r="G63">
        <f t="shared" si="2"/>
        <v>-8.7410000000000005E-3</v>
      </c>
      <c r="H63">
        <f t="shared" si="3"/>
        <v>1.9258999999999998E-2</v>
      </c>
      <c r="I63" s="2"/>
      <c r="J63" s="2"/>
      <c r="K63" s="2"/>
    </row>
    <row r="64" spans="1:11" x14ac:dyDescent="0.15">
      <c r="A64" s="2" t="s">
        <v>66</v>
      </c>
      <c r="B64" s="2">
        <v>-7.1099999999999997E-2</v>
      </c>
      <c r="C64" s="2">
        <v>-1.2999999999999999E-2</v>
      </c>
      <c r="D64" s="2">
        <v>-1.83E-2</v>
      </c>
      <c r="E64">
        <v>2.1230000000000003E-3</v>
      </c>
      <c r="F64">
        <f t="shared" si="1"/>
        <v>-7.3222999999999996E-2</v>
      </c>
      <c r="G64">
        <f t="shared" si="2"/>
        <v>-1.5122999999999999E-2</v>
      </c>
      <c r="H64">
        <f t="shared" si="3"/>
        <v>-2.0423E-2</v>
      </c>
      <c r="I64" s="2"/>
      <c r="J64" s="2"/>
      <c r="K64" s="2"/>
    </row>
    <row r="65" spans="1:11" x14ac:dyDescent="0.15">
      <c r="A65" s="2" t="s">
        <v>67</v>
      </c>
      <c r="B65" s="2">
        <v>-0.1346</v>
      </c>
      <c r="C65" s="2">
        <v>-0.16420000000000001</v>
      </c>
      <c r="D65" s="2">
        <v>-1.8700000000000001E-2</v>
      </c>
      <c r="E65">
        <v>2.0720000000000001E-3</v>
      </c>
      <c r="F65">
        <f t="shared" si="1"/>
        <v>-0.13667199999999999</v>
      </c>
      <c r="G65">
        <f t="shared" si="2"/>
        <v>-0.166272</v>
      </c>
      <c r="H65">
        <f t="shared" si="3"/>
        <v>-2.0772000000000002E-2</v>
      </c>
      <c r="I65" s="2"/>
      <c r="J65" s="2"/>
      <c r="K65" s="2"/>
    </row>
    <row r="66" spans="1:11" x14ac:dyDescent="0.15">
      <c r="A66" s="2" t="s">
        <v>68</v>
      </c>
      <c r="B66" s="2">
        <v>0.1026</v>
      </c>
      <c r="C66" s="2">
        <v>-8.2000000000000007E-3</v>
      </c>
      <c r="D66" s="2">
        <v>3.2199999999999999E-2</v>
      </c>
      <c r="E66">
        <v>2.395E-3</v>
      </c>
      <c r="F66">
        <f t="shared" si="1"/>
        <v>0.100205</v>
      </c>
      <c r="G66">
        <f t="shared" si="2"/>
        <v>-1.0595E-2</v>
      </c>
      <c r="H66">
        <f t="shared" si="3"/>
        <v>2.9804999999999998E-2</v>
      </c>
      <c r="I66" s="2"/>
      <c r="J66" s="2"/>
      <c r="K66" s="2"/>
    </row>
    <row r="67" spans="1:11" x14ac:dyDescent="0.15">
      <c r="A67" s="2" t="s">
        <v>69</v>
      </c>
      <c r="B67" s="2">
        <v>-7.4200000000000002E-2</v>
      </c>
      <c r="C67" s="2">
        <v>-1.7899999999999999E-2</v>
      </c>
      <c r="D67" s="2">
        <v>1.5E-3</v>
      </c>
      <c r="E67">
        <v>2.2630000000000003E-3</v>
      </c>
      <c r="F67">
        <f t="shared" ref="F67:F130" si="5">B67-$E67</f>
        <v>-7.6463000000000003E-2</v>
      </c>
      <c r="G67">
        <f t="shared" ref="G67:G130" si="6">C67-$E67</f>
        <v>-2.0163E-2</v>
      </c>
      <c r="H67">
        <f t="shared" ref="H67:H130" si="7">D67-$E67</f>
        <v>-7.6300000000000022E-4</v>
      </c>
      <c r="I67" s="2"/>
      <c r="J67" s="2"/>
      <c r="K67" s="2"/>
    </row>
    <row r="68" spans="1:11" x14ac:dyDescent="0.15">
      <c r="A68" s="2" t="s">
        <v>70</v>
      </c>
      <c r="B68" s="2">
        <v>0.15870000000000001</v>
      </c>
      <c r="C68" s="2">
        <v>0.12479999999999999</v>
      </c>
      <c r="D68" s="2">
        <v>3.8300000000000001E-2</v>
      </c>
      <c r="E68">
        <v>2.3830000000000001E-3</v>
      </c>
      <c r="F68">
        <f t="shared" si="5"/>
        <v>0.15631700000000001</v>
      </c>
      <c r="G68">
        <f t="shared" si="6"/>
        <v>0.122417</v>
      </c>
      <c r="H68">
        <f t="shared" si="7"/>
        <v>3.5916999999999998E-2</v>
      </c>
      <c r="I68" s="2"/>
      <c r="J68" s="2"/>
      <c r="K68" s="2"/>
    </row>
    <row r="69" spans="1:11" x14ac:dyDescent="0.15">
      <c r="A69" s="2" t="s">
        <v>71</v>
      </c>
      <c r="B69" s="2">
        <v>9.9400000000000002E-2</v>
      </c>
      <c r="C69" s="2">
        <v>-3.1699999999999999E-2</v>
      </c>
      <c r="D69" s="2">
        <v>-9.4000000000000004E-3</v>
      </c>
      <c r="E69">
        <v>2.9200000000000003E-3</v>
      </c>
      <c r="F69">
        <f t="shared" si="5"/>
        <v>9.6479999999999996E-2</v>
      </c>
      <c r="G69">
        <f t="shared" si="6"/>
        <v>-3.4619999999999998E-2</v>
      </c>
      <c r="H69">
        <f t="shared" si="7"/>
        <v>-1.2320000000000001E-2</v>
      </c>
      <c r="I69" s="2"/>
      <c r="J69" s="2"/>
      <c r="K69" s="2"/>
    </row>
    <row r="70" spans="1:11" x14ac:dyDescent="0.15">
      <c r="A70" s="2" t="s">
        <v>72</v>
      </c>
      <c r="B70" s="2">
        <v>0.14330000000000001</v>
      </c>
      <c r="C70" s="2">
        <v>-5.0000000000000001E-3</v>
      </c>
      <c r="D70" s="2">
        <v>8.0000000000000002E-3</v>
      </c>
      <c r="E70">
        <v>2.8480000000000003E-3</v>
      </c>
      <c r="F70">
        <f t="shared" si="5"/>
        <v>0.14045200000000002</v>
      </c>
      <c r="G70">
        <f t="shared" si="6"/>
        <v>-7.8480000000000008E-3</v>
      </c>
      <c r="H70">
        <f t="shared" si="7"/>
        <v>5.1520000000000003E-3</v>
      </c>
      <c r="I70" s="2"/>
      <c r="J70" s="2"/>
      <c r="K70" s="2"/>
    </row>
    <row r="71" spans="1:11" x14ac:dyDescent="0.15">
      <c r="A71" s="2" t="s">
        <v>73</v>
      </c>
      <c r="B71" s="2">
        <v>7.4200000000000002E-2</v>
      </c>
      <c r="C71" s="2">
        <v>2.07E-2</v>
      </c>
      <c r="D71" s="2">
        <v>-2.3699999999999999E-2</v>
      </c>
      <c r="E71">
        <v>2.728E-3</v>
      </c>
      <c r="F71">
        <f t="shared" si="5"/>
        <v>7.1472000000000008E-2</v>
      </c>
      <c r="G71">
        <f t="shared" si="6"/>
        <v>1.7971999999999998E-2</v>
      </c>
      <c r="H71">
        <f t="shared" si="7"/>
        <v>-2.6428E-2</v>
      </c>
      <c r="I71" s="2"/>
      <c r="J71" s="2"/>
      <c r="K71" s="2"/>
    </row>
    <row r="72" spans="1:11" x14ac:dyDescent="0.15">
      <c r="A72" s="2" t="s">
        <v>74</v>
      </c>
      <c r="B72" s="2">
        <v>0.17760000000000001</v>
      </c>
      <c r="C72" s="2">
        <v>8.8300000000000003E-2</v>
      </c>
      <c r="D72" s="2">
        <v>4.3999999999999997E-2</v>
      </c>
      <c r="E72">
        <v>3.0450000000000004E-3</v>
      </c>
      <c r="F72">
        <f t="shared" si="5"/>
        <v>0.17455500000000002</v>
      </c>
      <c r="G72">
        <f t="shared" si="6"/>
        <v>8.5254999999999997E-2</v>
      </c>
      <c r="H72">
        <f t="shared" si="7"/>
        <v>4.0954999999999998E-2</v>
      </c>
      <c r="I72" s="2"/>
      <c r="J72" s="2"/>
      <c r="K72" s="2"/>
    </row>
    <row r="73" spans="1:11" x14ac:dyDescent="0.15">
      <c r="A73" s="2" t="s">
        <v>75</v>
      </c>
      <c r="B73" s="2">
        <v>0.06</v>
      </c>
      <c r="C73" s="2">
        <v>-7.5399999999999995E-2</v>
      </c>
      <c r="D73" s="2">
        <v>-1.9E-3</v>
      </c>
      <c r="E73">
        <v>3.16E-3</v>
      </c>
      <c r="F73">
        <f t="shared" si="5"/>
        <v>5.6839999999999995E-2</v>
      </c>
      <c r="G73">
        <f t="shared" si="6"/>
        <v>-7.8559999999999991E-2</v>
      </c>
      <c r="H73">
        <f t="shared" si="7"/>
        <v>-5.0600000000000003E-3</v>
      </c>
      <c r="I73" s="2"/>
      <c r="J73" s="2"/>
      <c r="K73" s="2"/>
    </row>
    <row r="74" spans="1:11" x14ac:dyDescent="0.15">
      <c r="A74" s="2" t="s">
        <v>76</v>
      </c>
      <c r="B74" s="2">
        <v>5.04E-2</v>
      </c>
      <c r="C74" s="2">
        <v>-1.09E-2</v>
      </c>
      <c r="D74" s="2">
        <v>2.4E-2</v>
      </c>
      <c r="E74">
        <v>3.4880000000000002E-3</v>
      </c>
      <c r="F74">
        <f t="shared" si="5"/>
        <v>4.6912000000000002E-2</v>
      </c>
      <c r="G74">
        <f t="shared" si="6"/>
        <v>-1.4388E-2</v>
      </c>
      <c r="H74">
        <f t="shared" si="7"/>
        <v>2.0511999999999999E-2</v>
      </c>
      <c r="I74" s="2"/>
      <c r="J74" s="2"/>
      <c r="K74" s="2"/>
    </row>
    <row r="75" spans="1:11" x14ac:dyDescent="0.15">
      <c r="A75" s="2" t="s">
        <v>77</v>
      </c>
      <c r="B75" s="2">
        <v>-9.2999999999999999E-2</v>
      </c>
      <c r="C75" s="2">
        <v>-1.06E-2</v>
      </c>
      <c r="D75" s="2">
        <v>5.7000000000000002E-3</v>
      </c>
      <c r="E75">
        <v>3.3220000000000003E-3</v>
      </c>
      <c r="F75">
        <f t="shared" si="5"/>
        <v>-9.6322000000000005E-2</v>
      </c>
      <c r="G75">
        <f t="shared" si="6"/>
        <v>-1.3922E-2</v>
      </c>
      <c r="H75">
        <f t="shared" si="7"/>
        <v>2.3779999999999999E-3</v>
      </c>
      <c r="I75" s="2"/>
      <c r="J75" s="2"/>
      <c r="K75" s="2"/>
    </row>
    <row r="76" spans="1:11" x14ac:dyDescent="0.15">
      <c r="A76" s="2" t="s">
        <v>78</v>
      </c>
      <c r="B76" s="2">
        <v>-8.4199999999999997E-2</v>
      </c>
      <c r="C76" s="2">
        <v>2.7799999999999998E-2</v>
      </c>
      <c r="D76" s="2">
        <v>1.6500000000000001E-2</v>
      </c>
      <c r="E76">
        <v>3.6420000000000003E-3</v>
      </c>
      <c r="F76">
        <f t="shared" si="5"/>
        <v>-8.7842000000000003E-2</v>
      </c>
      <c r="G76">
        <f t="shared" si="6"/>
        <v>2.4157999999999999E-2</v>
      </c>
      <c r="H76">
        <f t="shared" si="7"/>
        <v>1.2858000000000001E-2</v>
      </c>
      <c r="I76" s="2"/>
      <c r="J76" s="2"/>
      <c r="K76" s="2"/>
    </row>
    <row r="77" spans="1:11" x14ac:dyDescent="0.15">
      <c r="A77" s="2" t="s">
        <v>79</v>
      </c>
      <c r="B77" s="2">
        <v>0.12230000000000001</v>
      </c>
      <c r="C77" s="2">
        <v>-1.6000000000000001E-3</v>
      </c>
      <c r="D77" s="2">
        <v>1.26E-2</v>
      </c>
      <c r="E77">
        <v>3.5590000000000001E-3</v>
      </c>
      <c r="F77">
        <f t="shared" si="5"/>
        <v>0.118741</v>
      </c>
      <c r="G77">
        <f t="shared" si="6"/>
        <v>-5.1590000000000004E-3</v>
      </c>
      <c r="H77">
        <f t="shared" si="7"/>
        <v>9.0410000000000004E-3</v>
      </c>
      <c r="I77" s="2"/>
      <c r="J77" s="2"/>
      <c r="K77" s="2"/>
    </row>
    <row r="78" spans="1:11" x14ac:dyDescent="0.15">
      <c r="A78" s="2" t="s">
        <v>80</v>
      </c>
      <c r="B78" s="2">
        <v>-0.15090000000000001</v>
      </c>
      <c r="C78" s="2">
        <v>-2.6100000000000002E-2</v>
      </c>
      <c r="D78" s="2">
        <v>-3.0099999999999998E-2</v>
      </c>
      <c r="E78">
        <v>4.1949999999999999E-3</v>
      </c>
      <c r="F78">
        <f t="shared" si="5"/>
        <v>-0.15509500000000001</v>
      </c>
      <c r="G78">
        <f t="shared" si="6"/>
        <v>-3.0295000000000002E-2</v>
      </c>
      <c r="H78">
        <f t="shared" si="7"/>
        <v>-3.4294999999999999E-2</v>
      </c>
      <c r="I78" s="2"/>
      <c r="J78" s="2"/>
      <c r="K78" s="2"/>
    </row>
    <row r="79" spans="1:11" x14ac:dyDescent="0.15">
      <c r="A79" s="2" t="s">
        <v>81</v>
      </c>
      <c r="B79" s="2">
        <v>-4.1799999999999997E-2</v>
      </c>
      <c r="C79" s="2">
        <v>-3.85E-2</v>
      </c>
      <c r="D79" s="2">
        <v>2.3E-3</v>
      </c>
      <c r="E79">
        <v>3.9700000000000004E-3</v>
      </c>
      <c r="F79">
        <f t="shared" si="5"/>
        <v>-4.5769999999999998E-2</v>
      </c>
      <c r="G79">
        <f t="shared" si="6"/>
        <v>-4.2470000000000001E-2</v>
      </c>
      <c r="H79">
        <f t="shared" si="7"/>
        <v>-1.6700000000000005E-3</v>
      </c>
      <c r="I79" s="2"/>
      <c r="J79" s="2"/>
      <c r="K79" s="2"/>
    </row>
    <row r="80" spans="1:11" x14ac:dyDescent="0.15">
      <c r="A80" s="2" t="s">
        <v>82</v>
      </c>
      <c r="B80" s="2">
        <v>0.1867</v>
      </c>
      <c r="C80" s="2">
        <v>7.7000000000000002E-3</v>
      </c>
      <c r="D80" s="2">
        <v>4.8999999999999998E-3</v>
      </c>
      <c r="E80">
        <v>3.9760000000000004E-3</v>
      </c>
      <c r="F80">
        <f t="shared" si="5"/>
        <v>0.182724</v>
      </c>
      <c r="G80">
        <f t="shared" si="6"/>
        <v>3.7239999999999999E-3</v>
      </c>
      <c r="H80">
        <f t="shared" si="7"/>
        <v>9.2399999999999947E-4</v>
      </c>
      <c r="I80" s="2"/>
      <c r="J80" s="2"/>
      <c r="K80" s="2"/>
    </row>
    <row r="81" spans="1:11" x14ac:dyDescent="0.15">
      <c r="A81" s="2" t="s">
        <v>83</v>
      </c>
      <c r="B81" s="2">
        <v>-1.6000000000000001E-3</v>
      </c>
      <c r="C81" s="2">
        <v>5.0200000000000002E-2</v>
      </c>
      <c r="D81" s="2">
        <v>2.18E-2</v>
      </c>
      <c r="E81">
        <v>4.2830000000000003E-3</v>
      </c>
      <c r="F81">
        <f t="shared" si="5"/>
        <v>-5.8830000000000002E-3</v>
      </c>
      <c r="G81">
        <f t="shared" si="6"/>
        <v>4.5916999999999999E-2</v>
      </c>
      <c r="H81">
        <f t="shared" si="7"/>
        <v>1.7516999999999998E-2</v>
      </c>
      <c r="I81" s="2"/>
      <c r="J81" s="2"/>
      <c r="K81" s="2"/>
    </row>
    <row r="82" spans="1:11" x14ac:dyDescent="0.15">
      <c r="A82" s="2" t="s">
        <v>84</v>
      </c>
      <c r="B82" s="2">
        <v>0.1346</v>
      </c>
      <c r="C82" s="2">
        <v>1.2E-2</v>
      </c>
      <c r="D82" s="2">
        <v>2.7E-2</v>
      </c>
      <c r="E82">
        <v>4.0470000000000002E-3</v>
      </c>
      <c r="F82">
        <f t="shared" si="5"/>
        <v>0.130553</v>
      </c>
      <c r="G82">
        <f t="shared" si="6"/>
        <v>7.953E-3</v>
      </c>
      <c r="H82">
        <f t="shared" si="7"/>
        <v>2.2953000000000001E-2</v>
      </c>
      <c r="I82" s="2"/>
      <c r="J82" s="2"/>
      <c r="K82" s="2"/>
    </row>
    <row r="83" spans="1:11" x14ac:dyDescent="0.15">
      <c r="A83" s="2" t="s">
        <v>85</v>
      </c>
      <c r="B83" s="2">
        <v>5.33E-2</v>
      </c>
      <c r="C83" s="2">
        <v>0.1268</v>
      </c>
      <c r="D83" s="2">
        <v>3.15E-2</v>
      </c>
      <c r="E83">
        <v>4.0760000000000006E-3</v>
      </c>
      <c r="F83">
        <f t="shared" si="5"/>
        <v>4.9223999999999997E-2</v>
      </c>
      <c r="G83">
        <f t="shared" si="6"/>
        <v>0.122724</v>
      </c>
      <c r="H83">
        <f t="shared" si="7"/>
        <v>2.7424E-2</v>
      </c>
      <c r="I83" s="2"/>
      <c r="J83" s="2"/>
      <c r="K83" s="2"/>
    </row>
    <row r="84" spans="1:11" x14ac:dyDescent="0.15">
      <c r="A84" s="2" t="s">
        <v>86</v>
      </c>
      <c r="B84" s="2">
        <v>0.1305</v>
      </c>
      <c r="C84" s="2">
        <v>-1.1999999999999999E-3</v>
      </c>
      <c r="D84" s="2">
        <v>1.9900000000000001E-2</v>
      </c>
      <c r="E84">
        <v>4.2430000000000002E-3</v>
      </c>
      <c r="F84">
        <f t="shared" si="5"/>
        <v>0.12625700000000001</v>
      </c>
      <c r="G84">
        <f t="shared" si="6"/>
        <v>-5.4429999999999999E-3</v>
      </c>
      <c r="H84">
        <f t="shared" si="7"/>
        <v>1.5657000000000001E-2</v>
      </c>
      <c r="I84" s="2"/>
      <c r="J84" s="2"/>
      <c r="K84" s="2"/>
    </row>
    <row r="85" spans="1:11" x14ac:dyDescent="0.15">
      <c r="A85" s="2" t="s">
        <v>87</v>
      </c>
      <c r="B85" s="2">
        <v>-7.4399999999999994E-2</v>
      </c>
      <c r="C85" s="2">
        <v>5.6899999999999999E-2</v>
      </c>
      <c r="D85" s="2">
        <v>1.34E-2</v>
      </c>
      <c r="E85">
        <v>4.0360000000000005E-3</v>
      </c>
      <c r="F85">
        <f t="shared" si="5"/>
        <v>-7.8435999999999992E-2</v>
      </c>
      <c r="G85">
        <f t="shared" si="6"/>
        <v>5.2864000000000001E-2</v>
      </c>
      <c r="H85">
        <f t="shared" si="7"/>
        <v>9.3640000000000008E-3</v>
      </c>
      <c r="I85" s="2"/>
      <c r="J85" s="2"/>
      <c r="K85" s="2"/>
    </row>
    <row r="86" spans="1:11" x14ac:dyDescent="0.15">
      <c r="A86" s="2" t="s">
        <v>88</v>
      </c>
      <c r="B86" s="2">
        <v>1.0500000000000001E-2</v>
      </c>
      <c r="C86" s="2">
        <v>2.06E-2</v>
      </c>
      <c r="D86" s="2">
        <v>1.4999999999999999E-2</v>
      </c>
      <c r="E86">
        <v>4.3280000000000002E-3</v>
      </c>
      <c r="F86">
        <f t="shared" si="5"/>
        <v>6.1720000000000004E-3</v>
      </c>
      <c r="G86">
        <f t="shared" si="6"/>
        <v>1.6272000000000002E-2</v>
      </c>
      <c r="H86">
        <f t="shared" si="7"/>
        <v>1.0671999999999999E-2</v>
      </c>
      <c r="I86" s="2"/>
      <c r="J86" s="2"/>
      <c r="K86" s="2"/>
    </row>
    <row r="87" spans="1:11" x14ac:dyDescent="0.15">
      <c r="A87" s="2" t="s">
        <v>89</v>
      </c>
      <c r="B87" s="2">
        <v>-1.3100000000000001E-2</v>
      </c>
      <c r="C87" s="2">
        <v>-5.9799999999999999E-2</v>
      </c>
      <c r="D87" s="2">
        <v>-1.9599999999999999E-2</v>
      </c>
      <c r="E87">
        <v>3.8370000000000001E-3</v>
      </c>
      <c r="F87">
        <f t="shared" si="5"/>
        <v>-1.6937000000000001E-2</v>
      </c>
      <c r="G87">
        <f t="shared" si="6"/>
        <v>-6.3636999999999999E-2</v>
      </c>
      <c r="H87">
        <f t="shared" si="7"/>
        <v>-2.3436999999999999E-2</v>
      </c>
      <c r="I87" s="2"/>
      <c r="J87" s="2"/>
      <c r="K87" s="2"/>
    </row>
    <row r="88" spans="1:11" x14ac:dyDescent="0.15">
      <c r="A88" s="2" t="s">
        <v>90</v>
      </c>
      <c r="B88" s="2">
        <v>9.8100000000000007E-2</v>
      </c>
      <c r="C88" s="2">
        <v>1.4200000000000001E-2</v>
      </c>
      <c r="D88" s="2">
        <v>1.1599999999999999E-2</v>
      </c>
      <c r="E88">
        <v>4.2570000000000004E-3</v>
      </c>
      <c r="F88">
        <f t="shared" si="5"/>
        <v>9.384300000000001E-2</v>
      </c>
      <c r="G88">
        <f t="shared" si="6"/>
        <v>9.9430000000000004E-3</v>
      </c>
      <c r="H88">
        <f t="shared" si="7"/>
        <v>7.3429999999999988E-3</v>
      </c>
      <c r="I88" s="2"/>
      <c r="J88" s="2"/>
      <c r="K88" s="2"/>
    </row>
    <row r="89" spans="1:11" x14ac:dyDescent="0.15">
      <c r="A89" s="2" t="s">
        <v>91</v>
      </c>
      <c r="B89" s="2">
        <v>7.4200000000000002E-2</v>
      </c>
      <c r="C89" s="2">
        <v>8.43E-2</v>
      </c>
      <c r="D89" s="2">
        <v>4.4299999999999999E-2</v>
      </c>
      <c r="E89">
        <v>4.3480000000000003E-3</v>
      </c>
      <c r="F89">
        <f t="shared" si="5"/>
        <v>6.9851999999999997E-2</v>
      </c>
      <c r="G89">
        <f t="shared" si="6"/>
        <v>7.9951999999999995E-2</v>
      </c>
      <c r="H89">
        <f t="shared" si="7"/>
        <v>3.9952000000000001E-2</v>
      </c>
      <c r="I89" s="2"/>
      <c r="J89" s="2"/>
      <c r="K89" s="2"/>
    </row>
    <row r="90" spans="1:11" x14ac:dyDescent="0.15">
      <c r="A90" s="2" t="s">
        <v>92</v>
      </c>
      <c r="B90" s="2">
        <v>0.21429999999999999</v>
      </c>
      <c r="C90" s="2">
        <v>4.7E-2</v>
      </c>
      <c r="D90" s="2">
        <v>3.39E-2</v>
      </c>
      <c r="E90">
        <v>4.0460000000000001E-3</v>
      </c>
      <c r="F90">
        <f t="shared" si="5"/>
        <v>0.210254</v>
      </c>
      <c r="G90">
        <f t="shared" si="6"/>
        <v>4.2953999999999999E-2</v>
      </c>
      <c r="H90">
        <f t="shared" si="7"/>
        <v>2.9853999999999999E-2</v>
      </c>
      <c r="I90" s="2"/>
      <c r="J90" s="2"/>
      <c r="K90" s="2"/>
    </row>
    <row r="91" spans="1:11" x14ac:dyDescent="0.15">
      <c r="A91" s="2" t="s">
        <v>93</v>
      </c>
      <c r="B91" s="2">
        <v>7.0000000000000001E-3</v>
      </c>
      <c r="C91" s="2">
        <v>-1.2699999999999999E-2</v>
      </c>
      <c r="D91" s="2">
        <v>-1.46E-2</v>
      </c>
      <c r="E91">
        <v>3.9180000000000005E-3</v>
      </c>
      <c r="F91">
        <f t="shared" si="5"/>
        <v>3.0819999999999997E-3</v>
      </c>
      <c r="G91">
        <f t="shared" si="6"/>
        <v>-1.6618000000000001E-2</v>
      </c>
      <c r="H91">
        <f t="shared" si="7"/>
        <v>-1.8518E-2</v>
      </c>
      <c r="I91" s="2"/>
      <c r="J91" s="2"/>
      <c r="K91" s="2"/>
    </row>
    <row r="92" spans="1:11" x14ac:dyDescent="0.15">
      <c r="A92" s="2" t="s">
        <v>94</v>
      </c>
      <c r="B92" s="2">
        <v>7.9600000000000004E-2</v>
      </c>
      <c r="C92" s="2">
        <v>5.1299999999999998E-2</v>
      </c>
      <c r="D92" s="2">
        <v>-3.1300000000000001E-2</v>
      </c>
      <c r="E92">
        <v>3.9620000000000002E-3</v>
      </c>
      <c r="F92">
        <f t="shared" si="5"/>
        <v>7.5638000000000011E-2</v>
      </c>
      <c r="G92">
        <f t="shared" si="6"/>
        <v>4.7337999999999998E-2</v>
      </c>
      <c r="H92">
        <f t="shared" si="7"/>
        <v>-3.5262000000000002E-2</v>
      </c>
      <c r="I92" s="2"/>
      <c r="J92" s="2"/>
      <c r="K92" s="2"/>
    </row>
    <row r="93" spans="1:11" x14ac:dyDescent="0.15">
      <c r="A93" s="2" t="s">
        <v>95</v>
      </c>
      <c r="B93" s="2">
        <v>5.0999999999999997E-2</v>
      </c>
      <c r="C93" s="2">
        <v>5.8299999999999998E-2</v>
      </c>
      <c r="D93" s="2">
        <v>1.2800000000000001E-2</v>
      </c>
      <c r="E93">
        <v>4.2050000000000004E-3</v>
      </c>
      <c r="F93">
        <f t="shared" si="5"/>
        <v>4.6794999999999996E-2</v>
      </c>
      <c r="G93">
        <f t="shared" si="6"/>
        <v>5.4094999999999997E-2</v>
      </c>
      <c r="H93">
        <f t="shared" si="7"/>
        <v>8.5950000000000002E-3</v>
      </c>
      <c r="I93" s="2"/>
      <c r="J93" s="2"/>
      <c r="K93" s="2"/>
    </row>
    <row r="94" spans="1:11" x14ac:dyDescent="0.15">
      <c r="A94" s="2" t="s">
        <v>96</v>
      </c>
      <c r="B94" s="2">
        <v>0.1082</v>
      </c>
      <c r="C94" s="2">
        <v>9.4999999999999998E-3</v>
      </c>
      <c r="D94" s="2">
        <v>3.8699999999999998E-2</v>
      </c>
      <c r="E94">
        <v>3.3470000000000001E-3</v>
      </c>
      <c r="F94">
        <f t="shared" si="5"/>
        <v>0.104853</v>
      </c>
      <c r="G94">
        <f t="shared" si="6"/>
        <v>6.1529999999999996E-3</v>
      </c>
      <c r="H94">
        <f t="shared" si="7"/>
        <v>3.5352999999999996E-2</v>
      </c>
      <c r="I94" s="2"/>
      <c r="J94" s="2"/>
      <c r="K94" s="2"/>
    </row>
    <row r="95" spans="1:11" x14ac:dyDescent="0.15">
      <c r="A95" s="2" t="s">
        <v>97</v>
      </c>
      <c r="B95" s="2">
        <v>0.23769999999999999</v>
      </c>
      <c r="C95" s="2">
        <v>-1.43E-2</v>
      </c>
      <c r="D95" s="2">
        <v>1.3599999999999999E-2</v>
      </c>
      <c r="E95">
        <v>3.212E-3</v>
      </c>
      <c r="F95">
        <f t="shared" si="5"/>
        <v>0.234488</v>
      </c>
      <c r="G95">
        <f t="shared" si="6"/>
        <v>-1.7512E-2</v>
      </c>
      <c r="H95">
        <f t="shared" si="7"/>
        <v>1.0388E-2</v>
      </c>
      <c r="I95" s="2"/>
      <c r="J95" s="2"/>
      <c r="K95" s="2"/>
    </row>
    <row r="96" spans="1:11" x14ac:dyDescent="0.15">
      <c r="A96" s="2" t="s">
        <v>98</v>
      </c>
      <c r="B96" s="2">
        <v>-4.07E-2</v>
      </c>
      <c r="C96" s="2">
        <v>-9.0999999999999998E-2</v>
      </c>
      <c r="D96" s="2">
        <v>-3.8699999999999998E-2</v>
      </c>
      <c r="E96">
        <v>3.395E-3</v>
      </c>
      <c r="F96">
        <f t="shared" si="5"/>
        <v>-4.4095000000000002E-2</v>
      </c>
      <c r="G96">
        <f t="shared" si="6"/>
        <v>-9.4394999999999993E-2</v>
      </c>
      <c r="H96">
        <f t="shared" si="7"/>
        <v>-4.2095E-2</v>
      </c>
      <c r="I96" s="2"/>
      <c r="J96" s="2"/>
      <c r="K96" s="2"/>
    </row>
    <row r="97" spans="1:11" x14ac:dyDescent="0.15">
      <c r="A97" s="2" t="s">
        <v>99</v>
      </c>
      <c r="B97" s="2">
        <v>8.6999999999999994E-2</v>
      </c>
      <c r="C97" s="2">
        <v>2.7799999999999998E-2</v>
      </c>
      <c r="D97" s="2">
        <v>-1.1299999999999999E-2</v>
      </c>
      <c r="E97">
        <v>2.921E-3</v>
      </c>
      <c r="F97">
        <f t="shared" si="5"/>
        <v>8.4078999999999987E-2</v>
      </c>
      <c r="G97">
        <f t="shared" si="6"/>
        <v>2.4878999999999998E-2</v>
      </c>
      <c r="H97">
        <f t="shared" si="7"/>
        <v>-1.4220999999999999E-2</v>
      </c>
      <c r="I97" s="2"/>
      <c r="J97" s="2"/>
      <c r="K97" s="2"/>
    </row>
    <row r="98" spans="1:11" x14ac:dyDescent="0.15">
      <c r="A98" s="2" t="s">
        <v>100</v>
      </c>
      <c r="B98" s="2">
        <v>-0.31659999999999999</v>
      </c>
      <c r="C98" s="2">
        <v>-9.1999999999999998E-3</v>
      </c>
      <c r="D98" s="2">
        <v>-6.0499999999999998E-2</v>
      </c>
      <c r="E98">
        <v>2.4300000000000003E-3</v>
      </c>
      <c r="F98">
        <f t="shared" si="5"/>
        <v>-0.31902999999999998</v>
      </c>
      <c r="G98">
        <f t="shared" si="6"/>
        <v>-1.163E-2</v>
      </c>
      <c r="H98">
        <f t="shared" si="7"/>
        <v>-6.293E-2</v>
      </c>
      <c r="I98" s="2"/>
      <c r="J98" s="2"/>
      <c r="K98" s="2"/>
    </row>
    <row r="99" spans="1:11" x14ac:dyDescent="0.15">
      <c r="A99" s="2" t="s">
        <v>101</v>
      </c>
      <c r="B99" s="2">
        <v>-7.6399999999999996E-2</v>
      </c>
      <c r="C99" s="2">
        <v>6.7100000000000007E-2</v>
      </c>
      <c r="D99" s="2">
        <v>-2.58E-2</v>
      </c>
      <c r="E99">
        <v>1.325E-3</v>
      </c>
      <c r="F99">
        <f t="shared" si="5"/>
        <v>-7.7725000000000002E-2</v>
      </c>
      <c r="G99">
        <f t="shared" si="6"/>
        <v>6.5775E-2</v>
      </c>
      <c r="H99">
        <f t="shared" si="7"/>
        <v>-2.7125E-2</v>
      </c>
      <c r="I99" s="2"/>
      <c r="J99" s="2"/>
      <c r="K99" s="2"/>
    </row>
    <row r="100" spans="1:11" x14ac:dyDescent="0.15">
      <c r="A100" s="2" t="s">
        <v>102</v>
      </c>
      <c r="B100" s="2">
        <v>0.14779999999999999</v>
      </c>
      <c r="C100" s="2">
        <v>1.12E-2</v>
      </c>
      <c r="D100" s="2">
        <v>-8.9999999999999993E-3</v>
      </c>
      <c r="E100">
        <v>1.8690000000000002E-3</v>
      </c>
      <c r="F100">
        <f t="shared" si="5"/>
        <v>0.14593099999999998</v>
      </c>
      <c r="G100">
        <f t="shared" si="6"/>
        <v>9.330999999999999E-3</v>
      </c>
      <c r="H100">
        <f t="shared" si="7"/>
        <v>-1.0869E-2</v>
      </c>
      <c r="I100" s="2"/>
      <c r="J100" s="2"/>
      <c r="K100" s="2"/>
    </row>
    <row r="101" spans="1:11" x14ac:dyDescent="0.15">
      <c r="A101" s="2" t="s">
        <v>103</v>
      </c>
      <c r="B101" s="2">
        <v>0.2122</v>
      </c>
      <c r="C101" s="2">
        <v>4.8300000000000003E-2</v>
      </c>
      <c r="D101" s="2">
        <v>4.7699999999999999E-2</v>
      </c>
      <c r="E101">
        <v>1.0250000000000001E-3</v>
      </c>
      <c r="F101">
        <f t="shared" si="5"/>
        <v>0.211175</v>
      </c>
      <c r="G101">
        <f t="shared" si="6"/>
        <v>4.7275000000000005E-2</v>
      </c>
      <c r="H101">
        <f t="shared" si="7"/>
        <v>4.6675000000000001E-2</v>
      </c>
      <c r="I101" s="2"/>
      <c r="J101" s="2"/>
      <c r="K101" s="2"/>
    </row>
    <row r="102" spans="1:11" x14ac:dyDescent="0.15">
      <c r="A102" s="2" t="s">
        <v>104</v>
      </c>
      <c r="B102" s="2">
        <v>8.5099999999999995E-2</v>
      </c>
      <c r="C102" s="2">
        <v>7.6600000000000001E-2</v>
      </c>
      <c r="D102" s="2">
        <v>1.5100000000000001E-2</v>
      </c>
      <c r="E102">
        <v>9.4600000000000001E-4</v>
      </c>
      <c r="F102">
        <f t="shared" si="5"/>
        <v>8.4153999999999993E-2</v>
      </c>
      <c r="G102">
        <f t="shared" si="6"/>
        <v>7.5653999999999999E-2</v>
      </c>
      <c r="H102">
        <f t="shared" si="7"/>
        <v>1.4154E-2</v>
      </c>
      <c r="I102" s="2"/>
      <c r="J102" s="2"/>
      <c r="K102" s="2"/>
    </row>
    <row r="103" spans="1:11" x14ac:dyDescent="0.15">
      <c r="A103" s="2" t="s">
        <v>105</v>
      </c>
      <c r="B103" s="2">
        <v>-0.1129</v>
      </c>
      <c r="C103" s="2">
        <v>-8.4199999999999997E-2</v>
      </c>
      <c r="D103" s="2">
        <v>-8.3500000000000005E-2</v>
      </c>
      <c r="E103">
        <v>1.75E-3</v>
      </c>
      <c r="F103">
        <f t="shared" si="5"/>
        <v>-0.11465</v>
      </c>
      <c r="G103">
        <f t="shared" si="6"/>
        <v>-8.5949999999999999E-2</v>
      </c>
      <c r="H103">
        <f t="shared" si="7"/>
        <v>-8.5250000000000006E-2</v>
      </c>
      <c r="I103" s="2"/>
      <c r="J103" s="2"/>
      <c r="K103" s="2"/>
    </row>
    <row r="104" spans="1:11" x14ac:dyDescent="0.15">
      <c r="A104" s="2" t="s">
        <v>106</v>
      </c>
      <c r="B104" s="2">
        <v>-5.0700000000000002E-2</v>
      </c>
      <c r="C104" s="2">
        <v>7.9699999999999993E-2</v>
      </c>
      <c r="D104" s="2">
        <v>-8.9999999999999993E-3</v>
      </c>
      <c r="E104">
        <v>1.4400000000000001E-3</v>
      </c>
      <c r="F104">
        <f t="shared" si="5"/>
        <v>-5.2139999999999999E-2</v>
      </c>
      <c r="G104">
        <f t="shared" si="6"/>
        <v>7.8259999999999996E-2</v>
      </c>
      <c r="H104">
        <f t="shared" si="7"/>
        <v>-1.044E-2</v>
      </c>
      <c r="I104" s="2"/>
      <c r="J104" s="2"/>
      <c r="K104" s="2"/>
    </row>
    <row r="105" spans="1:11" x14ac:dyDescent="0.15">
      <c r="A105" s="2" t="s">
        <v>107</v>
      </c>
      <c r="B105" s="2">
        <v>6.6600000000000006E-2</v>
      </c>
      <c r="C105" s="2">
        <v>-4.5199999999999997E-2</v>
      </c>
      <c r="D105" s="2">
        <v>1.55E-2</v>
      </c>
      <c r="E105">
        <v>1.2820000000000002E-3</v>
      </c>
      <c r="F105">
        <f t="shared" si="5"/>
        <v>6.5318000000000001E-2</v>
      </c>
      <c r="G105">
        <f t="shared" si="6"/>
        <v>-4.6481999999999996E-2</v>
      </c>
      <c r="H105">
        <f t="shared" si="7"/>
        <v>1.4218E-2</v>
      </c>
      <c r="I105" s="2"/>
      <c r="J105" s="2"/>
      <c r="K105" s="2"/>
    </row>
    <row r="106" spans="1:11" x14ac:dyDescent="0.15">
      <c r="A106" s="2" t="s">
        <v>108</v>
      </c>
      <c r="B106" s="2">
        <v>-0.3296</v>
      </c>
      <c r="C106" s="2">
        <v>-3.9199999999999999E-2</v>
      </c>
      <c r="D106" s="2">
        <v>-9.4399999999999998E-2</v>
      </c>
      <c r="E106">
        <v>1.5300000000000001E-3</v>
      </c>
      <c r="F106">
        <f t="shared" si="5"/>
        <v>-0.33112999999999998</v>
      </c>
      <c r="G106">
        <f t="shared" si="6"/>
        <v>-4.0730000000000002E-2</v>
      </c>
      <c r="H106">
        <f t="shared" si="7"/>
        <v>-9.5930000000000001E-2</v>
      </c>
      <c r="I106" s="2"/>
      <c r="J106" s="2"/>
      <c r="K106" s="2"/>
    </row>
    <row r="107" spans="1:11" x14ac:dyDescent="0.15">
      <c r="A107" s="2" t="s">
        <v>109</v>
      </c>
      <c r="B107" s="2">
        <v>-5.3400000000000003E-2</v>
      </c>
      <c r="C107" s="2">
        <v>-0.2051</v>
      </c>
      <c r="D107" s="2">
        <v>-0.16520000000000001</v>
      </c>
      <c r="E107">
        <v>7.9200000000000006E-4</v>
      </c>
      <c r="F107">
        <f t="shared" si="5"/>
        <v>-5.4192000000000004E-2</v>
      </c>
      <c r="G107">
        <f t="shared" si="6"/>
        <v>-0.20589199999999999</v>
      </c>
      <c r="H107">
        <f t="shared" si="7"/>
        <v>-0.165992</v>
      </c>
      <c r="I107" s="2"/>
      <c r="J107" s="2"/>
      <c r="K107" s="2"/>
    </row>
    <row r="108" spans="1:11" x14ac:dyDescent="0.15">
      <c r="A108" s="2" t="s">
        <v>110</v>
      </c>
      <c r="B108" s="2">
        <v>-0.13869999999999999</v>
      </c>
      <c r="C108" s="2">
        <v>-0.1171</v>
      </c>
      <c r="D108" s="2">
        <v>-6.9599999999999995E-2</v>
      </c>
      <c r="E108">
        <v>2.2800000000000001E-4</v>
      </c>
      <c r="F108">
        <f t="shared" si="5"/>
        <v>-0.138928</v>
      </c>
      <c r="G108">
        <f t="shared" si="6"/>
        <v>-0.117328</v>
      </c>
      <c r="H108">
        <f t="shared" si="7"/>
        <v>-6.9828000000000001E-2</v>
      </c>
      <c r="I108" s="2"/>
      <c r="J108" s="2"/>
      <c r="K108" s="2"/>
    </row>
    <row r="109" spans="1:11" x14ac:dyDescent="0.15">
      <c r="A109" s="2" t="s">
        <v>111</v>
      </c>
      <c r="B109" s="2">
        <v>-7.9000000000000001E-2</v>
      </c>
      <c r="C109" s="2">
        <v>3.1399999999999997E-2</v>
      </c>
      <c r="D109" s="2">
        <v>9.7999999999999997E-3</v>
      </c>
      <c r="E109">
        <v>2.8999999999999997E-5</v>
      </c>
      <c r="F109">
        <f t="shared" si="5"/>
        <v>-7.9029000000000002E-2</v>
      </c>
      <c r="G109">
        <f t="shared" si="6"/>
        <v>3.1370999999999996E-2</v>
      </c>
      <c r="H109">
        <f t="shared" si="7"/>
        <v>9.7710000000000002E-3</v>
      </c>
      <c r="I109" s="2"/>
      <c r="J109" s="2"/>
      <c r="K109" s="2"/>
    </row>
    <row r="110" spans="1:11" x14ac:dyDescent="0.15">
      <c r="A110" s="2" t="s">
        <v>112</v>
      </c>
      <c r="B110" s="2">
        <v>5.6000000000000001E-2</v>
      </c>
      <c r="C110" s="2">
        <v>8.8999999999999996E-2</v>
      </c>
      <c r="D110" s="2">
        <v>-8.2100000000000006E-2</v>
      </c>
      <c r="E110">
        <v>2.3E-5</v>
      </c>
      <c r="F110">
        <f t="shared" si="5"/>
        <v>5.5976999999999999E-2</v>
      </c>
      <c r="G110">
        <f t="shared" si="6"/>
        <v>8.8977000000000001E-2</v>
      </c>
      <c r="H110">
        <f t="shared" si="7"/>
        <v>-8.2123000000000002E-2</v>
      </c>
      <c r="I110" s="2"/>
      <c r="J110" s="2"/>
      <c r="K110" s="2"/>
    </row>
    <row r="111" spans="1:11" x14ac:dyDescent="0.15">
      <c r="A111" s="2" t="s">
        <v>113</v>
      </c>
      <c r="B111" s="2">
        <v>-9.1000000000000004E-3</v>
      </c>
      <c r="C111" s="2">
        <v>9.4000000000000004E-3</v>
      </c>
      <c r="D111" s="2">
        <v>-0.1074</v>
      </c>
      <c r="E111">
        <v>1.47E-4</v>
      </c>
      <c r="F111">
        <f t="shared" si="5"/>
        <v>-9.247E-3</v>
      </c>
      <c r="G111">
        <f t="shared" si="6"/>
        <v>9.2530000000000008E-3</v>
      </c>
      <c r="H111">
        <f t="shared" si="7"/>
        <v>-0.10754699999999999</v>
      </c>
      <c r="I111" s="2"/>
      <c r="J111" s="2"/>
      <c r="K111" s="2"/>
    </row>
    <row r="112" spans="1:11" x14ac:dyDescent="0.15">
      <c r="A112" s="2" t="s">
        <v>114</v>
      </c>
      <c r="B112" s="2">
        <v>0.17699999999999999</v>
      </c>
      <c r="C112" s="2">
        <v>5.28E-2</v>
      </c>
      <c r="D112" s="2">
        <v>8.3500000000000005E-2</v>
      </c>
      <c r="E112">
        <v>1.5900000000000002E-4</v>
      </c>
      <c r="F112">
        <f t="shared" si="5"/>
        <v>0.176841</v>
      </c>
      <c r="G112">
        <f t="shared" si="6"/>
        <v>5.2641E-2</v>
      </c>
      <c r="H112">
        <f t="shared" si="7"/>
        <v>8.3340999999999998E-2</v>
      </c>
      <c r="I112" s="2"/>
      <c r="J112" s="2"/>
      <c r="K112" s="2"/>
    </row>
    <row r="113" spans="1:11" x14ac:dyDescent="0.15">
      <c r="A113" s="2" t="s">
        <v>115</v>
      </c>
      <c r="B113" s="2">
        <v>0.19700000000000001</v>
      </c>
      <c r="C113" s="2">
        <v>6.5199999999999994E-2</v>
      </c>
      <c r="D113" s="2">
        <v>9.9299999999999999E-2</v>
      </c>
      <c r="E113">
        <v>1.25E-4</v>
      </c>
      <c r="F113">
        <f t="shared" si="5"/>
        <v>0.19687500000000002</v>
      </c>
      <c r="G113">
        <f t="shared" si="6"/>
        <v>6.5074999999999994E-2</v>
      </c>
      <c r="H113">
        <f t="shared" si="7"/>
        <v>9.9174999999999999E-2</v>
      </c>
      <c r="I113" s="2"/>
      <c r="J113" s="2"/>
      <c r="K113" s="2"/>
    </row>
    <row r="114" spans="1:11" x14ac:dyDescent="0.15">
      <c r="A114" s="2" t="s">
        <v>116</v>
      </c>
      <c r="B114" s="2">
        <v>7.9299999999999995E-2</v>
      </c>
      <c r="C114" s="2">
        <v>3.5200000000000002E-2</v>
      </c>
      <c r="D114" s="2">
        <v>5.8500000000000003E-2</v>
      </c>
      <c r="E114">
        <v>1.7E-5</v>
      </c>
      <c r="F114">
        <f t="shared" si="5"/>
        <v>7.9282999999999992E-2</v>
      </c>
      <c r="G114">
        <f t="shared" si="6"/>
        <v>3.5182999999999999E-2</v>
      </c>
      <c r="H114">
        <f t="shared" si="7"/>
        <v>5.8483E-2</v>
      </c>
      <c r="I114" s="2"/>
      <c r="J114" s="2"/>
      <c r="K114" s="2"/>
    </row>
    <row r="115" spans="1:11" x14ac:dyDescent="0.15">
      <c r="A115" s="2" t="s">
        <v>117</v>
      </c>
      <c r="B115" s="2">
        <v>4.87E-2</v>
      </c>
      <c r="C115" s="2">
        <v>-1.7500000000000002E-2</v>
      </c>
      <c r="D115" s="2">
        <v>-6.9999999999999999E-4</v>
      </c>
      <c r="E115">
        <v>7.4999999999999993E-5</v>
      </c>
      <c r="F115">
        <f t="shared" si="5"/>
        <v>4.8625000000000002E-2</v>
      </c>
      <c r="G115">
        <f t="shared" si="6"/>
        <v>-1.7575E-2</v>
      </c>
      <c r="H115">
        <f t="shared" si="7"/>
        <v>-7.7499999999999997E-4</v>
      </c>
      <c r="I115" s="2"/>
      <c r="J115" s="2"/>
      <c r="K115" s="2"/>
    </row>
    <row r="116" spans="1:11" x14ac:dyDescent="0.15">
      <c r="A116" s="2" t="s">
        <v>118</v>
      </c>
      <c r="B116" s="2">
        <v>0.1472</v>
      </c>
      <c r="C116" s="2">
        <v>0.12939999999999999</v>
      </c>
      <c r="D116" s="2">
        <v>7.46E-2</v>
      </c>
      <c r="E116">
        <v>1.1900000000000001E-4</v>
      </c>
      <c r="F116">
        <f t="shared" si="5"/>
        <v>0.14708099999999999</v>
      </c>
      <c r="G116">
        <f t="shared" si="6"/>
        <v>0.12928099999999998</v>
      </c>
      <c r="H116">
        <f t="shared" si="7"/>
        <v>7.4481000000000006E-2</v>
      </c>
      <c r="I116" s="2"/>
      <c r="J116" s="2"/>
      <c r="K116" s="2"/>
    </row>
    <row r="117" spans="1:11" x14ac:dyDescent="0.15">
      <c r="A117" s="2" t="s">
        <v>119</v>
      </c>
      <c r="B117" s="2">
        <v>2.9499999999999998E-2</v>
      </c>
      <c r="C117" s="2">
        <v>5.7000000000000002E-3</v>
      </c>
      <c r="D117" s="2">
        <v>3.6900000000000002E-2</v>
      </c>
      <c r="E117">
        <v>1.16E-4</v>
      </c>
      <c r="F117">
        <f t="shared" si="5"/>
        <v>2.9383999999999997E-2</v>
      </c>
      <c r="G117">
        <f t="shared" si="6"/>
        <v>5.5840000000000004E-3</v>
      </c>
      <c r="H117">
        <f t="shared" si="7"/>
        <v>3.6784000000000004E-2</v>
      </c>
      <c r="I117" s="2"/>
      <c r="J117" s="2"/>
      <c r="K117" s="2"/>
    </row>
    <row r="118" spans="1:11" x14ac:dyDescent="0.15">
      <c r="A118" s="2" t="s">
        <v>120</v>
      </c>
      <c r="B118" s="2">
        <v>0.1019</v>
      </c>
      <c r="C118" s="2">
        <v>1.32E-2</v>
      </c>
      <c r="D118" s="2">
        <v>3.5499999999999997E-2</v>
      </c>
      <c r="E118">
        <v>7.8999999999999996E-5</v>
      </c>
      <c r="F118">
        <f t="shared" si="5"/>
        <v>0.10182100000000001</v>
      </c>
      <c r="G118">
        <f t="shared" si="6"/>
        <v>1.3121000000000001E-2</v>
      </c>
      <c r="H118">
        <f t="shared" si="7"/>
        <v>3.5420999999999994E-2</v>
      </c>
      <c r="I118" s="2"/>
      <c r="J118" s="2"/>
      <c r="K118" s="2"/>
    </row>
    <row r="119" spans="1:11" x14ac:dyDescent="0.15">
      <c r="A119" s="2" t="s">
        <v>121</v>
      </c>
      <c r="B119" s="2">
        <v>1.7000000000000001E-2</v>
      </c>
      <c r="C119" s="2">
        <v>8.3999999999999995E-3</v>
      </c>
      <c r="D119" s="2">
        <v>-1.9199999999999998E-2</v>
      </c>
      <c r="E119">
        <v>3.9999999999999996E-5</v>
      </c>
      <c r="F119">
        <f t="shared" si="5"/>
        <v>1.6960000000000003E-2</v>
      </c>
      <c r="G119">
        <f t="shared" si="6"/>
        <v>8.3599999999999994E-3</v>
      </c>
      <c r="H119">
        <f t="shared" si="7"/>
        <v>-1.9239999999999997E-2</v>
      </c>
      <c r="I119" s="2"/>
      <c r="J119" s="2"/>
      <c r="K119" s="2"/>
    </row>
    <row r="120" spans="1:11" x14ac:dyDescent="0.15">
      <c r="A120" s="2" t="s">
        <v>122</v>
      </c>
      <c r="B120" s="2">
        <v>6.0499999999999998E-2</v>
      </c>
      <c r="C120" s="2">
        <v>5.2299999999999999E-2</v>
      </c>
      <c r="D120" s="2">
        <v>6.1600000000000002E-2</v>
      </c>
      <c r="E120">
        <v>3.9999999999999998E-6</v>
      </c>
      <c r="F120">
        <f t="shared" si="5"/>
        <v>6.0496000000000001E-2</v>
      </c>
      <c r="G120">
        <f t="shared" si="6"/>
        <v>5.2296000000000002E-2</v>
      </c>
      <c r="H120">
        <f t="shared" si="7"/>
        <v>6.1596000000000005E-2</v>
      </c>
      <c r="I120" s="2"/>
      <c r="J120" s="2"/>
      <c r="K120" s="2"/>
    </row>
    <row r="121" spans="1:11" x14ac:dyDescent="0.15">
      <c r="A121" s="2" t="s">
        <v>123</v>
      </c>
      <c r="B121" s="2">
        <v>5.4100000000000002E-2</v>
      </c>
      <c r="C121" s="2">
        <v>3.5999999999999997E-2</v>
      </c>
      <c r="D121" s="2">
        <v>1.9099999999999999E-2</v>
      </c>
      <c r="E121">
        <v>6.2000000000000003E-5</v>
      </c>
      <c r="F121">
        <f t="shared" si="5"/>
        <v>5.4038000000000003E-2</v>
      </c>
      <c r="G121">
        <f t="shared" si="6"/>
        <v>3.5937999999999998E-2</v>
      </c>
      <c r="H121">
        <f t="shared" si="7"/>
        <v>1.9037999999999999E-2</v>
      </c>
      <c r="I121" s="2"/>
      <c r="J121" s="2"/>
      <c r="K121" s="2"/>
    </row>
    <row r="122" spans="1:11" x14ac:dyDescent="0.15">
      <c r="A122" s="2" t="s">
        <v>124</v>
      </c>
      <c r="B122" s="2">
        <v>-8.8599999999999998E-2</v>
      </c>
      <c r="C122" s="2">
        <v>-6.5000000000000002E-2</v>
      </c>
      <c r="D122" s="2">
        <v>-3.6299999999999999E-2</v>
      </c>
      <c r="E122">
        <v>2.8E-5</v>
      </c>
      <c r="F122">
        <f t="shared" si="5"/>
        <v>-8.8627999999999998E-2</v>
      </c>
      <c r="G122">
        <f t="shared" si="6"/>
        <v>-6.5028000000000002E-2</v>
      </c>
      <c r="H122">
        <f t="shared" si="7"/>
        <v>-3.6327999999999999E-2</v>
      </c>
      <c r="I122" s="2"/>
      <c r="J122" s="2"/>
      <c r="K122" s="2"/>
    </row>
    <row r="123" spans="1:11" x14ac:dyDescent="0.15">
      <c r="A123" s="2" t="s">
        <v>125</v>
      </c>
      <c r="B123" s="2">
        <v>6.54E-2</v>
      </c>
      <c r="C123" s="2">
        <v>4.3700000000000003E-2</v>
      </c>
      <c r="D123" s="2">
        <v>3.1199999999999999E-2</v>
      </c>
      <c r="E123">
        <v>9.9999999999999991E-6</v>
      </c>
      <c r="F123">
        <f t="shared" si="5"/>
        <v>6.5390000000000004E-2</v>
      </c>
      <c r="G123">
        <f t="shared" si="6"/>
        <v>4.369E-2</v>
      </c>
      <c r="H123">
        <f t="shared" si="7"/>
        <v>3.1189999999999999E-2</v>
      </c>
      <c r="I123" s="2"/>
      <c r="J123" s="2"/>
      <c r="K123" s="2"/>
    </row>
    <row r="124" spans="1:11" x14ac:dyDescent="0.15">
      <c r="A124" s="2" t="s">
        <v>126</v>
      </c>
      <c r="B124" s="2">
        <v>0.14849999999999999</v>
      </c>
      <c r="C124" s="2">
        <v>8.6E-3</v>
      </c>
      <c r="D124" s="2">
        <v>6.0900000000000003E-2</v>
      </c>
      <c r="E124">
        <v>6.7999999999999999E-5</v>
      </c>
      <c r="F124">
        <f t="shared" si="5"/>
        <v>0.14843199999999998</v>
      </c>
      <c r="G124">
        <f t="shared" si="6"/>
        <v>8.5319999999999997E-3</v>
      </c>
      <c r="H124">
        <f t="shared" si="7"/>
        <v>6.0832000000000004E-2</v>
      </c>
      <c r="I124" s="2"/>
      <c r="J124" s="2"/>
      <c r="K124" s="2"/>
    </row>
    <row r="125" spans="1:11" x14ac:dyDescent="0.15">
      <c r="A125" s="2" t="s">
        <v>127</v>
      </c>
      <c r="B125" s="2">
        <v>0.111</v>
      </c>
      <c r="C125" s="2">
        <v>5.7999999999999996E-3</v>
      </c>
      <c r="D125" s="2">
        <v>1.55E-2</v>
      </c>
      <c r="E125">
        <v>1.11E-4</v>
      </c>
      <c r="F125">
        <f t="shared" si="5"/>
        <v>0.110889</v>
      </c>
      <c r="G125">
        <f t="shared" si="6"/>
        <v>5.6889999999999996E-3</v>
      </c>
      <c r="H125">
        <f t="shared" si="7"/>
        <v>1.5389E-2</v>
      </c>
      <c r="I125" s="2"/>
      <c r="J125" s="2"/>
      <c r="K125" s="2"/>
    </row>
    <row r="126" spans="1:11" x14ac:dyDescent="0.15">
      <c r="A126" s="2" t="s">
        <v>128</v>
      </c>
      <c r="B126" s="2">
        <v>-1.61E-2</v>
      </c>
      <c r="C126" s="2">
        <v>-2.3900000000000001E-2</v>
      </c>
      <c r="D126" s="2">
        <v>-7.9500000000000001E-2</v>
      </c>
      <c r="E126">
        <v>1.12E-4</v>
      </c>
      <c r="F126">
        <f t="shared" si="5"/>
        <v>-1.6212000000000001E-2</v>
      </c>
      <c r="G126">
        <f t="shared" si="6"/>
        <v>-2.4012000000000002E-2</v>
      </c>
      <c r="H126">
        <f t="shared" si="7"/>
        <v>-7.9612000000000002E-2</v>
      </c>
      <c r="I126" s="2"/>
      <c r="J126" s="2"/>
      <c r="K126" s="2"/>
    </row>
    <row r="127" spans="1:11" x14ac:dyDescent="0.15">
      <c r="A127" s="2" t="s">
        <v>129</v>
      </c>
      <c r="B127" s="2">
        <v>-2.0799999999999999E-2</v>
      </c>
      <c r="C127" s="2">
        <v>-1.4200000000000001E-2</v>
      </c>
      <c r="D127" s="2">
        <v>-5.1700000000000003E-2</v>
      </c>
      <c r="E127">
        <v>1.27E-4</v>
      </c>
      <c r="F127">
        <f t="shared" si="5"/>
        <v>-2.0926999999999998E-2</v>
      </c>
      <c r="G127">
        <f t="shared" si="6"/>
        <v>-1.4327000000000001E-2</v>
      </c>
      <c r="H127">
        <f t="shared" si="7"/>
        <v>-5.1827000000000005E-2</v>
      </c>
      <c r="I127" s="2"/>
      <c r="J127" s="2"/>
      <c r="K127" s="2"/>
    </row>
    <row r="128" spans="1:11" x14ac:dyDescent="0.15">
      <c r="A128" s="2" t="s">
        <v>130</v>
      </c>
      <c r="B128" s="2">
        <v>2.2700000000000001E-2</v>
      </c>
      <c r="C128" s="2">
        <v>3.9800000000000002E-2</v>
      </c>
      <c r="D128" s="2">
        <v>6.83E-2</v>
      </c>
      <c r="E128">
        <v>1.4200000000000001E-4</v>
      </c>
      <c r="F128">
        <f t="shared" si="5"/>
        <v>2.2558000000000002E-2</v>
      </c>
      <c r="G128">
        <f t="shared" si="6"/>
        <v>3.9657999999999999E-2</v>
      </c>
      <c r="H128">
        <f t="shared" si="7"/>
        <v>6.8157999999999996E-2</v>
      </c>
      <c r="I128" s="2"/>
      <c r="J128" s="2"/>
      <c r="K128" s="2"/>
    </row>
    <row r="129" spans="1:11" x14ac:dyDescent="0.15">
      <c r="A129" s="2" t="s">
        <v>131</v>
      </c>
      <c r="B129" s="2">
        <v>-5.5E-2</v>
      </c>
      <c r="C129" s="2">
        <v>-3.6299999999999999E-2</v>
      </c>
      <c r="D129" s="2">
        <v>-4.4999999999999998E-2</v>
      </c>
      <c r="E129">
        <v>1.26E-4</v>
      </c>
      <c r="F129">
        <f t="shared" si="5"/>
        <v>-5.5126000000000001E-2</v>
      </c>
      <c r="G129">
        <f t="shared" si="6"/>
        <v>-3.6426E-2</v>
      </c>
      <c r="H129">
        <f t="shared" si="7"/>
        <v>-4.5125999999999999E-2</v>
      </c>
      <c r="I129" s="2"/>
      <c r="J129" s="2"/>
      <c r="K129" s="2"/>
    </row>
    <row r="130" spans="1:11" x14ac:dyDescent="0.15">
      <c r="A130" s="2" t="s">
        <v>132</v>
      </c>
      <c r="B130" s="2">
        <v>0.16719999999999999</v>
      </c>
      <c r="C130" s="2">
        <v>8.9399999999999993E-2</v>
      </c>
      <c r="D130" s="2">
        <v>8.9599999999999999E-2</v>
      </c>
      <c r="E130">
        <v>1.25E-4</v>
      </c>
      <c r="F130">
        <f t="shared" si="5"/>
        <v>0.167075</v>
      </c>
      <c r="G130">
        <f t="shared" si="6"/>
        <v>8.9274999999999993E-2</v>
      </c>
      <c r="H130">
        <f t="shared" si="7"/>
        <v>8.9474999999999999E-2</v>
      </c>
      <c r="I130" s="2"/>
      <c r="J130" s="2"/>
      <c r="K130" s="2"/>
    </row>
    <row r="131" spans="1:11" x14ac:dyDescent="0.15">
      <c r="A131" s="2" t="s">
        <v>133</v>
      </c>
      <c r="B131" s="2">
        <v>6.0699999999999997E-2</v>
      </c>
      <c r="C131" s="2">
        <v>7.0499999999999993E-2</v>
      </c>
      <c r="D131" s="2">
        <v>3.8199999999999998E-2</v>
      </c>
      <c r="E131">
        <v>1.12E-4</v>
      </c>
      <c r="F131">
        <f t="shared" ref="F131:F194" si="8">B131-$E131</f>
        <v>6.0587999999999996E-2</v>
      </c>
      <c r="G131">
        <f t="shared" ref="G131:G194" si="9">C131-$E131</f>
        <v>7.0387999999999992E-2</v>
      </c>
      <c r="H131">
        <f t="shared" ref="H131:H194" si="10">D131-$E131</f>
        <v>3.8087999999999997E-2</v>
      </c>
      <c r="I131" s="2"/>
      <c r="J131" s="2"/>
      <c r="K131" s="2"/>
    </row>
    <row r="132" spans="1:11" x14ac:dyDescent="0.15">
      <c r="A132" s="2" t="s">
        <v>134</v>
      </c>
      <c r="B132" s="2">
        <v>3.3799999999999997E-2</v>
      </c>
      <c r="C132" s="2">
        <v>-1.0500000000000001E-2</v>
      </c>
      <c r="D132" s="2">
        <v>0</v>
      </c>
      <c r="E132">
        <v>1.1400000000000001E-4</v>
      </c>
      <c r="F132">
        <f t="shared" si="8"/>
        <v>3.3685999999999994E-2</v>
      </c>
      <c r="G132">
        <f t="shared" si="9"/>
        <v>-1.0614E-2</v>
      </c>
      <c r="H132">
        <f t="shared" si="10"/>
        <v>-1.1400000000000001E-4</v>
      </c>
      <c r="I132" s="2"/>
      <c r="J132" s="2"/>
      <c r="K132" s="2"/>
    </row>
    <row r="133" spans="1:11" x14ac:dyDescent="0.15">
      <c r="A133" s="2" t="s">
        <v>135</v>
      </c>
      <c r="B133" s="2">
        <v>3.6700000000000003E-2</v>
      </c>
      <c r="C133" s="2">
        <v>3.7499999999999999E-2</v>
      </c>
      <c r="D133" s="2">
        <v>6.6799999999999998E-2</v>
      </c>
      <c r="E133">
        <v>1.4000000000000001E-4</v>
      </c>
      <c r="F133">
        <f t="shared" si="8"/>
        <v>3.6560000000000002E-2</v>
      </c>
      <c r="G133">
        <f t="shared" si="9"/>
        <v>3.7359999999999997E-2</v>
      </c>
      <c r="H133">
        <f t="shared" si="10"/>
        <v>6.6659999999999997E-2</v>
      </c>
      <c r="I133" s="2"/>
      <c r="J133" s="2"/>
      <c r="K133" s="2"/>
    </row>
    <row r="134" spans="1:11" x14ac:dyDescent="0.15">
      <c r="A134" s="2" t="s">
        <v>136</v>
      </c>
      <c r="B134" s="2">
        <v>5.1999999999999998E-2</v>
      </c>
      <c r="C134" s="2">
        <v>0.1038</v>
      </c>
      <c r="D134" s="2">
        <v>2.3300000000000001E-2</v>
      </c>
      <c r="E134">
        <v>6.5999999999999992E-5</v>
      </c>
      <c r="F134">
        <f t="shared" si="8"/>
        <v>5.1934000000000001E-2</v>
      </c>
      <c r="G134">
        <f t="shared" si="9"/>
        <v>0.10373400000000001</v>
      </c>
      <c r="H134">
        <f t="shared" si="10"/>
        <v>2.3234000000000001E-2</v>
      </c>
      <c r="I134" s="2"/>
      <c r="J134" s="2"/>
      <c r="K134" s="2"/>
    </row>
    <row r="135" spans="1:11" x14ac:dyDescent="0.15">
      <c r="A135" s="2" t="s">
        <v>137</v>
      </c>
      <c r="B135" s="2">
        <v>4.0899999999999999E-2</v>
      </c>
      <c r="C135" s="2">
        <v>3.2000000000000002E-3</v>
      </c>
      <c r="D135" s="2">
        <v>3.4700000000000002E-2</v>
      </c>
      <c r="E135">
        <v>1.2200000000000001E-4</v>
      </c>
      <c r="F135">
        <f t="shared" si="8"/>
        <v>4.0778000000000002E-2</v>
      </c>
      <c r="G135">
        <f t="shared" si="9"/>
        <v>3.078E-3</v>
      </c>
      <c r="H135">
        <f t="shared" si="10"/>
        <v>3.4578000000000005E-2</v>
      </c>
      <c r="I135" s="2"/>
      <c r="J135" s="2"/>
      <c r="K135" s="2"/>
    </row>
    <row r="136" spans="1:11" x14ac:dyDescent="0.15">
      <c r="A136" s="2" t="s">
        <v>138</v>
      </c>
      <c r="B136" s="2">
        <v>-1.3299999999999999E-2</v>
      </c>
      <c r="C136" s="2">
        <v>7.4000000000000003E-3</v>
      </c>
      <c r="D136" s="2">
        <v>1E-4</v>
      </c>
      <c r="E136">
        <v>6.7000000000000002E-5</v>
      </c>
      <c r="F136">
        <f t="shared" si="8"/>
        <v>-1.3366999999999999E-2</v>
      </c>
      <c r="G136">
        <f t="shared" si="9"/>
        <v>7.3330000000000001E-3</v>
      </c>
      <c r="H136">
        <f t="shared" si="10"/>
        <v>3.3000000000000003E-5</v>
      </c>
      <c r="I136" s="2"/>
      <c r="J136" s="2"/>
      <c r="K136" s="2"/>
    </row>
    <row r="137" spans="1:11" x14ac:dyDescent="0.15">
      <c r="A137" s="2" t="s">
        <v>139</v>
      </c>
      <c r="B137" s="2">
        <v>4.7000000000000002E-3</v>
      </c>
      <c r="C137" s="2">
        <v>4.6100000000000002E-2</v>
      </c>
      <c r="D137" s="2">
        <v>2.9000000000000001E-2</v>
      </c>
      <c r="E137">
        <v>5.2999999999999994E-5</v>
      </c>
      <c r="F137">
        <f t="shared" si="8"/>
        <v>4.6470000000000001E-3</v>
      </c>
      <c r="G137">
        <f t="shared" si="9"/>
        <v>4.6047000000000005E-2</v>
      </c>
      <c r="H137">
        <f t="shared" si="10"/>
        <v>2.8947000000000001E-2</v>
      </c>
      <c r="I137" s="2"/>
      <c r="J137" s="2"/>
      <c r="K137" s="2"/>
    </row>
    <row r="138" spans="1:11" x14ac:dyDescent="0.15">
      <c r="A138" s="2" t="s">
        <v>140</v>
      </c>
      <c r="B138" s="2">
        <v>-6.6E-3</v>
      </c>
      <c r="C138" s="2">
        <v>-5.3E-3</v>
      </c>
      <c r="D138" s="2">
        <v>-1.12E-2</v>
      </c>
      <c r="E138">
        <v>1.2999999999999999E-5</v>
      </c>
      <c r="F138">
        <f t="shared" si="8"/>
        <v>-6.613E-3</v>
      </c>
      <c r="G138">
        <f t="shared" si="9"/>
        <v>-5.313E-3</v>
      </c>
      <c r="H138">
        <f t="shared" si="10"/>
        <v>-1.1213000000000001E-2</v>
      </c>
      <c r="I138" s="2"/>
      <c r="J138" s="2"/>
      <c r="K138" s="2"/>
    </row>
    <row r="139" spans="1:11" x14ac:dyDescent="0.15">
      <c r="A139" s="2" t="s">
        <v>141</v>
      </c>
      <c r="B139" s="2">
        <v>-3.5000000000000003E-2</v>
      </c>
      <c r="C139" s="2">
        <v>1.55E-2</v>
      </c>
      <c r="D139" s="2">
        <v>-1.6899999999999998E-2</v>
      </c>
      <c r="E139">
        <v>3.4999999999999997E-5</v>
      </c>
      <c r="F139">
        <f t="shared" si="8"/>
        <v>-3.5035000000000004E-2</v>
      </c>
      <c r="G139">
        <f t="shared" si="9"/>
        <v>1.5465E-2</v>
      </c>
      <c r="H139">
        <f t="shared" si="10"/>
        <v>-1.6934999999999999E-2</v>
      </c>
      <c r="I139" s="2"/>
      <c r="J139" s="2"/>
      <c r="K139" s="2"/>
    </row>
    <row r="140" spans="1:11" x14ac:dyDescent="0.15">
      <c r="A140" s="2" t="s">
        <v>142</v>
      </c>
      <c r="B140" s="2">
        <v>0.1633</v>
      </c>
      <c r="C140" s="2">
        <v>0.06</v>
      </c>
      <c r="D140" s="2">
        <v>-0.02</v>
      </c>
      <c r="E140">
        <v>-2.8E-5</v>
      </c>
      <c r="F140">
        <f t="shared" si="8"/>
        <v>0.163328</v>
      </c>
      <c r="G140">
        <f t="shared" si="9"/>
        <v>6.0027999999999998E-2</v>
      </c>
      <c r="H140">
        <f t="shared" si="10"/>
        <v>-1.9972E-2</v>
      </c>
      <c r="I140" s="2"/>
      <c r="J140" s="2"/>
      <c r="K140" s="2"/>
    </row>
    <row r="141" spans="1:11" x14ac:dyDescent="0.15">
      <c r="A141" s="2" t="s">
        <v>143</v>
      </c>
      <c r="B141" s="2">
        <v>-1.4500000000000001E-2</v>
      </c>
      <c r="C141" s="2">
        <v>-5.04E-2</v>
      </c>
      <c r="D141" s="2">
        <v>-5.5E-2</v>
      </c>
      <c r="E141">
        <v>8.2999999999999998E-5</v>
      </c>
      <c r="F141">
        <f t="shared" si="8"/>
        <v>-1.4583E-2</v>
      </c>
      <c r="G141">
        <f t="shared" si="9"/>
        <v>-5.0483E-2</v>
      </c>
      <c r="H141">
        <f t="shared" si="10"/>
        <v>-5.5083E-2</v>
      </c>
      <c r="I141" s="2"/>
      <c r="J141" s="2"/>
      <c r="K141" s="2"/>
    </row>
    <row r="142" spans="1:11" x14ac:dyDescent="0.15">
      <c r="A142" s="2" t="s">
        <v>144</v>
      </c>
      <c r="B142" s="2">
        <v>-9.1000000000000004E-3</v>
      </c>
      <c r="C142" s="2">
        <v>1.72E-2</v>
      </c>
      <c r="D142" s="2">
        <v>-6.9400000000000003E-2</v>
      </c>
      <c r="E142">
        <v>-9.9999999999999995E-7</v>
      </c>
      <c r="F142">
        <f t="shared" si="8"/>
        <v>-9.0990000000000012E-3</v>
      </c>
      <c r="G142">
        <f t="shared" si="9"/>
        <v>1.7201000000000001E-2</v>
      </c>
      <c r="H142">
        <f t="shared" si="10"/>
        <v>-6.9399000000000002E-2</v>
      </c>
      <c r="I142" s="2"/>
      <c r="J142" s="2"/>
      <c r="K142" s="2"/>
    </row>
    <row r="143" spans="1:11" x14ac:dyDescent="0.15">
      <c r="A143" s="2" t="s">
        <v>145</v>
      </c>
      <c r="B143" s="2">
        <v>6.1499999999999999E-2</v>
      </c>
      <c r="C143" s="2">
        <v>5.5800000000000002E-2</v>
      </c>
      <c r="D143" s="2">
        <v>0.1091</v>
      </c>
      <c r="E143">
        <v>1.4E-5</v>
      </c>
      <c r="F143">
        <f t="shared" si="8"/>
        <v>6.1485999999999999E-2</v>
      </c>
      <c r="G143">
        <f t="shared" si="9"/>
        <v>5.5786000000000002E-2</v>
      </c>
      <c r="H143">
        <f t="shared" si="10"/>
        <v>0.109086</v>
      </c>
      <c r="I143" s="2"/>
      <c r="J143" s="2"/>
      <c r="K143" s="2"/>
    </row>
    <row r="144" spans="1:11" x14ac:dyDescent="0.15">
      <c r="A144" s="2" t="s">
        <v>146</v>
      </c>
      <c r="B144" s="2">
        <v>-5.5800000000000002E-2</v>
      </c>
      <c r="C144" s="2">
        <v>2.23E-2</v>
      </c>
      <c r="D144" s="2">
        <v>-4.1000000000000003E-3</v>
      </c>
      <c r="E144">
        <v>3.9999999999999998E-6</v>
      </c>
      <c r="F144">
        <f t="shared" si="8"/>
        <v>-5.5803999999999999E-2</v>
      </c>
      <c r="G144">
        <f t="shared" si="9"/>
        <v>2.2296E-2</v>
      </c>
      <c r="H144">
        <f t="shared" si="10"/>
        <v>-4.104E-3</v>
      </c>
      <c r="I144" s="2"/>
      <c r="J144" s="2"/>
      <c r="K144" s="2"/>
    </row>
    <row r="145" spans="1:11" x14ac:dyDescent="0.15">
      <c r="A145" s="2" t="s">
        <v>147</v>
      </c>
      <c r="B145" s="2">
        <v>5.9700000000000003E-2</v>
      </c>
      <c r="C145" s="2">
        <v>-2.1899999999999999E-2</v>
      </c>
      <c r="D145" s="2">
        <v>1.04E-2</v>
      </c>
      <c r="E145">
        <v>0</v>
      </c>
      <c r="F145">
        <f t="shared" si="8"/>
        <v>5.9700000000000003E-2</v>
      </c>
      <c r="G145">
        <f t="shared" si="9"/>
        <v>-2.1899999999999999E-2</v>
      </c>
      <c r="H145">
        <f t="shared" si="10"/>
        <v>1.04E-2</v>
      </c>
      <c r="I145" s="2"/>
      <c r="J145" s="2"/>
      <c r="K145" s="2"/>
    </row>
    <row r="146" spans="1:11" x14ac:dyDescent="0.15">
      <c r="A146" s="2" t="s">
        <v>148</v>
      </c>
      <c r="B146" s="2">
        <v>0.12709999999999999</v>
      </c>
      <c r="C146" s="2">
        <v>4.7399999999999998E-2</v>
      </c>
      <c r="D146" s="2">
        <v>4.6399999999999997E-2</v>
      </c>
      <c r="E146">
        <v>-1.9999999999999999E-6</v>
      </c>
      <c r="F146">
        <f t="shared" si="8"/>
        <v>0.12710199999999999</v>
      </c>
      <c r="G146">
        <f t="shared" si="9"/>
        <v>4.7402E-2</v>
      </c>
      <c r="H146">
        <f t="shared" si="10"/>
        <v>4.6401999999999999E-2</v>
      </c>
      <c r="I146" s="2"/>
      <c r="J146" s="2"/>
      <c r="K146" s="2"/>
    </row>
    <row r="147" spans="1:11" x14ac:dyDescent="0.15">
      <c r="A147" s="2" t="s">
        <v>149</v>
      </c>
      <c r="B147" s="2">
        <v>0.1883</v>
      </c>
      <c r="C147" s="2">
        <v>2.5399999999999999E-2</v>
      </c>
      <c r="D147" s="2">
        <v>4.3400000000000001E-2</v>
      </c>
      <c r="E147">
        <v>3.1000000000000001E-5</v>
      </c>
      <c r="F147">
        <f t="shared" si="8"/>
        <v>0.18826899999999999</v>
      </c>
      <c r="G147">
        <f t="shared" si="9"/>
        <v>2.5368999999999999E-2</v>
      </c>
      <c r="H147">
        <f t="shared" si="10"/>
        <v>4.3368999999999998E-2</v>
      </c>
      <c r="I147" s="2"/>
      <c r="J147" s="2"/>
      <c r="K147" s="2"/>
    </row>
    <row r="148" spans="1:11" x14ac:dyDescent="0.15">
      <c r="A148" s="2" t="s">
        <v>150</v>
      </c>
      <c r="B148" s="2">
        <v>0.1053</v>
      </c>
      <c r="C148" s="2">
        <v>6.0600000000000001E-2</v>
      </c>
      <c r="D148" s="2">
        <v>3.2199999999999999E-2</v>
      </c>
      <c r="E148">
        <v>4.6E-5</v>
      </c>
      <c r="F148">
        <f t="shared" si="8"/>
        <v>0.105254</v>
      </c>
      <c r="G148">
        <f t="shared" si="9"/>
        <v>6.0554000000000004E-2</v>
      </c>
      <c r="H148">
        <f t="shared" si="10"/>
        <v>3.2154000000000002E-2</v>
      </c>
      <c r="I148" s="2"/>
      <c r="J148" s="2"/>
      <c r="K148" s="2"/>
    </row>
    <row r="149" spans="1:11" x14ac:dyDescent="0.15">
      <c r="A149" s="2" t="s">
        <v>151</v>
      </c>
      <c r="B149" s="2">
        <v>-2.5999999999999999E-2</v>
      </c>
      <c r="C149" s="2">
        <v>-7.4999999999999997E-3</v>
      </c>
      <c r="D149" s="2">
        <v>-6.7000000000000002E-3</v>
      </c>
      <c r="E149">
        <v>2.8999999999999997E-5</v>
      </c>
      <c r="F149">
        <f t="shared" si="8"/>
        <v>-2.6029E-2</v>
      </c>
      <c r="G149">
        <f t="shared" si="9"/>
        <v>-7.5290000000000001E-3</v>
      </c>
      <c r="H149">
        <f t="shared" si="10"/>
        <v>-6.7290000000000006E-3</v>
      </c>
      <c r="I149" s="2"/>
      <c r="J149" s="2"/>
      <c r="K149" s="2"/>
    </row>
    <row r="150" spans="1:11" x14ac:dyDescent="0.15">
      <c r="A150" s="2" t="s">
        <v>152</v>
      </c>
      <c r="B150" s="2">
        <v>-1.0699999999999999E-2</v>
      </c>
      <c r="C150" s="2">
        <v>-6.4500000000000002E-2</v>
      </c>
      <c r="D150" s="2">
        <v>-6.0100000000000001E-2</v>
      </c>
      <c r="E150">
        <v>6.4999999999999994E-5</v>
      </c>
      <c r="F150">
        <f t="shared" si="8"/>
        <v>-1.0765E-2</v>
      </c>
      <c r="G150">
        <f t="shared" si="9"/>
        <v>-6.4564999999999997E-2</v>
      </c>
      <c r="H150">
        <f t="shared" si="10"/>
        <v>-6.0165000000000003E-2</v>
      </c>
      <c r="I150" s="2"/>
      <c r="J150" s="2"/>
      <c r="K150" s="2"/>
    </row>
    <row r="151" spans="1:11" x14ac:dyDescent="0.15">
      <c r="A151" s="2" t="s">
        <v>153</v>
      </c>
      <c r="B151" s="2">
        <v>1.09E-2</v>
      </c>
      <c r="C151" s="2">
        <v>1.3899999999999999E-2</v>
      </c>
      <c r="D151" s="2">
        <v>4.0599999999999997E-2</v>
      </c>
      <c r="E151">
        <v>2.1999999999999999E-5</v>
      </c>
      <c r="F151">
        <f t="shared" si="8"/>
        <v>1.0878000000000001E-2</v>
      </c>
      <c r="G151">
        <f t="shared" si="9"/>
        <v>1.3878E-2</v>
      </c>
      <c r="H151">
        <f t="shared" si="10"/>
        <v>4.0577999999999996E-2</v>
      </c>
      <c r="I151" s="2"/>
      <c r="J151" s="2"/>
      <c r="K151" s="2"/>
    </row>
    <row r="152" spans="1:11" x14ac:dyDescent="0.15">
      <c r="A152" s="2" t="s">
        <v>154</v>
      </c>
      <c r="B152" s="2">
        <v>4.58E-2</v>
      </c>
      <c r="C152" s="2">
        <v>2E-3</v>
      </c>
      <c r="D152" s="2">
        <v>1.18E-2</v>
      </c>
      <c r="E152">
        <v>3.1999999999999999E-5</v>
      </c>
      <c r="F152">
        <f t="shared" si="8"/>
        <v>4.5768000000000003E-2</v>
      </c>
      <c r="G152">
        <f t="shared" si="9"/>
        <v>1.9680000000000001E-3</v>
      </c>
      <c r="H152">
        <f t="shared" si="10"/>
        <v>1.1767999999999999E-2</v>
      </c>
      <c r="I152" s="2"/>
      <c r="J152" s="2"/>
      <c r="K152" s="2"/>
    </row>
    <row r="153" spans="1:11" x14ac:dyDescent="0.15">
      <c r="A153" s="2" t="s">
        <v>155</v>
      </c>
      <c r="B153" s="2">
        <v>9.3799999999999994E-2</v>
      </c>
      <c r="C153" s="2">
        <v>-1.5E-3</v>
      </c>
      <c r="D153" s="2">
        <v>2.5100000000000001E-2</v>
      </c>
      <c r="E153">
        <v>4.9999999999999996E-5</v>
      </c>
      <c r="F153">
        <f t="shared" si="8"/>
        <v>9.375E-2</v>
      </c>
      <c r="G153">
        <f t="shared" si="9"/>
        <v>-1.5499999999999999E-3</v>
      </c>
      <c r="H153">
        <f t="shared" si="10"/>
        <v>2.5049999999999999E-2</v>
      </c>
      <c r="I153" s="2"/>
      <c r="J153" s="2"/>
      <c r="K153" s="2"/>
    </row>
    <row r="154" spans="1:11" x14ac:dyDescent="0.15">
      <c r="A154" s="2" t="s">
        <v>156</v>
      </c>
      <c r="B154" s="2">
        <v>2.8E-3</v>
      </c>
      <c r="C154" s="2">
        <v>6.4699999999999994E-2</v>
      </c>
      <c r="D154" s="2">
        <v>2.5399999999999999E-2</v>
      </c>
      <c r="E154">
        <v>6.7000000000000002E-5</v>
      </c>
      <c r="F154">
        <f t="shared" si="8"/>
        <v>2.7330000000000002E-3</v>
      </c>
      <c r="G154">
        <f t="shared" si="9"/>
        <v>6.4632999999999996E-2</v>
      </c>
      <c r="H154">
        <f t="shared" si="10"/>
        <v>2.5332999999999998E-2</v>
      </c>
      <c r="I154" s="2"/>
      <c r="J154" s="2"/>
      <c r="K154" s="2"/>
    </row>
    <row r="155" spans="1:11" x14ac:dyDescent="0.15">
      <c r="A155" s="2" t="s">
        <v>157</v>
      </c>
      <c r="B155" s="2">
        <v>-0.1076</v>
      </c>
      <c r="C155" s="2">
        <v>-6.2300000000000001E-2</v>
      </c>
      <c r="D155" s="2">
        <v>-1.8200000000000001E-2</v>
      </c>
      <c r="E155">
        <v>3.6999999999999998E-5</v>
      </c>
      <c r="F155">
        <f t="shared" si="8"/>
        <v>-0.107637</v>
      </c>
      <c r="G155">
        <f t="shared" si="9"/>
        <v>-6.2337000000000004E-2</v>
      </c>
      <c r="H155">
        <f t="shared" si="10"/>
        <v>-1.8237E-2</v>
      </c>
      <c r="I155" s="2"/>
      <c r="J155" s="2"/>
      <c r="K155" s="2"/>
    </row>
    <row r="156" spans="1:11" x14ac:dyDescent="0.15">
      <c r="A156" s="2" t="s">
        <v>158</v>
      </c>
      <c r="B156" s="2">
        <v>-1.2200000000000001E-2</v>
      </c>
      <c r="C156" s="2">
        <v>-1.8599999999999998E-2</v>
      </c>
      <c r="D156" s="2">
        <v>5.7000000000000002E-3</v>
      </c>
      <c r="E156">
        <v>8.4999999999999993E-5</v>
      </c>
      <c r="F156">
        <f t="shared" si="8"/>
        <v>-1.2285000000000001E-2</v>
      </c>
      <c r="G156">
        <f t="shared" si="9"/>
        <v>-1.8684999999999997E-2</v>
      </c>
      <c r="H156">
        <f t="shared" si="10"/>
        <v>5.6150000000000002E-3</v>
      </c>
      <c r="I156" s="2"/>
      <c r="J156" s="2"/>
      <c r="K156" s="2"/>
    </row>
    <row r="157" spans="1:11" x14ac:dyDescent="0.15">
      <c r="A157" s="2" t="s">
        <v>159</v>
      </c>
      <c r="B157" s="2">
        <v>-9.0700000000000003E-2</v>
      </c>
      <c r="C157" s="2">
        <v>7.7999999999999996E-3</v>
      </c>
      <c r="D157" s="2">
        <v>8.9999999999999993E-3</v>
      </c>
      <c r="E157">
        <v>1.0300000000000001E-4</v>
      </c>
      <c r="F157">
        <f t="shared" si="8"/>
        <v>-9.0803000000000009E-2</v>
      </c>
      <c r="G157">
        <f t="shared" si="9"/>
        <v>7.6969999999999998E-3</v>
      </c>
      <c r="H157">
        <f t="shared" si="10"/>
        <v>8.8969999999999987E-3</v>
      </c>
      <c r="I157" s="2"/>
      <c r="J157" s="2"/>
      <c r="K157" s="2"/>
    </row>
    <row r="158" spans="1:11" x14ac:dyDescent="0.15">
      <c r="A158" s="2" t="s">
        <v>160</v>
      </c>
      <c r="B158" s="2">
        <v>-0.14410000000000001</v>
      </c>
      <c r="C158" s="2">
        <v>6.0100000000000001E-2</v>
      </c>
      <c r="D158" s="2">
        <v>5.1200000000000002E-2</v>
      </c>
      <c r="E158">
        <v>2.1999999999999999E-5</v>
      </c>
      <c r="F158">
        <f t="shared" si="8"/>
        <v>-0.144122</v>
      </c>
      <c r="G158">
        <f t="shared" si="9"/>
        <v>6.0077999999999999E-2</v>
      </c>
      <c r="H158">
        <f t="shared" si="10"/>
        <v>5.1178000000000001E-2</v>
      </c>
      <c r="I158" s="2"/>
      <c r="J158" s="2"/>
      <c r="K158" s="2"/>
    </row>
    <row r="159" spans="1:11" x14ac:dyDescent="0.15">
      <c r="A159" s="2" t="s">
        <v>161</v>
      </c>
      <c r="B159" s="2">
        <v>-2.5399999999999999E-2</v>
      </c>
      <c r="C159" s="2">
        <v>-6.7999999999999996E-3</v>
      </c>
      <c r="D159" s="2">
        <v>1.2800000000000001E-2</v>
      </c>
      <c r="E159">
        <v>5.3999999999999998E-5</v>
      </c>
      <c r="F159">
        <f t="shared" si="8"/>
        <v>-2.5453999999999997E-2</v>
      </c>
      <c r="G159">
        <f t="shared" si="9"/>
        <v>-6.8539999999999998E-3</v>
      </c>
      <c r="H159">
        <f t="shared" si="10"/>
        <v>1.2746E-2</v>
      </c>
      <c r="I159" s="2"/>
      <c r="J159" s="2"/>
      <c r="K159" s="2"/>
    </row>
    <row r="160" spans="1:11" x14ac:dyDescent="0.15">
      <c r="A160" s="2" t="s">
        <v>162</v>
      </c>
      <c r="B160" s="2">
        <v>2.8999999999999998E-3</v>
      </c>
      <c r="C160" s="2">
        <v>6.2100000000000002E-2</v>
      </c>
      <c r="D160" s="2">
        <v>3.7999999999999999E-2</v>
      </c>
      <c r="E160">
        <v>4.1E-5</v>
      </c>
      <c r="F160">
        <f t="shared" si="8"/>
        <v>2.859E-3</v>
      </c>
      <c r="G160">
        <f t="shared" si="9"/>
        <v>6.2059000000000003E-2</v>
      </c>
      <c r="H160">
        <f t="shared" si="10"/>
        <v>3.7959E-2</v>
      </c>
      <c r="I160" s="2"/>
      <c r="J160" s="2"/>
      <c r="K160" s="2"/>
    </row>
    <row r="161" spans="1:11" x14ac:dyDescent="0.15">
      <c r="A161" s="2" t="s">
        <v>163</v>
      </c>
      <c r="B161" s="2">
        <v>2.9999999999999997E-4</v>
      </c>
      <c r="C161" s="2">
        <v>-5.04E-2</v>
      </c>
      <c r="D161" s="2">
        <v>1.9199999999999998E-2</v>
      </c>
      <c r="E161">
        <v>3.6999999999999998E-5</v>
      </c>
      <c r="F161">
        <f t="shared" si="8"/>
        <v>2.63E-4</v>
      </c>
      <c r="G161">
        <f t="shared" si="9"/>
        <v>-5.0437000000000003E-2</v>
      </c>
      <c r="H161">
        <f t="shared" si="10"/>
        <v>1.9162999999999999E-2</v>
      </c>
      <c r="I161" s="2"/>
      <c r="J161" s="2"/>
      <c r="K161" s="2"/>
    </row>
    <row r="162" spans="1:11" x14ac:dyDescent="0.15">
      <c r="A162" s="2" t="s">
        <v>164</v>
      </c>
      <c r="B162" s="2">
        <v>2.2499999999999999E-2</v>
      </c>
      <c r="C162" s="2">
        <v>3.1800000000000002E-2</v>
      </c>
      <c r="D162" s="2">
        <v>2.3599999999999999E-2</v>
      </c>
      <c r="E162">
        <v>1.1999999999999999E-5</v>
      </c>
      <c r="F162">
        <f t="shared" si="8"/>
        <v>2.2487999999999998E-2</v>
      </c>
      <c r="G162">
        <f t="shared" si="9"/>
        <v>3.1788000000000004E-2</v>
      </c>
      <c r="H162">
        <f t="shared" si="10"/>
        <v>2.3587999999999998E-2</v>
      </c>
      <c r="I162" s="2"/>
      <c r="J162" s="2"/>
      <c r="K162" s="2"/>
    </row>
    <row r="163" spans="1:11" x14ac:dyDescent="0.15">
      <c r="A163" s="2" t="s">
        <v>165</v>
      </c>
      <c r="B163" s="2">
        <v>-0.1183</v>
      </c>
      <c r="C163" s="2">
        <v>-8.1299999999999997E-2</v>
      </c>
      <c r="D163" s="2">
        <v>-1.3299999999999999E-2</v>
      </c>
      <c r="E163">
        <v>1.2999999999999999E-5</v>
      </c>
      <c r="F163">
        <f t="shared" si="8"/>
        <v>-0.118313</v>
      </c>
      <c r="G163">
        <f t="shared" si="9"/>
        <v>-8.1312999999999996E-2</v>
      </c>
      <c r="H163">
        <f t="shared" si="10"/>
        <v>-1.3313E-2</v>
      </c>
      <c r="I163" s="2"/>
      <c r="J163" s="2"/>
      <c r="K163" s="2"/>
    </row>
    <row r="164" spans="1:11" x14ac:dyDescent="0.15">
      <c r="A164" s="2" t="s">
        <v>166</v>
      </c>
      <c r="B164" s="2">
        <v>0.14119999999999999</v>
      </c>
      <c r="C164" s="2">
        <v>2.06E-2</v>
      </c>
      <c r="D164" s="2">
        <v>5.1700000000000003E-2</v>
      </c>
      <c r="E164">
        <v>9.0000000000000002E-6</v>
      </c>
      <c r="F164">
        <f t="shared" si="8"/>
        <v>0.14119099999999998</v>
      </c>
      <c r="G164">
        <f t="shared" si="9"/>
        <v>2.0591000000000002E-2</v>
      </c>
      <c r="H164">
        <f t="shared" si="10"/>
        <v>5.1691000000000001E-2</v>
      </c>
      <c r="I164" s="2"/>
      <c r="J164" s="2"/>
      <c r="K164" s="2"/>
    </row>
    <row r="165" spans="1:11" x14ac:dyDescent="0.15">
      <c r="A165" s="2" t="s">
        <v>167</v>
      </c>
      <c r="B165" s="2">
        <v>8.3799999999999999E-2</v>
      </c>
      <c r="C165" s="2">
        <v>-6.08E-2</v>
      </c>
      <c r="D165" s="2">
        <v>-0.03</v>
      </c>
      <c r="E165">
        <v>9.0000000000000002E-6</v>
      </c>
      <c r="F165">
        <f t="shared" si="8"/>
        <v>8.3791000000000004E-2</v>
      </c>
      <c r="G165">
        <f t="shared" si="9"/>
        <v>-6.0809000000000002E-2</v>
      </c>
      <c r="H165">
        <f t="shared" si="10"/>
        <v>-3.0008999999999997E-2</v>
      </c>
      <c r="I165" s="2"/>
      <c r="J165" s="2"/>
      <c r="K165" s="2"/>
    </row>
    <row r="166" spans="1:11" x14ac:dyDescent="0.15">
      <c r="A166" s="2" t="s">
        <v>168</v>
      </c>
      <c r="B166" s="2">
        <v>-2.1499999999999998E-2</v>
      </c>
      <c r="C166" s="2">
        <v>1.6E-2</v>
      </c>
      <c r="D166" s="2">
        <v>3.1699999999999999E-2</v>
      </c>
      <c r="E166">
        <v>7.9999999999999996E-6</v>
      </c>
      <c r="F166">
        <f t="shared" si="8"/>
        <v>-2.1507999999999999E-2</v>
      </c>
      <c r="G166">
        <f t="shared" si="9"/>
        <v>1.5991999999999999E-2</v>
      </c>
      <c r="H166">
        <f t="shared" si="10"/>
        <v>3.1691999999999998E-2</v>
      </c>
      <c r="I166" s="2"/>
      <c r="J166" s="2"/>
      <c r="K166" s="2"/>
    </row>
    <row r="167" spans="1:11" x14ac:dyDescent="0.15">
      <c r="A167" s="2" t="s">
        <v>169</v>
      </c>
      <c r="B167" s="2">
        <v>9.64E-2</v>
      </c>
      <c r="C167" s="2">
        <v>-3.2199999999999999E-2</v>
      </c>
      <c r="D167" s="2">
        <v>4.6300000000000001E-2</v>
      </c>
      <c r="E167">
        <v>1.7E-5</v>
      </c>
      <c r="F167">
        <f t="shared" si="8"/>
        <v>9.6382999999999996E-2</v>
      </c>
      <c r="G167">
        <f t="shared" si="9"/>
        <v>-3.2217000000000003E-2</v>
      </c>
      <c r="H167">
        <f t="shared" si="10"/>
        <v>4.6282999999999998E-2</v>
      </c>
      <c r="I167" s="2"/>
      <c r="J167" s="2"/>
      <c r="K167" s="2"/>
    </row>
    <row r="168" spans="1:11" x14ac:dyDescent="0.15">
      <c r="A168" s="2" t="s">
        <v>170</v>
      </c>
      <c r="B168" s="2">
        <v>7.0099999999999996E-2</v>
      </c>
      <c r="C168" s="2">
        <v>7.9000000000000008E-3</v>
      </c>
      <c r="D168" s="2">
        <v>2.9600000000000001E-2</v>
      </c>
      <c r="E168">
        <v>3.1999999999999999E-5</v>
      </c>
      <c r="F168">
        <f t="shared" si="8"/>
        <v>7.0067999999999991E-2</v>
      </c>
      <c r="G168">
        <f t="shared" si="9"/>
        <v>7.868E-3</v>
      </c>
      <c r="H168">
        <f t="shared" si="10"/>
        <v>2.9568000000000001E-2</v>
      </c>
      <c r="I168" s="2"/>
      <c r="J168" s="2"/>
      <c r="K168" s="2"/>
    </row>
    <row r="169" spans="1:11" x14ac:dyDescent="0.15">
      <c r="A169" s="2" t="s">
        <v>171</v>
      </c>
      <c r="B169" s="2">
        <v>8.8999999999999999E-3</v>
      </c>
      <c r="C169" s="2">
        <v>4.3900000000000002E-2</v>
      </c>
      <c r="D169" s="2">
        <v>2.5899999999999999E-2</v>
      </c>
      <c r="E169">
        <v>2.3E-5</v>
      </c>
      <c r="F169">
        <f t="shared" si="8"/>
        <v>8.8769999999999995E-3</v>
      </c>
      <c r="G169">
        <f t="shared" si="9"/>
        <v>4.3876999999999999E-2</v>
      </c>
      <c r="H169">
        <f t="shared" si="10"/>
        <v>2.5877000000000001E-2</v>
      </c>
      <c r="I169" s="2"/>
      <c r="J169" s="2"/>
      <c r="K169" s="2"/>
    </row>
    <row r="170" spans="1:11" x14ac:dyDescent="0.15">
      <c r="A170" s="2" t="s">
        <v>172</v>
      </c>
      <c r="B170" s="2">
        <v>-0.1077</v>
      </c>
      <c r="C170" s="2">
        <v>-5.8099999999999999E-2</v>
      </c>
      <c r="D170" s="2">
        <v>-3.5200000000000002E-2</v>
      </c>
      <c r="E170">
        <v>1.1999999999999999E-5</v>
      </c>
      <c r="F170">
        <f t="shared" si="8"/>
        <v>-0.107712</v>
      </c>
      <c r="G170">
        <f t="shared" si="9"/>
        <v>-5.8111999999999997E-2</v>
      </c>
      <c r="H170">
        <f t="shared" si="10"/>
        <v>-3.5212E-2</v>
      </c>
      <c r="I170" s="2"/>
      <c r="J170" s="2"/>
      <c r="K170" s="2"/>
    </row>
    <row r="171" spans="1:11" x14ac:dyDescent="0.15">
      <c r="A171" s="2" t="s">
        <v>173</v>
      </c>
      <c r="B171" s="2">
        <v>5.7500000000000002E-2</v>
      </c>
      <c r="C171" s="2">
        <v>5.3800000000000001E-2</v>
      </c>
      <c r="D171" s="2">
        <v>4.5499999999999999E-2</v>
      </c>
      <c r="E171">
        <v>4.4999999999999996E-5</v>
      </c>
      <c r="F171">
        <f t="shared" si="8"/>
        <v>5.7454999999999999E-2</v>
      </c>
      <c r="G171">
        <f t="shared" si="9"/>
        <v>5.3754999999999997E-2</v>
      </c>
      <c r="H171">
        <f t="shared" si="10"/>
        <v>4.5454999999999995E-2</v>
      </c>
      <c r="I171" s="2"/>
      <c r="J171" s="2"/>
      <c r="K171" s="2"/>
    </row>
    <row r="172" spans="1:11" x14ac:dyDescent="0.15">
      <c r="A172" s="2" t="s">
        <v>174</v>
      </c>
      <c r="B172" s="2">
        <v>0.02</v>
      </c>
      <c r="C172" s="2">
        <v>3.95E-2</v>
      </c>
      <c r="D172" s="2">
        <v>8.3000000000000001E-3</v>
      </c>
      <c r="E172">
        <v>2.8E-5</v>
      </c>
      <c r="F172">
        <f t="shared" si="8"/>
        <v>1.9972E-2</v>
      </c>
      <c r="G172">
        <f t="shared" si="9"/>
        <v>3.9472E-2</v>
      </c>
      <c r="H172">
        <f t="shared" si="10"/>
        <v>8.2719999999999998E-3</v>
      </c>
      <c r="I172" s="2"/>
      <c r="J172" s="2"/>
      <c r="K172" s="2"/>
    </row>
    <row r="173" spans="1:11" x14ac:dyDescent="0.15">
      <c r="A173" s="2" t="s">
        <v>175</v>
      </c>
      <c r="B173" s="2">
        <v>9.9400000000000002E-2</v>
      </c>
      <c r="C173" s="2">
        <v>2.07E-2</v>
      </c>
      <c r="D173" s="2">
        <v>7.0000000000000001E-3</v>
      </c>
      <c r="E173">
        <v>1.4999999999999999E-5</v>
      </c>
      <c r="F173">
        <f t="shared" si="8"/>
        <v>9.9385000000000001E-2</v>
      </c>
      <c r="G173">
        <f t="shared" si="9"/>
        <v>2.0684999999999999E-2</v>
      </c>
      <c r="H173">
        <f t="shared" si="10"/>
        <v>6.9849999999999999E-3</v>
      </c>
      <c r="I173" s="2"/>
      <c r="J173" s="2"/>
      <c r="K173" s="2"/>
    </row>
    <row r="174" spans="1:11" x14ac:dyDescent="0.15">
      <c r="A174" s="2" t="s">
        <v>176</v>
      </c>
      <c r="B174" s="2">
        <v>7.8700000000000006E-2</v>
      </c>
      <c r="C174" s="2">
        <v>-5.62E-2</v>
      </c>
      <c r="D174" s="2">
        <v>2.3199999999999998E-2</v>
      </c>
      <c r="E174">
        <v>7.9999999999999996E-6</v>
      </c>
      <c r="F174">
        <f t="shared" si="8"/>
        <v>7.8692000000000012E-2</v>
      </c>
      <c r="G174">
        <f t="shared" si="9"/>
        <v>-5.6208000000000001E-2</v>
      </c>
      <c r="H174">
        <f t="shared" si="10"/>
        <v>2.3191999999999997E-2</v>
      </c>
      <c r="I174" s="2"/>
      <c r="J174" s="2"/>
      <c r="K174" s="2"/>
    </row>
    <row r="175" spans="1:11" x14ac:dyDescent="0.15">
      <c r="A175" s="2" t="s">
        <v>177</v>
      </c>
      <c r="B175" s="2">
        <v>2.7699999999999999E-2</v>
      </c>
      <c r="C175" s="2">
        <v>-1.6799999999999999E-2</v>
      </c>
      <c r="D175" s="2">
        <v>2.06E-2</v>
      </c>
      <c r="E175">
        <v>1.9999999999999998E-5</v>
      </c>
      <c r="F175">
        <f t="shared" si="8"/>
        <v>2.768E-2</v>
      </c>
      <c r="G175">
        <f t="shared" si="9"/>
        <v>-1.6819999999999998E-2</v>
      </c>
      <c r="H175">
        <f t="shared" si="10"/>
        <v>2.0580000000000001E-2</v>
      </c>
      <c r="I175" s="2"/>
      <c r="J175" s="2"/>
      <c r="K175" s="2"/>
    </row>
    <row r="176" spans="1:11" x14ac:dyDescent="0.15">
      <c r="A176" s="2" t="s">
        <v>178</v>
      </c>
      <c r="B176" s="2">
        <v>2.87E-2</v>
      </c>
      <c r="C176" s="2">
        <v>5.74E-2</v>
      </c>
      <c r="D176" s="2">
        <v>-1.34E-2</v>
      </c>
      <c r="E176">
        <v>1.2999999999999999E-5</v>
      </c>
      <c r="F176">
        <f t="shared" si="8"/>
        <v>2.8687000000000001E-2</v>
      </c>
      <c r="G176">
        <f t="shared" si="9"/>
        <v>5.7387000000000001E-2</v>
      </c>
      <c r="H176">
        <f t="shared" si="10"/>
        <v>-1.3413000000000001E-2</v>
      </c>
      <c r="I176" s="2"/>
      <c r="J176" s="2"/>
      <c r="K176" s="2"/>
    </row>
    <row r="177" spans="1:11" x14ac:dyDescent="0.15">
      <c r="A177" s="2" t="s">
        <v>179</v>
      </c>
      <c r="B177" s="2">
        <v>7.7499999999999999E-2</v>
      </c>
      <c r="C177" s="2">
        <v>9.1999999999999998E-3</v>
      </c>
      <c r="D177" s="2">
        <v>3.95E-2</v>
      </c>
      <c r="E177">
        <v>3.0000000000000001E-6</v>
      </c>
      <c r="F177">
        <f t="shared" si="8"/>
        <v>7.7496999999999996E-2</v>
      </c>
      <c r="G177">
        <f t="shared" si="9"/>
        <v>9.1970000000000003E-3</v>
      </c>
      <c r="H177">
        <f t="shared" si="10"/>
        <v>3.9496999999999997E-2</v>
      </c>
      <c r="I177" s="2"/>
      <c r="J177" s="2"/>
      <c r="K177" s="2"/>
    </row>
    <row r="178" spans="1:11" x14ac:dyDescent="0.15">
      <c r="A178" s="2" t="s">
        <v>180</v>
      </c>
      <c r="B178" s="2">
        <v>-1.7100000000000001E-2</v>
      </c>
      <c r="C178" s="2">
        <v>-1.2800000000000001E-2</v>
      </c>
      <c r="D178" s="2">
        <v>-1.38E-2</v>
      </c>
      <c r="E178">
        <v>3.9999999999999998E-6</v>
      </c>
      <c r="F178">
        <f t="shared" si="8"/>
        <v>-1.7104000000000001E-2</v>
      </c>
      <c r="G178">
        <f t="shared" si="9"/>
        <v>-1.2804000000000001E-2</v>
      </c>
      <c r="H178">
        <f t="shared" si="10"/>
        <v>-1.3804E-2</v>
      </c>
      <c r="I178" s="2"/>
      <c r="J178" s="2"/>
      <c r="K178" s="2"/>
    </row>
    <row r="179" spans="1:11" x14ac:dyDescent="0.15">
      <c r="A179" s="2" t="s">
        <v>181</v>
      </c>
      <c r="B179" s="2">
        <v>7.1999999999999995E-2</v>
      </c>
      <c r="C179" s="2">
        <v>-0.13400000000000001</v>
      </c>
      <c r="D179" s="2">
        <v>2.3599999999999999E-2</v>
      </c>
      <c r="E179">
        <v>1.1999999999999999E-5</v>
      </c>
      <c r="F179">
        <f t="shared" si="8"/>
        <v>7.1987999999999996E-2</v>
      </c>
      <c r="G179">
        <f t="shared" si="9"/>
        <v>-0.13401200000000002</v>
      </c>
      <c r="H179">
        <f t="shared" si="10"/>
        <v>2.3587999999999998E-2</v>
      </c>
      <c r="I179" s="2"/>
      <c r="J179" s="2"/>
      <c r="K179" s="2"/>
    </row>
    <row r="180" spans="1:11" x14ac:dyDescent="0.15">
      <c r="A180" s="2" t="s">
        <v>182</v>
      </c>
      <c r="B180" s="2">
        <v>0.106</v>
      </c>
      <c r="C180" s="2">
        <v>-6.7999999999999996E-3</v>
      </c>
      <c r="D180" s="2">
        <v>2.75E-2</v>
      </c>
      <c r="E180">
        <v>-9.9999999999999995E-7</v>
      </c>
      <c r="F180">
        <f t="shared" si="8"/>
        <v>0.106001</v>
      </c>
      <c r="G180">
        <f t="shared" si="9"/>
        <v>-6.7989999999999995E-3</v>
      </c>
      <c r="H180">
        <f t="shared" si="10"/>
        <v>2.7501000000000001E-2</v>
      </c>
      <c r="I180" s="2"/>
      <c r="J180" s="2"/>
      <c r="K180" s="2"/>
    </row>
    <row r="181" spans="1:11" x14ac:dyDescent="0.15">
      <c r="A181" s="2" t="s">
        <v>183</v>
      </c>
      <c r="B181" s="2">
        <v>-7.1900000000000006E-2</v>
      </c>
      <c r="C181" s="2">
        <v>-1.0699999999999999E-2</v>
      </c>
      <c r="D181" s="2">
        <v>-2.5999999999999999E-3</v>
      </c>
      <c r="E181">
        <v>4.9999999999999996E-6</v>
      </c>
      <c r="F181">
        <f t="shared" si="8"/>
        <v>-7.1905000000000011E-2</v>
      </c>
      <c r="G181">
        <f t="shared" si="9"/>
        <v>-1.0704999999999999E-2</v>
      </c>
      <c r="H181">
        <f t="shared" si="10"/>
        <v>-2.6049999999999997E-3</v>
      </c>
      <c r="I181" s="2"/>
      <c r="J181" s="2"/>
      <c r="K181" s="2"/>
    </row>
    <row r="182" spans="1:11" x14ac:dyDescent="0.15">
      <c r="A182" s="2" t="s">
        <v>184</v>
      </c>
      <c r="B182" s="2">
        <v>6.1400000000000003E-2</v>
      </c>
      <c r="C182" s="2">
        <v>-4.4400000000000002E-2</v>
      </c>
      <c r="D182" s="2">
        <v>-2.9600000000000001E-2</v>
      </c>
      <c r="E182">
        <v>1.2999999999999999E-5</v>
      </c>
      <c r="F182">
        <f t="shared" si="8"/>
        <v>6.1387000000000004E-2</v>
      </c>
      <c r="G182">
        <f t="shared" si="9"/>
        <v>-4.4413000000000001E-2</v>
      </c>
      <c r="H182">
        <f t="shared" si="10"/>
        <v>-2.9613E-2</v>
      </c>
      <c r="I182" s="2"/>
      <c r="J182" s="2"/>
      <c r="K182" s="2"/>
    </row>
    <row r="183" spans="1:11" x14ac:dyDescent="0.15">
      <c r="A183" s="2" t="s">
        <v>185</v>
      </c>
      <c r="B183" s="2">
        <v>0.1007</v>
      </c>
      <c r="C183" s="2">
        <v>6.3700000000000007E-2</v>
      </c>
      <c r="D183" s="2">
        <v>5.62E-2</v>
      </c>
      <c r="E183">
        <v>-2.0999999999999999E-5</v>
      </c>
      <c r="F183">
        <f t="shared" si="8"/>
        <v>0.10072099999999999</v>
      </c>
      <c r="G183">
        <f t="shared" si="9"/>
        <v>6.3721E-2</v>
      </c>
      <c r="H183">
        <f t="shared" si="10"/>
        <v>5.6221E-2</v>
      </c>
      <c r="I183" s="2"/>
      <c r="J183" s="2"/>
      <c r="K183" s="2"/>
    </row>
    <row r="184" spans="1:11" x14ac:dyDescent="0.15">
      <c r="A184" s="2" t="s">
        <v>186</v>
      </c>
      <c r="B184" s="2">
        <v>-3.1399999999999997E-2</v>
      </c>
      <c r="C184" s="2">
        <v>-8.8999999999999999E-3</v>
      </c>
      <c r="D184" s="2">
        <v>-1.5699999999999999E-2</v>
      </c>
      <c r="E184">
        <v>-7.9999999999999996E-6</v>
      </c>
      <c r="F184">
        <f t="shared" si="8"/>
        <v>-3.1391999999999996E-2</v>
      </c>
      <c r="G184">
        <f t="shared" si="9"/>
        <v>-8.8920000000000006E-3</v>
      </c>
      <c r="H184">
        <f t="shared" si="10"/>
        <v>-1.5691999999999998E-2</v>
      </c>
      <c r="I184" s="2"/>
      <c r="J184" s="2"/>
      <c r="K184" s="2"/>
    </row>
    <row r="185" spans="1:11" x14ac:dyDescent="0.15">
      <c r="A185" s="2" t="s">
        <v>187</v>
      </c>
      <c r="B185" s="2">
        <v>5.7999999999999996E-3</v>
      </c>
      <c r="C185" s="2">
        <v>6.7199999999999996E-2</v>
      </c>
      <c r="D185" s="2">
        <v>9.7999999999999997E-3</v>
      </c>
      <c r="E185">
        <v>2.8999999999999997E-5</v>
      </c>
      <c r="F185">
        <f t="shared" si="8"/>
        <v>5.7709999999999992E-3</v>
      </c>
      <c r="G185">
        <f t="shared" si="9"/>
        <v>6.7170999999999995E-2</v>
      </c>
      <c r="H185">
        <f t="shared" si="10"/>
        <v>9.7710000000000002E-3</v>
      </c>
      <c r="I185" s="2"/>
      <c r="J185" s="2"/>
      <c r="K185" s="2"/>
    </row>
    <row r="186" spans="1:11" x14ac:dyDescent="0.15">
      <c r="A186" s="2" t="s">
        <v>188</v>
      </c>
      <c r="B186" s="2">
        <v>4.53E-2</v>
      </c>
      <c r="C186" s="2">
        <v>-2E-3</v>
      </c>
      <c r="D186" s="2">
        <v>1.29E-2</v>
      </c>
      <c r="E186">
        <v>-4.9999999999999996E-6</v>
      </c>
      <c r="F186">
        <f t="shared" si="8"/>
        <v>4.5304999999999998E-2</v>
      </c>
      <c r="G186">
        <f t="shared" si="9"/>
        <v>-1.9950000000000002E-3</v>
      </c>
      <c r="H186">
        <f t="shared" si="10"/>
        <v>1.2905E-2</v>
      </c>
      <c r="I186" s="2"/>
      <c r="J186" s="2"/>
      <c r="K186" s="2"/>
    </row>
    <row r="187" spans="1:11" x14ac:dyDescent="0.15">
      <c r="A187" s="2" t="s">
        <v>189</v>
      </c>
      <c r="B187" s="2">
        <v>-3.73E-2</v>
      </c>
      <c r="C187" s="2">
        <v>-4.1200000000000001E-2</v>
      </c>
      <c r="D187" s="2">
        <v>-2.0299999999999999E-2</v>
      </c>
      <c r="E187">
        <v>3.9999999999999998E-6</v>
      </c>
      <c r="F187">
        <f t="shared" si="8"/>
        <v>-3.7303999999999997E-2</v>
      </c>
      <c r="G187">
        <f t="shared" si="9"/>
        <v>-4.1203999999999998E-2</v>
      </c>
      <c r="H187">
        <f t="shared" si="10"/>
        <v>-2.0303999999999999E-2</v>
      </c>
      <c r="I187" s="2"/>
      <c r="J187" s="2"/>
      <c r="K187" s="2"/>
    </row>
    <row r="188" spans="1:11" x14ac:dyDescent="0.15">
      <c r="A188" s="2" t="s">
        <v>190</v>
      </c>
      <c r="B188" s="2">
        <v>-3.2899999999999999E-2</v>
      </c>
      <c r="C188" s="2">
        <v>-4.1000000000000003E-3</v>
      </c>
      <c r="D188" s="2">
        <v>2.2599999999999999E-2</v>
      </c>
      <c r="E188">
        <v>-3.6999999999999998E-5</v>
      </c>
      <c r="F188">
        <f t="shared" si="8"/>
        <v>-3.2862999999999996E-2</v>
      </c>
      <c r="G188">
        <f t="shared" si="9"/>
        <v>-4.0630000000000006E-3</v>
      </c>
      <c r="H188">
        <f t="shared" si="10"/>
        <v>2.2636999999999997E-2</v>
      </c>
      <c r="I188" s="2"/>
      <c r="J188" s="2"/>
      <c r="K188" s="2"/>
    </row>
    <row r="189" spans="1:11" x14ac:dyDescent="0.15">
      <c r="A189" s="2" t="s">
        <v>191</v>
      </c>
      <c r="B189" s="2">
        <v>-6.6199999999999995E-2</v>
      </c>
      <c r="C189" s="2">
        <v>-7.9500000000000001E-2</v>
      </c>
      <c r="D189" s="2">
        <v>-6.0999999999999999E-2</v>
      </c>
      <c r="E189">
        <v>2.6999999999999999E-5</v>
      </c>
      <c r="F189">
        <f t="shared" si="8"/>
        <v>-6.6226999999999994E-2</v>
      </c>
      <c r="G189">
        <f t="shared" si="9"/>
        <v>-7.9527E-2</v>
      </c>
      <c r="H189">
        <f t="shared" si="10"/>
        <v>-6.1026999999999998E-2</v>
      </c>
      <c r="I189" s="2"/>
      <c r="J189" s="2"/>
      <c r="K189" s="2"/>
    </row>
    <row r="190" spans="1:11" x14ac:dyDescent="0.15">
      <c r="A190" s="2" t="s">
        <v>192</v>
      </c>
      <c r="B190" s="2">
        <v>-2.18E-2</v>
      </c>
      <c r="C190" s="2">
        <v>-1.9699999999999999E-2</v>
      </c>
      <c r="D190" s="2">
        <v>-2.5399999999999999E-2</v>
      </c>
      <c r="E190">
        <v>-6.0000000000000002E-6</v>
      </c>
      <c r="F190">
        <f t="shared" si="8"/>
        <v>-2.1794000000000001E-2</v>
      </c>
      <c r="G190">
        <f t="shared" si="9"/>
        <v>-1.9694E-2</v>
      </c>
      <c r="H190">
        <f t="shared" si="10"/>
        <v>-2.5394E-2</v>
      </c>
      <c r="I190" s="2"/>
      <c r="J190" s="2"/>
      <c r="K190" s="2"/>
    </row>
    <row r="191" spans="1:11" x14ac:dyDescent="0.15">
      <c r="A191" s="2" t="s">
        <v>193</v>
      </c>
      <c r="B191" s="2">
        <v>8.3400000000000002E-2</v>
      </c>
      <c r="C191" s="2">
        <v>-3.3700000000000001E-2</v>
      </c>
      <c r="D191" s="2">
        <v>8.5099999999999995E-2</v>
      </c>
      <c r="E191">
        <v>-2.6999999999999999E-5</v>
      </c>
      <c r="F191">
        <f t="shared" si="8"/>
        <v>8.3427000000000001E-2</v>
      </c>
      <c r="G191">
        <f t="shared" si="9"/>
        <v>-3.3673000000000002E-2</v>
      </c>
      <c r="H191">
        <f t="shared" si="10"/>
        <v>8.5126999999999994E-2</v>
      </c>
      <c r="I191" s="2"/>
      <c r="J191" s="2"/>
      <c r="K191" s="2"/>
    </row>
    <row r="192" spans="1:11" x14ac:dyDescent="0.15">
      <c r="A192" s="2" t="s">
        <v>194</v>
      </c>
      <c r="B192" s="2">
        <v>-5.7999999999999996E-3</v>
      </c>
      <c r="C192" s="2">
        <v>4.5999999999999999E-3</v>
      </c>
      <c r="D192" s="2">
        <v>3.7000000000000002E-3</v>
      </c>
      <c r="E192">
        <v>1.9999999999999998E-5</v>
      </c>
      <c r="F192">
        <f t="shared" si="8"/>
        <v>-5.8199999999999997E-3</v>
      </c>
      <c r="G192">
        <f t="shared" si="9"/>
        <v>4.5799999999999999E-3</v>
      </c>
      <c r="H192">
        <f t="shared" si="10"/>
        <v>3.6800000000000001E-3</v>
      </c>
      <c r="I192" s="2"/>
      <c r="J192" s="2"/>
      <c r="K192" s="2"/>
    </row>
    <row r="193" spans="1:11" x14ac:dyDescent="0.15">
      <c r="A193" s="2" t="s">
        <v>195</v>
      </c>
      <c r="B193" s="2">
        <v>-0.11020000000000001</v>
      </c>
      <c r="C193" s="2">
        <v>-1.29E-2</v>
      </c>
      <c r="D193" s="2">
        <v>-1.72E-2</v>
      </c>
      <c r="E193">
        <v>1.0300000000000001E-4</v>
      </c>
      <c r="F193">
        <f t="shared" si="8"/>
        <v>-0.11030300000000001</v>
      </c>
      <c r="G193">
        <f t="shared" si="9"/>
        <v>-1.3003000000000001E-2</v>
      </c>
      <c r="H193">
        <f t="shared" si="10"/>
        <v>-1.7302999999999999E-2</v>
      </c>
      <c r="I193" s="2"/>
      <c r="J193" s="2"/>
      <c r="K193" s="2"/>
    </row>
    <row r="194" spans="1:11" x14ac:dyDescent="0.15">
      <c r="A194" s="2" t="s">
        <v>196</v>
      </c>
      <c r="B194" s="2">
        <v>-7.5200000000000003E-2</v>
      </c>
      <c r="C194" s="2">
        <v>-9.3200000000000005E-2</v>
      </c>
      <c r="D194" s="2">
        <v>-4.9799999999999997E-2</v>
      </c>
      <c r="E194">
        <v>3.6999999999999998E-5</v>
      </c>
      <c r="F194">
        <f t="shared" si="8"/>
        <v>-7.5236999999999998E-2</v>
      </c>
      <c r="G194">
        <f t="shared" si="9"/>
        <v>-9.3237E-2</v>
      </c>
      <c r="H194">
        <f t="shared" si="10"/>
        <v>-4.9836999999999999E-2</v>
      </c>
      <c r="I194" s="2"/>
      <c r="J194" s="2"/>
      <c r="K194" s="2"/>
    </row>
    <row r="195" spans="1:11" x14ac:dyDescent="0.15">
      <c r="A195" s="2" t="s">
        <v>197</v>
      </c>
      <c r="B195" s="2">
        <v>-1.2999999999999999E-3</v>
      </c>
      <c r="C195" s="2">
        <v>6.08E-2</v>
      </c>
      <c r="D195" s="2">
        <v>-8.0000000000000004E-4</v>
      </c>
      <c r="E195">
        <v>2.05E-4</v>
      </c>
      <c r="F195">
        <f t="shared" ref="F195:F258" si="11">B195-$E195</f>
        <v>-1.5049999999999998E-3</v>
      </c>
      <c r="G195">
        <f t="shared" ref="G195:G258" si="12">C195-$E195</f>
        <v>6.0595000000000003E-2</v>
      </c>
      <c r="H195">
        <f t="shared" ref="H195:H258" si="13">D195-$E195</f>
        <v>-1.005E-3</v>
      </c>
      <c r="I195" s="2"/>
      <c r="J195" s="2"/>
      <c r="K195" s="2"/>
    </row>
    <row r="196" spans="1:11" x14ac:dyDescent="0.15">
      <c r="A196" s="2" t="s">
        <v>198</v>
      </c>
      <c r="B196" s="2">
        <v>0.12720000000000001</v>
      </c>
      <c r="C196" s="2">
        <v>0.15579999999999999</v>
      </c>
      <c r="D196" s="2">
        <v>6.7199999999999996E-2</v>
      </c>
      <c r="E196">
        <v>1.9000000000000001E-4</v>
      </c>
      <c r="F196">
        <f t="shared" si="11"/>
        <v>0.12701000000000001</v>
      </c>
      <c r="G196">
        <f t="shared" si="12"/>
        <v>0.15561</v>
      </c>
      <c r="H196">
        <f t="shared" si="13"/>
        <v>6.701E-2</v>
      </c>
      <c r="I196" s="2"/>
      <c r="J196" s="2"/>
      <c r="K196" s="2"/>
    </row>
    <row r="197" spans="1:11" x14ac:dyDescent="0.15">
      <c r="A197" s="2" t="s">
        <v>199</v>
      </c>
      <c r="B197" s="2">
        <v>-0.1399</v>
      </c>
      <c r="C197" s="2">
        <v>-3.6400000000000002E-2</v>
      </c>
      <c r="D197" s="2">
        <v>3.8999999999999998E-3</v>
      </c>
      <c r="E197">
        <v>5.1E-5</v>
      </c>
      <c r="F197">
        <f t="shared" si="11"/>
        <v>-0.13995099999999999</v>
      </c>
      <c r="G197">
        <f t="shared" si="12"/>
        <v>-3.6451000000000004E-2</v>
      </c>
      <c r="H197">
        <f t="shared" si="13"/>
        <v>3.849E-3</v>
      </c>
      <c r="I197" s="2"/>
      <c r="J197" s="2"/>
      <c r="K197" s="2"/>
    </row>
    <row r="198" spans="1:11" x14ac:dyDescent="0.15">
      <c r="A198" s="2" t="s">
        <v>200</v>
      </c>
      <c r="B198" s="2">
        <v>7.1800000000000003E-2</v>
      </c>
      <c r="C198" s="2">
        <v>6.3500000000000001E-2</v>
      </c>
      <c r="D198" s="2">
        <v>1.7000000000000001E-2</v>
      </c>
      <c r="E198">
        <v>1.15E-4</v>
      </c>
      <c r="F198">
        <f t="shared" si="11"/>
        <v>7.1684999999999999E-2</v>
      </c>
      <c r="G198">
        <f t="shared" si="12"/>
        <v>6.3384999999999997E-2</v>
      </c>
      <c r="H198">
        <f t="shared" si="13"/>
        <v>1.6885000000000001E-2</v>
      </c>
      <c r="I198" s="2"/>
      <c r="J198" s="2"/>
      <c r="K198" s="2"/>
    </row>
    <row r="199" spans="1:11" x14ac:dyDescent="0.15">
      <c r="A199" s="2" t="s">
        <v>201</v>
      </c>
      <c r="B199" s="2">
        <v>-4.2700000000000002E-2</v>
      </c>
      <c r="C199" s="2">
        <v>-1.2699999999999999E-2</v>
      </c>
      <c r="D199" s="2">
        <v>3.5000000000000001E-3</v>
      </c>
      <c r="E199">
        <v>1.8800000000000002E-4</v>
      </c>
      <c r="F199">
        <f t="shared" si="11"/>
        <v>-4.2888000000000003E-2</v>
      </c>
      <c r="G199">
        <f t="shared" si="12"/>
        <v>-1.2888E-2</v>
      </c>
      <c r="H199">
        <f t="shared" si="13"/>
        <v>3.3119999999999998E-3</v>
      </c>
      <c r="I199" s="2"/>
      <c r="J199" s="2"/>
      <c r="K199" s="2"/>
    </row>
    <row r="200" spans="1:11" x14ac:dyDescent="0.15">
      <c r="A200" s="2" t="s">
        <v>202</v>
      </c>
      <c r="B200" s="2">
        <v>9.01E-2</v>
      </c>
      <c r="C200" s="2">
        <v>5.8200000000000002E-2</v>
      </c>
      <c r="D200" s="2">
        <v>3.6499999999999998E-2</v>
      </c>
      <c r="E200">
        <v>1.7100000000000001E-4</v>
      </c>
      <c r="F200">
        <f t="shared" si="11"/>
        <v>8.9928999999999995E-2</v>
      </c>
      <c r="G200">
        <f t="shared" si="12"/>
        <v>5.8029000000000004E-2</v>
      </c>
      <c r="H200">
        <f t="shared" si="13"/>
        <v>3.6329E-2</v>
      </c>
      <c r="I200" s="2"/>
      <c r="J200" s="2"/>
      <c r="K200" s="2"/>
    </row>
    <row r="201" spans="1:11" x14ac:dyDescent="0.15">
      <c r="A201" s="2" t="s">
        <v>203</v>
      </c>
      <c r="B201" s="2">
        <v>2.3599999999999999E-2</v>
      </c>
      <c r="C201" s="2">
        <v>-2.3E-3</v>
      </c>
      <c r="D201" s="2">
        <v>1.1999999999999999E-3</v>
      </c>
      <c r="E201">
        <v>1.65E-4</v>
      </c>
      <c r="F201">
        <f t="shared" si="11"/>
        <v>2.3435000000000001E-2</v>
      </c>
      <c r="G201">
        <f t="shared" si="12"/>
        <v>-2.4650000000000002E-3</v>
      </c>
      <c r="H201">
        <f t="shared" si="13"/>
        <v>1.0349999999999999E-3</v>
      </c>
      <c r="I201" s="2"/>
      <c r="J201" s="2"/>
      <c r="K201" s="2"/>
    </row>
    <row r="202" spans="1:11" x14ac:dyDescent="0.15">
      <c r="A202" s="2" t="s">
        <v>204</v>
      </c>
      <c r="B202" s="2">
        <v>6.5500000000000003E-2</v>
      </c>
      <c r="C202" s="2">
        <v>-2.0000000000000001E-4</v>
      </c>
      <c r="D202" s="2">
        <v>1E-4</v>
      </c>
      <c r="E202">
        <v>2.1900000000000001E-4</v>
      </c>
      <c r="F202">
        <f t="shared" si="11"/>
        <v>6.5281000000000006E-2</v>
      </c>
      <c r="G202">
        <f t="shared" si="12"/>
        <v>-4.1899999999999999E-4</v>
      </c>
      <c r="H202">
        <f t="shared" si="13"/>
        <v>-1.1900000000000001E-4</v>
      </c>
      <c r="I202" s="2"/>
      <c r="J202" s="2"/>
      <c r="K202" s="2"/>
    </row>
    <row r="203" spans="1:11" x14ac:dyDescent="0.15">
      <c r="A203" s="2" t="s">
        <v>205</v>
      </c>
      <c r="B203" s="2">
        <v>4.3E-3</v>
      </c>
      <c r="C203" s="2">
        <v>-3.2500000000000001E-2</v>
      </c>
      <c r="D203" s="2">
        <v>-1.7299999999999999E-2</v>
      </c>
      <c r="E203">
        <v>1.6800000000000002E-4</v>
      </c>
      <c r="F203">
        <f t="shared" si="11"/>
        <v>4.1320000000000003E-3</v>
      </c>
      <c r="G203">
        <f t="shared" si="12"/>
        <v>-3.2668000000000003E-2</v>
      </c>
      <c r="H203">
        <f t="shared" si="13"/>
        <v>-1.7468000000000001E-2</v>
      </c>
      <c r="I203" s="2"/>
      <c r="J203" s="2"/>
      <c r="K203" s="2"/>
    </row>
    <row r="204" spans="1:11" x14ac:dyDescent="0.15">
      <c r="A204" s="2" t="s">
        <v>206</v>
      </c>
      <c r="B204" s="2">
        <v>-2.1499999999999998E-2</v>
      </c>
      <c r="C204" s="2">
        <v>6.5000000000000002E-2</v>
      </c>
      <c r="D204" s="2">
        <v>3.6799999999999999E-2</v>
      </c>
      <c r="E204">
        <v>1.36E-4</v>
      </c>
      <c r="F204">
        <f t="shared" si="11"/>
        <v>-2.1635999999999999E-2</v>
      </c>
      <c r="G204">
        <f t="shared" si="12"/>
        <v>6.4864000000000005E-2</v>
      </c>
      <c r="H204">
        <f t="shared" si="13"/>
        <v>3.6664000000000002E-2</v>
      </c>
      <c r="I204" s="2"/>
      <c r="J204" s="2"/>
      <c r="K204" s="2"/>
    </row>
    <row r="205" spans="1:11" x14ac:dyDescent="0.15">
      <c r="A205" s="2" t="s">
        <v>207</v>
      </c>
      <c r="B205" s="2">
        <v>4.8000000000000001E-2</v>
      </c>
      <c r="C205" s="2">
        <v>2.3199999999999998E-2</v>
      </c>
      <c r="D205" s="2">
        <v>2.0299999999999999E-2</v>
      </c>
      <c r="E205">
        <v>2.3900000000000001E-4</v>
      </c>
      <c r="F205">
        <f t="shared" si="11"/>
        <v>4.7760999999999998E-2</v>
      </c>
      <c r="G205">
        <f t="shared" si="12"/>
        <v>2.2960999999999999E-2</v>
      </c>
      <c r="H205">
        <f t="shared" si="13"/>
        <v>2.0060999999999999E-2</v>
      </c>
      <c r="I205" s="2"/>
      <c r="J205" s="2"/>
      <c r="K205" s="2"/>
    </row>
    <row r="206" spans="1:11" x14ac:dyDescent="0.15">
      <c r="A206" s="2" t="s">
        <v>208</v>
      </c>
      <c r="B206" s="2">
        <v>4.7699999999999999E-2</v>
      </c>
      <c r="C206" s="2">
        <v>5.1400000000000001E-2</v>
      </c>
      <c r="D206" s="2">
        <v>1.7899999999999999E-2</v>
      </c>
      <c r="E206">
        <v>3.5800000000000003E-4</v>
      </c>
      <c r="F206">
        <f t="shared" si="11"/>
        <v>4.7342000000000002E-2</v>
      </c>
      <c r="G206">
        <f t="shared" si="12"/>
        <v>5.1042000000000004E-2</v>
      </c>
      <c r="H206">
        <f t="shared" si="13"/>
        <v>1.7541999999999999E-2</v>
      </c>
      <c r="I206" s="2"/>
      <c r="J206" s="2"/>
      <c r="K206" s="2"/>
    </row>
    <row r="207" spans="1:11" x14ac:dyDescent="0.15">
      <c r="A207" s="2" t="s">
        <v>209</v>
      </c>
      <c r="B207" s="2">
        <v>0.13370000000000001</v>
      </c>
      <c r="C207" s="2">
        <v>3.8600000000000002E-2</v>
      </c>
      <c r="D207" s="2">
        <v>3.9300000000000002E-2</v>
      </c>
      <c r="E207">
        <v>3.6400000000000001E-4</v>
      </c>
      <c r="F207">
        <f t="shared" si="11"/>
        <v>0.13333600000000001</v>
      </c>
      <c r="G207">
        <f t="shared" si="12"/>
        <v>3.8235999999999999E-2</v>
      </c>
      <c r="H207">
        <f t="shared" si="13"/>
        <v>3.8935999999999998E-2</v>
      </c>
      <c r="I207" s="2"/>
      <c r="J207" s="2"/>
      <c r="K207" s="2"/>
    </row>
    <row r="208" spans="1:11" x14ac:dyDescent="0.15">
      <c r="A208" s="2" t="s">
        <v>210</v>
      </c>
      <c r="B208" s="2">
        <v>4.87E-2</v>
      </c>
      <c r="C208" s="2">
        <v>-3.1600000000000003E-2</v>
      </c>
      <c r="D208" s="2">
        <v>1.2999999999999999E-3</v>
      </c>
      <c r="E208">
        <v>3.5300000000000002E-4</v>
      </c>
      <c r="F208">
        <f t="shared" si="11"/>
        <v>4.8347000000000001E-2</v>
      </c>
      <c r="G208">
        <f t="shared" si="12"/>
        <v>-3.1953000000000002E-2</v>
      </c>
      <c r="H208">
        <f t="shared" si="13"/>
        <v>9.4699999999999993E-4</v>
      </c>
      <c r="I208" s="2"/>
      <c r="J208" s="2"/>
      <c r="K208" s="2"/>
    </row>
    <row r="209" spans="1:11" x14ac:dyDescent="0.15">
      <c r="A209" s="2" t="s">
        <v>211</v>
      </c>
      <c r="B209" s="2">
        <v>-1E-4</v>
      </c>
      <c r="C209" s="2">
        <v>-7.9500000000000001E-2</v>
      </c>
      <c r="D209" s="2">
        <v>9.9000000000000008E-3</v>
      </c>
      <c r="E209">
        <v>5.3700000000000004E-4</v>
      </c>
      <c r="F209">
        <f t="shared" si="11"/>
        <v>-6.3700000000000009E-4</v>
      </c>
      <c r="G209">
        <f t="shared" si="12"/>
        <v>-8.0036999999999997E-2</v>
      </c>
      <c r="H209">
        <f t="shared" si="13"/>
        <v>9.3630000000000015E-3</v>
      </c>
      <c r="I209" s="2"/>
      <c r="J209" s="2"/>
      <c r="K209" s="2"/>
    </row>
    <row r="210" spans="1:11" x14ac:dyDescent="0.15">
      <c r="A210" s="2" t="s">
        <v>212</v>
      </c>
      <c r="B210" s="2">
        <v>6.7799999999999999E-2</v>
      </c>
      <c r="C210" s="2">
        <v>-3.85E-2</v>
      </c>
      <c r="D210" s="2">
        <v>1.41E-2</v>
      </c>
      <c r="E210">
        <v>6.1400000000000007E-4</v>
      </c>
      <c r="F210">
        <f t="shared" si="11"/>
        <v>6.7185999999999996E-2</v>
      </c>
      <c r="G210">
        <f t="shared" si="12"/>
        <v>-3.9114000000000003E-2</v>
      </c>
      <c r="H210">
        <f t="shared" si="13"/>
        <v>1.3486E-2</v>
      </c>
      <c r="I210" s="2"/>
      <c r="J210" s="2"/>
      <c r="K210" s="2"/>
    </row>
    <row r="211" spans="1:11" x14ac:dyDescent="0.15">
      <c r="A211" s="2" t="s">
        <v>213</v>
      </c>
      <c r="B211" s="2">
        <v>-5.7200000000000001E-2</v>
      </c>
      <c r="C211" s="2">
        <v>7.9000000000000008E-3</v>
      </c>
      <c r="D211" s="2">
        <v>6.4000000000000003E-3</v>
      </c>
      <c r="E211">
        <v>6.1700000000000004E-4</v>
      </c>
      <c r="F211">
        <f t="shared" si="11"/>
        <v>-5.7817E-2</v>
      </c>
      <c r="G211">
        <f t="shared" si="12"/>
        <v>7.2830000000000004E-3</v>
      </c>
      <c r="H211">
        <f t="shared" si="13"/>
        <v>5.7829999999999999E-3</v>
      </c>
      <c r="I211" s="2"/>
      <c r="J211" s="2"/>
      <c r="K211" s="2"/>
    </row>
    <row r="212" spans="1:11" x14ac:dyDescent="0.15">
      <c r="A212" s="2" t="s">
        <v>214</v>
      </c>
      <c r="B212" s="2">
        <v>3.27E-2</v>
      </c>
      <c r="C212" s="2">
        <v>-5.9499999999999997E-2</v>
      </c>
      <c r="D212" s="2">
        <v>2.06E-2</v>
      </c>
      <c r="E212">
        <v>7.2199999999999999E-4</v>
      </c>
      <c r="F212">
        <f t="shared" si="11"/>
        <v>3.1977999999999999E-2</v>
      </c>
      <c r="G212">
        <f t="shared" si="12"/>
        <v>-6.0221999999999998E-2</v>
      </c>
      <c r="H212">
        <f t="shared" si="13"/>
        <v>1.9878E-2</v>
      </c>
      <c r="I212" s="2"/>
      <c r="J212" s="2"/>
      <c r="K212" s="2"/>
    </row>
    <row r="213" spans="1:11" x14ac:dyDescent="0.15">
      <c r="A213" s="2" t="s">
        <v>215</v>
      </c>
      <c r="B213" s="2">
        <v>0.1071</v>
      </c>
      <c r="C213" s="2">
        <v>-8.9999999999999998E-4</v>
      </c>
      <c r="D213" s="2">
        <v>2.8999999999999998E-3</v>
      </c>
      <c r="E213">
        <v>8.2700000000000004E-4</v>
      </c>
      <c r="F213">
        <f t="shared" si="11"/>
        <v>0.10627300000000001</v>
      </c>
      <c r="G213">
        <f t="shared" si="12"/>
        <v>-1.727E-3</v>
      </c>
      <c r="H213">
        <f t="shared" si="13"/>
        <v>2.0729999999999998E-3</v>
      </c>
      <c r="I213" s="2"/>
      <c r="J213" s="2"/>
      <c r="K213" s="2"/>
    </row>
    <row r="214" spans="1:11" x14ac:dyDescent="0.15">
      <c r="A214" s="2" t="s">
        <v>216</v>
      </c>
      <c r="B214" s="2">
        <v>-6.0199999999999997E-2</v>
      </c>
      <c r="C214" s="2">
        <v>1.43E-2</v>
      </c>
      <c r="D214" s="2">
        <v>2.01E-2</v>
      </c>
      <c r="E214">
        <v>9.4400000000000007E-4</v>
      </c>
      <c r="F214">
        <f t="shared" si="11"/>
        <v>-6.1143999999999997E-2</v>
      </c>
      <c r="G214">
        <f t="shared" si="12"/>
        <v>1.3356E-2</v>
      </c>
      <c r="H214">
        <f t="shared" si="13"/>
        <v>1.9155999999999999E-2</v>
      </c>
      <c r="I214" s="2"/>
      <c r="J214" s="2"/>
      <c r="K214" s="2"/>
    </row>
    <row r="215" spans="1:11" x14ac:dyDescent="0.15">
      <c r="A215" s="2" t="s">
        <v>217</v>
      </c>
      <c r="B215" s="2">
        <v>9.6799999999999997E-2</v>
      </c>
      <c r="C215" s="2">
        <v>6.1899999999999997E-2</v>
      </c>
      <c r="D215" s="2">
        <v>2.3599999999999999E-2</v>
      </c>
      <c r="E215">
        <v>8.4000000000000003E-4</v>
      </c>
      <c r="F215">
        <f t="shared" si="11"/>
        <v>9.5960000000000004E-2</v>
      </c>
      <c r="G215">
        <f t="shared" si="12"/>
        <v>6.1059999999999996E-2</v>
      </c>
      <c r="H215">
        <f t="shared" si="13"/>
        <v>2.2759999999999999E-2</v>
      </c>
      <c r="I215" s="2"/>
      <c r="J215" s="2"/>
      <c r="K215" s="2"/>
    </row>
    <row r="216" spans="1:11" x14ac:dyDescent="0.15">
      <c r="A216" s="2" t="s">
        <v>218</v>
      </c>
      <c r="B216" s="2">
        <v>2.0299999999999999E-2</v>
      </c>
      <c r="C216" s="2">
        <v>9.4000000000000004E-3</v>
      </c>
      <c r="D216" s="2">
        <v>3.0599999999999999E-2</v>
      </c>
      <c r="E216">
        <v>8.2600000000000002E-4</v>
      </c>
      <c r="F216">
        <f t="shared" si="11"/>
        <v>1.9473999999999998E-2</v>
      </c>
      <c r="G216">
        <f t="shared" si="12"/>
        <v>8.574E-3</v>
      </c>
      <c r="H216">
        <f t="shared" si="13"/>
        <v>2.9773999999999998E-2</v>
      </c>
      <c r="I216" s="2"/>
      <c r="J216" s="2"/>
      <c r="K216" s="2"/>
    </row>
    <row r="217" spans="1:11" x14ac:dyDescent="0.15">
      <c r="A217" s="2" t="s">
        <v>219</v>
      </c>
      <c r="B217" s="2">
        <v>-1.52E-2</v>
      </c>
      <c r="C217" s="2">
        <v>-3.5999999999999999E-3</v>
      </c>
      <c r="D217" s="2">
        <v>1.21E-2</v>
      </c>
      <c r="E217">
        <v>8.8400000000000002E-4</v>
      </c>
      <c r="F217">
        <f t="shared" si="11"/>
        <v>-1.6084000000000001E-2</v>
      </c>
      <c r="G217">
        <f t="shared" si="12"/>
        <v>-4.4840000000000001E-3</v>
      </c>
      <c r="H217">
        <f t="shared" si="13"/>
        <v>1.1216E-2</v>
      </c>
      <c r="I217" s="2"/>
      <c r="J217" s="2"/>
      <c r="K217" s="2"/>
    </row>
    <row r="218" spans="1:11" x14ac:dyDescent="0.15">
      <c r="A218" s="2" t="s">
        <v>220</v>
      </c>
      <c r="B218" s="2">
        <v>-1.06E-2</v>
      </c>
      <c r="C218" s="2">
        <v>6.7000000000000004E-2</v>
      </c>
      <c r="D218" s="2">
        <v>5.6399999999999999E-2</v>
      </c>
      <c r="E218">
        <v>1.121E-3</v>
      </c>
      <c r="F218">
        <f t="shared" si="11"/>
        <v>-1.1721000000000001E-2</v>
      </c>
      <c r="G218">
        <f t="shared" si="12"/>
        <v>6.5879000000000007E-2</v>
      </c>
      <c r="H218">
        <f t="shared" si="13"/>
        <v>5.5279000000000002E-2</v>
      </c>
      <c r="I218" s="2"/>
      <c r="J218" s="2"/>
      <c r="K218" s="2"/>
    </row>
    <row r="219" spans="1:11" x14ac:dyDescent="0.15">
      <c r="A219" s="2" t="s">
        <v>221</v>
      </c>
      <c r="B219" s="2">
        <v>6.8099999999999994E-2</v>
      </c>
      <c r="C219" s="2">
        <v>-3.8399999999999997E-2</v>
      </c>
      <c r="D219" s="2">
        <v>-3.6400000000000002E-2</v>
      </c>
      <c r="E219">
        <v>1.0730000000000002E-3</v>
      </c>
      <c r="F219">
        <f t="shared" si="11"/>
        <v>6.7026999999999989E-2</v>
      </c>
      <c r="G219">
        <f t="shared" si="12"/>
        <v>-3.9472999999999994E-2</v>
      </c>
      <c r="H219">
        <f t="shared" si="13"/>
        <v>-3.7472999999999999E-2</v>
      </c>
      <c r="I219" s="2"/>
      <c r="J219" s="2"/>
      <c r="K219" s="2"/>
    </row>
    <row r="220" spans="1:11" x14ac:dyDescent="0.15">
      <c r="A220" s="2" t="s">
        <v>222</v>
      </c>
      <c r="B220" s="2">
        <v>-5.8099999999999999E-2</v>
      </c>
      <c r="C220" s="2">
        <v>-1.54E-2</v>
      </c>
      <c r="D220" s="2">
        <v>-2.7400000000000001E-2</v>
      </c>
      <c r="E220">
        <v>2.61E-4</v>
      </c>
      <c r="F220">
        <f t="shared" si="11"/>
        <v>-5.8360999999999996E-2</v>
      </c>
      <c r="G220">
        <f t="shared" si="12"/>
        <v>-1.5661000000000001E-2</v>
      </c>
      <c r="H220">
        <f t="shared" si="13"/>
        <v>-2.7661000000000002E-2</v>
      </c>
      <c r="I220" s="2"/>
      <c r="J220" s="2"/>
      <c r="K220" s="2"/>
    </row>
    <row r="221" spans="1:11" x14ac:dyDescent="0.15">
      <c r="A221" s="2" t="s">
        <v>223</v>
      </c>
      <c r="B221" s="2">
        <v>-1.4999999999999999E-2</v>
      </c>
      <c r="C221" s="2">
        <v>-5.5199999999999999E-2</v>
      </c>
      <c r="D221" s="2">
        <v>5.1999999999999998E-3</v>
      </c>
      <c r="E221">
        <v>1.433E-3</v>
      </c>
      <c r="F221">
        <f t="shared" si="11"/>
        <v>-1.6433E-2</v>
      </c>
      <c r="G221">
        <f t="shared" si="12"/>
        <v>-5.6632999999999996E-2</v>
      </c>
      <c r="H221">
        <f t="shared" si="13"/>
        <v>3.7669999999999995E-3</v>
      </c>
      <c r="I221" s="2"/>
      <c r="J221" s="2"/>
      <c r="K221" s="2"/>
    </row>
    <row r="222" spans="1:11" x14ac:dyDescent="0.15">
      <c r="A222" s="2" t="s">
        <v>224</v>
      </c>
      <c r="B222" s="2">
        <v>0.1351</v>
      </c>
      <c r="C222" s="2">
        <v>-1.44E-2</v>
      </c>
      <c r="D222" s="2">
        <v>2.4299999999999999E-2</v>
      </c>
      <c r="E222">
        <v>1.4010000000000001E-3</v>
      </c>
      <c r="F222">
        <f t="shared" si="11"/>
        <v>0.13369899999999998</v>
      </c>
      <c r="G222">
        <f t="shared" si="12"/>
        <v>-1.5800999999999999E-2</v>
      </c>
      <c r="H222">
        <f t="shared" si="13"/>
        <v>2.2898999999999999E-2</v>
      </c>
      <c r="I222" s="2"/>
      <c r="J222" s="2"/>
      <c r="K222" s="2"/>
    </row>
    <row r="223" spans="1:11" x14ac:dyDescent="0.15">
      <c r="A223" s="2" t="s">
        <v>225</v>
      </c>
      <c r="B223" s="2">
        <v>-9.4000000000000004E-3</v>
      </c>
      <c r="C223" s="2">
        <v>-1.14E-2</v>
      </c>
      <c r="D223" s="2">
        <v>5.7999999999999996E-3</v>
      </c>
      <c r="E223">
        <v>1.4080000000000002E-3</v>
      </c>
      <c r="F223">
        <f t="shared" si="11"/>
        <v>-1.0808E-2</v>
      </c>
      <c r="G223">
        <f t="shared" si="12"/>
        <v>-1.2808E-2</v>
      </c>
      <c r="H223">
        <f t="shared" si="13"/>
        <v>4.3919999999999992E-3</v>
      </c>
      <c r="I223" s="2"/>
      <c r="J223" s="2"/>
      <c r="K223" s="2"/>
    </row>
    <row r="224" spans="1:11" x14ac:dyDescent="0.15">
      <c r="A224" s="2" t="s">
        <v>226</v>
      </c>
      <c r="B224" s="2">
        <v>2.8000000000000001E-2</v>
      </c>
      <c r="C224" s="2">
        <v>3.7400000000000003E-2</v>
      </c>
      <c r="D224" s="2">
        <v>3.6999999999999998E-2</v>
      </c>
      <c r="E224">
        <v>1.5580000000000001E-3</v>
      </c>
      <c r="F224">
        <f t="shared" si="11"/>
        <v>2.6442E-2</v>
      </c>
      <c r="G224">
        <f t="shared" si="12"/>
        <v>3.5842000000000006E-2</v>
      </c>
      <c r="H224">
        <f t="shared" si="13"/>
        <v>3.5442000000000001E-2</v>
      </c>
      <c r="I224" s="2"/>
      <c r="J224" s="2"/>
      <c r="K224" s="2"/>
    </row>
    <row r="225" spans="1:11" x14ac:dyDescent="0.15">
      <c r="A225" s="2" t="s">
        <v>227</v>
      </c>
      <c r="B225" s="2">
        <v>0.20039999999999999</v>
      </c>
      <c r="C225" s="2">
        <v>2.1700000000000001E-2</v>
      </c>
      <c r="D225" s="2">
        <v>3.1899999999999998E-2</v>
      </c>
      <c r="E225">
        <v>1.575E-3</v>
      </c>
      <c r="F225">
        <f t="shared" si="11"/>
        <v>0.198825</v>
      </c>
      <c r="G225">
        <f t="shared" si="12"/>
        <v>2.0125000000000001E-2</v>
      </c>
      <c r="H225">
        <f t="shared" si="13"/>
        <v>3.0324999999999998E-2</v>
      </c>
      <c r="I225" s="2"/>
      <c r="J225" s="2"/>
      <c r="K225" s="2"/>
    </row>
    <row r="226" spans="1:11" x14ac:dyDescent="0.15">
      <c r="A226" s="2" t="s">
        <v>228</v>
      </c>
      <c r="B226" s="2">
        <v>-8.3000000000000001E-3</v>
      </c>
      <c r="C226" s="2">
        <v>3.2300000000000002E-2</v>
      </c>
      <c r="D226" s="2">
        <v>5.8999999999999999E-3</v>
      </c>
      <c r="E226">
        <v>1.49E-3</v>
      </c>
      <c r="F226">
        <f t="shared" si="11"/>
        <v>-9.7900000000000001E-3</v>
      </c>
      <c r="G226">
        <f t="shared" si="12"/>
        <v>3.0810000000000004E-2</v>
      </c>
      <c r="H226">
        <f t="shared" si="13"/>
        <v>4.4099999999999999E-3</v>
      </c>
      <c r="I226" s="2"/>
      <c r="J226" s="2"/>
      <c r="K226" s="2"/>
    </row>
    <row r="227" spans="1:11" x14ac:dyDescent="0.15">
      <c r="A227" s="2" t="s">
        <v>229</v>
      </c>
      <c r="B227" s="2">
        <v>-3.0499999999999999E-2</v>
      </c>
      <c r="C227" s="2">
        <v>-0.2366</v>
      </c>
      <c r="D227" s="2">
        <v>-6.9099999999999995E-2</v>
      </c>
      <c r="E227">
        <v>1.8900000000000002E-3</v>
      </c>
      <c r="F227">
        <f t="shared" si="11"/>
        <v>-3.2390000000000002E-2</v>
      </c>
      <c r="G227">
        <f t="shared" si="12"/>
        <v>-0.23849000000000001</v>
      </c>
      <c r="H227">
        <f t="shared" si="13"/>
        <v>-7.0989999999999998E-2</v>
      </c>
      <c r="I227" s="2"/>
      <c r="J227" s="2"/>
      <c r="K227" s="2"/>
    </row>
    <row r="228" spans="1:11" x14ac:dyDescent="0.15">
      <c r="A228" s="2" t="s">
        <v>230</v>
      </c>
      <c r="B228" s="2">
        <v>-0.1812</v>
      </c>
      <c r="C228" s="2">
        <v>9.0300000000000005E-2</v>
      </c>
      <c r="D228" s="2">
        <v>1.8499999999999999E-2</v>
      </c>
      <c r="E228">
        <v>1.7950000000000002E-3</v>
      </c>
      <c r="F228">
        <f t="shared" si="11"/>
        <v>-0.18299499999999999</v>
      </c>
      <c r="G228">
        <f t="shared" si="12"/>
        <v>8.8505E-2</v>
      </c>
      <c r="H228">
        <f t="shared" si="13"/>
        <v>1.6704999999999998E-2</v>
      </c>
      <c r="I228" s="2"/>
      <c r="J228" s="2"/>
      <c r="K228" s="2"/>
    </row>
    <row r="229" spans="1:11" x14ac:dyDescent="0.15">
      <c r="A229" s="2" t="s">
        <v>231</v>
      </c>
      <c r="B229" s="2">
        <v>-0.1167</v>
      </c>
      <c r="C229" s="2">
        <v>-8.5300000000000001E-2</v>
      </c>
      <c r="D229" s="2">
        <v>-8.7900000000000006E-2</v>
      </c>
      <c r="E229">
        <v>1.9300000000000001E-3</v>
      </c>
      <c r="F229">
        <f t="shared" si="11"/>
        <v>-0.11863</v>
      </c>
      <c r="G229">
        <f t="shared" si="12"/>
        <v>-8.7230000000000002E-2</v>
      </c>
      <c r="H229">
        <f t="shared" si="13"/>
        <v>-8.9830000000000007E-2</v>
      </c>
      <c r="I229" s="2"/>
      <c r="J229" s="2"/>
      <c r="K229" s="2"/>
    </row>
    <row r="230" spans="1:11" x14ac:dyDescent="0.15">
      <c r="A230" s="2" t="s">
        <v>232</v>
      </c>
      <c r="B230" s="2">
        <v>5.5199999999999999E-2</v>
      </c>
      <c r="C230" s="2">
        <v>0.1825</v>
      </c>
      <c r="D230" s="2">
        <v>8.0100000000000005E-2</v>
      </c>
      <c r="E230">
        <v>1.92E-3</v>
      </c>
      <c r="F230">
        <f t="shared" si="11"/>
        <v>5.3280000000000001E-2</v>
      </c>
      <c r="G230">
        <f t="shared" si="12"/>
        <v>0.18057999999999999</v>
      </c>
      <c r="H230">
        <f t="shared" si="13"/>
        <v>7.8179999999999999E-2</v>
      </c>
      <c r="I230" s="2"/>
      <c r="J230" s="2"/>
      <c r="K230" s="2"/>
    </row>
    <row r="231" spans="1:11" x14ac:dyDescent="0.15">
      <c r="A231" s="2" t="s">
        <v>233</v>
      </c>
      <c r="B231" s="2">
        <v>4.48E-2</v>
      </c>
      <c r="C231" s="2">
        <v>3.9699999999999999E-2</v>
      </c>
      <c r="D231" s="2">
        <v>3.2399999999999998E-2</v>
      </c>
      <c r="E231">
        <v>1.8090000000000001E-3</v>
      </c>
      <c r="F231">
        <f t="shared" si="11"/>
        <v>4.2991000000000001E-2</v>
      </c>
      <c r="G231">
        <f t="shared" si="12"/>
        <v>3.7891000000000001E-2</v>
      </c>
      <c r="H231">
        <f t="shared" si="13"/>
        <v>3.0590999999999997E-2</v>
      </c>
      <c r="I231" s="2"/>
      <c r="J231" s="2"/>
      <c r="K231" s="2"/>
    </row>
    <row r="232" spans="1:11" x14ac:dyDescent="0.15">
      <c r="A232" s="2" t="s">
        <v>234</v>
      </c>
      <c r="B232" s="2">
        <v>9.7000000000000003E-2</v>
      </c>
      <c r="C232" s="2">
        <v>2.1499999999999998E-2</v>
      </c>
      <c r="D232" s="2">
        <v>1.8100000000000002E-2</v>
      </c>
      <c r="E232">
        <v>1.9350000000000001E-3</v>
      </c>
      <c r="F232">
        <f t="shared" si="11"/>
        <v>9.5064999999999997E-2</v>
      </c>
      <c r="G232">
        <f t="shared" si="12"/>
        <v>1.9564999999999999E-2</v>
      </c>
      <c r="H232">
        <f t="shared" si="13"/>
        <v>1.6165000000000002E-2</v>
      </c>
      <c r="I232" s="2"/>
      <c r="J232" s="2"/>
      <c r="K232" s="2"/>
    </row>
    <row r="233" spans="1:11" x14ac:dyDescent="0.15">
      <c r="A233" s="2" t="s">
        <v>235</v>
      </c>
      <c r="B233" s="2">
        <v>5.6399999999999999E-2</v>
      </c>
      <c r="C233" s="2">
        <v>-5.8999999999999999E-3</v>
      </c>
      <c r="D233" s="2">
        <v>4.0899999999999999E-2</v>
      </c>
      <c r="E233">
        <v>2.1250000000000002E-3</v>
      </c>
      <c r="F233">
        <f t="shared" si="11"/>
        <v>5.4274999999999997E-2</v>
      </c>
      <c r="G233">
        <f t="shared" si="12"/>
        <v>-8.0250000000000009E-3</v>
      </c>
      <c r="H233">
        <f t="shared" si="13"/>
        <v>3.8774999999999997E-2</v>
      </c>
      <c r="I233" s="2"/>
      <c r="J233" s="2"/>
      <c r="K233" s="2"/>
    </row>
    <row r="234" spans="1:11" x14ac:dyDescent="0.15">
      <c r="A234" s="2" t="s">
        <v>236</v>
      </c>
      <c r="B234" s="2">
        <v>-0.1242</v>
      </c>
      <c r="C234" s="2">
        <v>-8.3799999999999999E-2</v>
      </c>
      <c r="D234" s="2">
        <v>-6.3799999999999996E-2</v>
      </c>
      <c r="E234">
        <v>1.983E-3</v>
      </c>
      <c r="F234">
        <f t="shared" si="11"/>
        <v>-0.12618300000000002</v>
      </c>
      <c r="G234">
        <f t="shared" si="12"/>
        <v>-8.5782999999999998E-2</v>
      </c>
      <c r="H234">
        <f t="shared" si="13"/>
        <v>-6.5782999999999994E-2</v>
      </c>
      <c r="I234" s="2"/>
      <c r="J234" s="2"/>
      <c r="K234" s="2"/>
    </row>
    <row r="235" spans="1:11" x14ac:dyDescent="0.15">
      <c r="A235" s="2" t="s">
        <v>237</v>
      </c>
      <c r="B235" s="2">
        <v>0.1305</v>
      </c>
      <c r="C235" s="2">
        <v>8.5900000000000004E-2</v>
      </c>
      <c r="D235" s="2">
        <v>6.9599999999999995E-2</v>
      </c>
      <c r="E235">
        <v>1.853E-3</v>
      </c>
      <c r="F235">
        <f t="shared" si="11"/>
        <v>0.12864700000000001</v>
      </c>
      <c r="G235">
        <f t="shared" si="12"/>
        <v>8.4047000000000011E-2</v>
      </c>
      <c r="H235">
        <f t="shared" si="13"/>
        <v>6.7747000000000002E-2</v>
      </c>
      <c r="I235" s="2"/>
      <c r="J235" s="2"/>
      <c r="K235" s="2"/>
    </row>
    <row r="236" spans="1:11" x14ac:dyDescent="0.15">
      <c r="A236" s="2" t="s">
        <v>238</v>
      </c>
      <c r="B236" s="2">
        <v>7.6399999999999996E-2</v>
      </c>
      <c r="C236" s="2">
        <v>7.4999999999999997E-2</v>
      </c>
      <c r="D236" s="2">
        <v>1.5100000000000001E-2</v>
      </c>
      <c r="E236">
        <v>1.7830000000000001E-3</v>
      </c>
      <c r="F236">
        <f t="shared" si="11"/>
        <v>7.4616999999999989E-2</v>
      </c>
      <c r="G236">
        <f t="shared" si="12"/>
        <v>7.321699999999999E-2</v>
      </c>
      <c r="H236">
        <f t="shared" si="13"/>
        <v>1.3317000000000001E-2</v>
      </c>
      <c r="I236" s="2"/>
      <c r="J236" s="2"/>
      <c r="K236" s="2"/>
    </row>
    <row r="237" spans="1:11" x14ac:dyDescent="0.15">
      <c r="A237" s="2" t="s">
        <v>239</v>
      </c>
      <c r="B237" s="2">
        <v>-1.6400000000000001E-2</v>
      </c>
      <c r="C237" s="2">
        <v>-7.5200000000000003E-2</v>
      </c>
      <c r="D237" s="2">
        <v>-1.67E-2</v>
      </c>
      <c r="E237">
        <v>1.9080000000000002E-3</v>
      </c>
      <c r="F237">
        <f t="shared" si="11"/>
        <v>-1.8308000000000001E-2</v>
      </c>
      <c r="G237">
        <f t="shared" si="12"/>
        <v>-7.710800000000001E-2</v>
      </c>
      <c r="H237">
        <f t="shared" si="13"/>
        <v>-1.8608E-2</v>
      </c>
      <c r="I237" s="2"/>
      <c r="J237" s="2"/>
      <c r="K237" s="2"/>
    </row>
    <row r="238" spans="1:11" x14ac:dyDescent="0.15">
      <c r="A238" s="2" t="s">
        <v>240</v>
      </c>
      <c r="B238" s="2">
        <v>7.2999999999999995E-2</v>
      </c>
      <c r="C238" s="2">
        <v>7.2999999999999995E-2</v>
      </c>
      <c r="D238" s="2">
        <v>1.95E-2</v>
      </c>
      <c r="E238">
        <v>1.7870000000000002E-3</v>
      </c>
      <c r="F238">
        <f t="shared" si="11"/>
        <v>7.1212999999999999E-2</v>
      </c>
      <c r="G238">
        <f t="shared" si="12"/>
        <v>7.1212999999999999E-2</v>
      </c>
      <c r="H238">
        <f t="shared" si="13"/>
        <v>1.7713E-2</v>
      </c>
      <c r="I238" s="2"/>
      <c r="J238" s="2"/>
      <c r="K238" s="2"/>
    </row>
    <row r="239" spans="1:11" x14ac:dyDescent="0.15">
      <c r="A239" s="2" t="s">
        <v>241</v>
      </c>
      <c r="B239" s="2">
        <v>0.11070000000000001</v>
      </c>
      <c r="C239" s="2">
        <v>-8.0399999999999999E-2</v>
      </c>
      <c r="D239" s="2">
        <v>2.2100000000000002E-2</v>
      </c>
      <c r="E239">
        <v>1.531E-3</v>
      </c>
      <c r="F239">
        <f t="shared" si="11"/>
        <v>0.109169</v>
      </c>
      <c r="G239">
        <f t="shared" si="12"/>
        <v>-8.1931000000000004E-2</v>
      </c>
      <c r="H239">
        <f t="shared" si="13"/>
        <v>2.0569E-2</v>
      </c>
      <c r="I239" s="2"/>
      <c r="J239" s="2"/>
      <c r="K239" s="2"/>
    </row>
    <row r="240" spans="1:11" x14ac:dyDescent="0.15">
      <c r="A240" s="2" t="s">
        <v>242</v>
      </c>
      <c r="B240" s="2">
        <v>7.7499999999999999E-2</v>
      </c>
      <c r="C240" s="2">
        <v>1.72E-2</v>
      </c>
      <c r="D240" s="2">
        <v>3.6200000000000003E-2</v>
      </c>
      <c r="E240">
        <v>1.1970000000000001E-3</v>
      </c>
      <c r="F240">
        <f t="shared" si="11"/>
        <v>7.6302999999999996E-2</v>
      </c>
      <c r="G240">
        <f t="shared" si="12"/>
        <v>1.6003E-2</v>
      </c>
      <c r="H240">
        <f t="shared" si="13"/>
        <v>3.5003000000000006E-2</v>
      </c>
      <c r="I240" s="2"/>
      <c r="J240" s="2"/>
      <c r="K240" s="2"/>
    </row>
    <row r="241" spans="1:11" x14ac:dyDescent="0.15">
      <c r="A241" s="2" t="s">
        <v>243</v>
      </c>
      <c r="B241" s="2">
        <v>9.8799999999999999E-2</v>
      </c>
      <c r="C241" s="2">
        <v>-3.0000000000000001E-3</v>
      </c>
      <c r="D241" s="2">
        <v>2.9000000000000001E-2</v>
      </c>
      <c r="E241">
        <v>1.4310000000000002E-3</v>
      </c>
      <c r="F241">
        <f t="shared" si="11"/>
        <v>9.7368999999999997E-2</v>
      </c>
      <c r="G241">
        <f t="shared" si="12"/>
        <v>-4.431E-3</v>
      </c>
      <c r="H241">
        <f t="shared" si="13"/>
        <v>2.7569E-2</v>
      </c>
      <c r="I241" s="2"/>
      <c r="J241" s="2"/>
      <c r="K241" s="2"/>
    </row>
    <row r="242" spans="1:11" x14ac:dyDescent="0.15">
      <c r="A242" s="2" t="s">
        <v>244</v>
      </c>
      <c r="B242" s="2">
        <v>5.3999999999999999E-2</v>
      </c>
      <c r="C242" s="2">
        <v>7.2300000000000003E-2</v>
      </c>
      <c r="D242" s="2">
        <v>-4.0000000000000002E-4</v>
      </c>
      <c r="E242">
        <v>1.1640000000000001E-3</v>
      </c>
      <c r="F242">
        <f t="shared" si="11"/>
        <v>5.2836000000000001E-2</v>
      </c>
      <c r="G242">
        <f t="shared" si="12"/>
        <v>7.1136000000000005E-2</v>
      </c>
      <c r="H242">
        <f t="shared" si="13"/>
        <v>-1.5640000000000001E-3</v>
      </c>
      <c r="I242" s="2"/>
      <c r="J242" s="2"/>
      <c r="K242" s="2"/>
    </row>
    <row r="243" spans="1:11" x14ac:dyDescent="0.15">
      <c r="A243" s="2" t="s">
        <v>245</v>
      </c>
      <c r="B243" s="2">
        <v>-0.1147</v>
      </c>
      <c r="C243" s="2">
        <v>-8.4900000000000003E-2</v>
      </c>
      <c r="D243" s="2">
        <v>-7.9200000000000007E-2</v>
      </c>
      <c r="E243">
        <v>1.2080000000000001E-3</v>
      </c>
      <c r="F243">
        <f t="shared" si="11"/>
        <v>-0.115908</v>
      </c>
      <c r="G243">
        <f t="shared" si="12"/>
        <v>-8.6108000000000004E-2</v>
      </c>
      <c r="H243">
        <f t="shared" si="13"/>
        <v>-8.0408000000000007E-2</v>
      </c>
      <c r="I243" s="2"/>
      <c r="J243" s="2"/>
      <c r="K243" s="2"/>
    </row>
    <row r="244" spans="1:11" x14ac:dyDescent="0.15">
      <c r="A244" s="2" t="s">
        <v>246</v>
      </c>
      <c r="B244" s="2">
        <v>-6.9800000000000001E-2</v>
      </c>
      <c r="C244" s="2">
        <v>-0.1477</v>
      </c>
      <c r="D244" s="2">
        <v>-0.1246</v>
      </c>
      <c r="E244">
        <v>1.268E-3</v>
      </c>
      <c r="F244">
        <f t="shared" si="11"/>
        <v>-7.1068000000000006E-2</v>
      </c>
      <c r="G244">
        <f t="shared" si="12"/>
        <v>-0.14896799999999999</v>
      </c>
      <c r="H244">
        <f t="shared" si="13"/>
        <v>-0.12586800000000001</v>
      </c>
      <c r="I244" s="2"/>
      <c r="J244" s="2"/>
      <c r="K244" s="2"/>
    </row>
    <row r="245" spans="1:11" x14ac:dyDescent="0.15">
      <c r="A245" s="2" t="s">
        <v>247</v>
      </c>
      <c r="B245" s="2">
        <v>0.15540000000000001</v>
      </c>
      <c r="C245" s="2">
        <v>0.13189999999999999</v>
      </c>
      <c r="D245" s="2">
        <v>0.127</v>
      </c>
      <c r="E245">
        <v>3.0000000000000001E-6</v>
      </c>
      <c r="F245">
        <f t="shared" si="11"/>
        <v>0.15539700000000001</v>
      </c>
      <c r="G245">
        <f t="shared" si="12"/>
        <v>0.13189699999999999</v>
      </c>
      <c r="H245">
        <f t="shared" si="13"/>
        <v>0.126997</v>
      </c>
      <c r="I245" s="2"/>
      <c r="J245" s="2"/>
      <c r="K245" s="2"/>
    </row>
    <row r="246" spans="1:11" x14ac:dyDescent="0.15">
      <c r="A246" s="2" t="s">
        <v>248</v>
      </c>
      <c r="B246" s="2">
        <v>8.5000000000000006E-2</v>
      </c>
      <c r="C246" s="2">
        <v>8.0999999999999996E-3</v>
      </c>
      <c r="D246" s="2">
        <v>4.7600000000000003E-2</v>
      </c>
      <c r="E246">
        <v>5.8999999999999998E-5</v>
      </c>
      <c r="F246">
        <f t="shared" si="11"/>
        <v>8.4941000000000003E-2</v>
      </c>
      <c r="G246">
        <f t="shared" si="12"/>
        <v>8.0409999999999995E-3</v>
      </c>
      <c r="H246">
        <f t="shared" si="13"/>
        <v>4.7541000000000007E-2</v>
      </c>
      <c r="I246" s="2"/>
      <c r="J246" s="2"/>
      <c r="K246" s="2"/>
    </row>
    <row r="247" spans="1:11" x14ac:dyDescent="0.15">
      <c r="A247" s="2" t="s">
        <v>249</v>
      </c>
      <c r="B247" s="2">
        <v>0.1474</v>
      </c>
      <c r="C247" s="2">
        <v>-3.3099999999999997E-2</v>
      </c>
      <c r="D247" s="2">
        <v>1.78E-2</v>
      </c>
      <c r="E247">
        <v>1.11E-4</v>
      </c>
      <c r="F247">
        <f t="shared" si="11"/>
        <v>0.147289</v>
      </c>
      <c r="G247">
        <f t="shared" si="12"/>
        <v>-3.3210999999999997E-2</v>
      </c>
      <c r="H247">
        <f t="shared" si="13"/>
        <v>1.7689E-2</v>
      </c>
      <c r="I247" s="2"/>
      <c r="J247" s="2"/>
      <c r="K247" s="2"/>
    </row>
    <row r="248" spans="1:11" x14ac:dyDescent="0.15">
      <c r="A248" s="2" t="s">
        <v>250</v>
      </c>
      <c r="B248" s="2">
        <v>0.1651</v>
      </c>
      <c r="C248" s="2">
        <v>1.7999999999999999E-2</v>
      </c>
      <c r="D248" s="2">
        <v>5.8900000000000001E-2</v>
      </c>
      <c r="E248">
        <v>9.5999999999999989E-5</v>
      </c>
      <c r="F248">
        <f t="shared" si="11"/>
        <v>0.16500399999999998</v>
      </c>
      <c r="G248">
        <f t="shared" si="12"/>
        <v>1.7904E-2</v>
      </c>
      <c r="H248">
        <f t="shared" si="13"/>
        <v>5.8804000000000002E-2</v>
      </c>
      <c r="I248" s="2"/>
      <c r="J248" s="2"/>
      <c r="K248" s="2"/>
    </row>
    <row r="249" spans="1:11" x14ac:dyDescent="0.15">
      <c r="A249" s="2" t="s">
        <v>251</v>
      </c>
      <c r="B249" s="2">
        <v>0.21659999999999999</v>
      </c>
      <c r="C249" s="2">
        <v>1.61E-2</v>
      </c>
      <c r="D249" s="2">
        <v>6.9800000000000001E-2</v>
      </c>
      <c r="E249">
        <v>7.8999999999999996E-5</v>
      </c>
      <c r="F249">
        <f t="shared" si="11"/>
        <v>0.21652099999999999</v>
      </c>
      <c r="G249">
        <f t="shared" si="12"/>
        <v>1.6021000000000001E-2</v>
      </c>
      <c r="H249">
        <f t="shared" si="13"/>
        <v>6.9721000000000005E-2</v>
      </c>
      <c r="I249" s="2"/>
      <c r="J249" s="2"/>
      <c r="K249" s="2"/>
    </row>
    <row r="250" spans="1:11" x14ac:dyDescent="0.15">
      <c r="A250" s="2" t="s">
        <v>252</v>
      </c>
      <c r="B250" s="2">
        <v>-0.10249999999999999</v>
      </c>
      <c r="C250" s="2">
        <v>-1.3299999999999999E-2</v>
      </c>
      <c r="D250" s="2">
        <v>-3.7400000000000003E-2</v>
      </c>
      <c r="E250">
        <v>7.5999999999999991E-5</v>
      </c>
      <c r="F250">
        <f t="shared" si="11"/>
        <v>-0.102576</v>
      </c>
      <c r="G250">
        <f t="shared" si="12"/>
        <v>-1.3375999999999999E-2</v>
      </c>
      <c r="H250">
        <f t="shared" si="13"/>
        <v>-3.7476000000000002E-2</v>
      </c>
      <c r="I250" s="2"/>
      <c r="J250" s="2"/>
      <c r="K250" s="2"/>
    </row>
    <row r="251" spans="1:11" x14ac:dyDescent="0.15">
      <c r="A251" s="2" t="s">
        <v>253</v>
      </c>
      <c r="B251" s="2">
        <v>-0.06</v>
      </c>
      <c r="C251" s="2">
        <v>-8.2299999999999998E-2</v>
      </c>
      <c r="D251" s="2">
        <v>-2.4899999999999999E-2</v>
      </c>
      <c r="E251">
        <v>7.2999999999999999E-5</v>
      </c>
      <c r="F251">
        <f t="shared" si="11"/>
        <v>-6.0072999999999994E-2</v>
      </c>
      <c r="G251">
        <f t="shared" si="12"/>
        <v>-8.2373000000000002E-2</v>
      </c>
      <c r="H251">
        <f t="shared" si="13"/>
        <v>-2.4972999999999999E-2</v>
      </c>
      <c r="I251" s="2"/>
      <c r="J251" s="2"/>
      <c r="K251" s="2"/>
    </row>
    <row r="252" spans="1:11" x14ac:dyDescent="0.15">
      <c r="A252" s="2" t="s">
        <v>254</v>
      </c>
      <c r="B252" s="2">
        <v>9.5500000000000002E-2</v>
      </c>
      <c r="C252" s="2">
        <v>0.12180000000000001</v>
      </c>
      <c r="D252" s="2">
        <v>0.10879999999999999</v>
      </c>
      <c r="E252">
        <v>6.5999999999999992E-5</v>
      </c>
      <c r="F252">
        <f t="shared" si="11"/>
        <v>9.5434000000000005E-2</v>
      </c>
      <c r="G252">
        <f t="shared" si="12"/>
        <v>0.12173400000000001</v>
      </c>
      <c r="H252">
        <f t="shared" si="13"/>
        <v>0.108734</v>
      </c>
      <c r="I252" s="2"/>
      <c r="J252" s="2"/>
      <c r="K252" s="2"/>
    </row>
    <row r="253" spans="1:11" x14ac:dyDescent="0.15">
      <c r="A253" s="2" t="s">
        <v>255</v>
      </c>
      <c r="B253" s="2">
        <v>0.11459999999999999</v>
      </c>
      <c r="C253" s="2">
        <v>1.9099999999999999E-2</v>
      </c>
      <c r="D253" s="2">
        <v>3.7100000000000001E-2</v>
      </c>
      <c r="E253">
        <v>5.9999999999999995E-5</v>
      </c>
      <c r="F253">
        <f t="shared" si="11"/>
        <v>0.11453999999999999</v>
      </c>
      <c r="G253">
        <f t="shared" si="12"/>
        <v>1.9039999999999998E-2</v>
      </c>
      <c r="H253">
        <f t="shared" si="13"/>
        <v>3.7040000000000003E-2</v>
      </c>
      <c r="I253" s="2"/>
      <c r="J253" s="2"/>
      <c r="K253" s="2"/>
    </row>
    <row r="254" spans="1:11" x14ac:dyDescent="0.15">
      <c r="A254" s="2" t="s">
        <v>256</v>
      </c>
      <c r="B254" s="2">
        <v>-5.4999999999999997E-3</v>
      </c>
      <c r="C254" s="2">
        <v>-5.3800000000000001E-2</v>
      </c>
      <c r="D254" s="2">
        <v>-1.0200000000000001E-2</v>
      </c>
      <c r="E254">
        <v>4.6E-5</v>
      </c>
      <c r="F254">
        <f t="shared" si="11"/>
        <v>-5.5459999999999997E-3</v>
      </c>
      <c r="G254">
        <f t="shared" si="12"/>
        <v>-5.3845999999999998E-2</v>
      </c>
      <c r="H254">
        <f t="shared" si="13"/>
        <v>-1.0246E-2</v>
      </c>
      <c r="I254" s="2"/>
      <c r="J254" s="2"/>
      <c r="K254" s="2"/>
    </row>
    <row r="255" spans="1:11" x14ac:dyDescent="0.15">
      <c r="A255" s="2" t="s">
        <v>257</v>
      </c>
      <c r="B255" s="2">
        <v>-7.9699999999999993E-2</v>
      </c>
      <c r="C255" s="2">
        <v>1.18E-2</v>
      </c>
      <c r="D255" s="2">
        <v>2.7799999999999998E-2</v>
      </c>
      <c r="E255">
        <v>4.4999999999999996E-5</v>
      </c>
      <c r="F255">
        <f t="shared" si="11"/>
        <v>-7.9744999999999996E-2</v>
      </c>
      <c r="G255">
        <f t="shared" si="12"/>
        <v>1.1755E-2</v>
      </c>
      <c r="H255">
        <f t="shared" si="13"/>
        <v>2.7754999999999998E-2</v>
      </c>
      <c r="I255" s="2"/>
      <c r="J255" s="2"/>
      <c r="K255" s="2"/>
    </row>
    <row r="256" spans="1:11" x14ac:dyDescent="0.15">
      <c r="A256" s="2" t="s">
        <v>258</v>
      </c>
      <c r="B256" s="2">
        <v>7.3000000000000001E-3</v>
      </c>
      <c r="C256" s="2">
        <v>0.1205</v>
      </c>
      <c r="D256" s="2">
        <v>4.5400000000000003E-2</v>
      </c>
      <c r="E256">
        <v>2.6999999999999999E-5</v>
      </c>
      <c r="F256">
        <f t="shared" si="11"/>
        <v>7.273E-3</v>
      </c>
      <c r="G256">
        <f t="shared" si="12"/>
        <v>0.120473</v>
      </c>
      <c r="H256">
        <f t="shared" si="13"/>
        <v>4.5373000000000004E-2</v>
      </c>
      <c r="I256" s="2"/>
      <c r="J256" s="2"/>
      <c r="K256" s="2"/>
    </row>
    <row r="257" spans="1:11" x14ac:dyDescent="0.15">
      <c r="A257" s="2" t="s">
        <v>259</v>
      </c>
      <c r="B257" s="2">
        <v>7.6200000000000004E-2</v>
      </c>
      <c r="C257" s="2">
        <v>6.4699999999999994E-2</v>
      </c>
      <c r="D257" s="2">
        <v>5.2900000000000003E-2</v>
      </c>
      <c r="E257">
        <v>1.4E-5</v>
      </c>
      <c r="F257">
        <f t="shared" si="11"/>
        <v>7.6186000000000004E-2</v>
      </c>
      <c r="G257">
        <f t="shared" si="12"/>
        <v>6.4685999999999994E-2</v>
      </c>
      <c r="H257">
        <f t="shared" si="13"/>
        <v>5.2886000000000002E-2</v>
      </c>
      <c r="I257" s="2"/>
      <c r="J257" s="2"/>
      <c r="K257" s="2"/>
    </row>
    <row r="258" spans="1:11" x14ac:dyDescent="0.15">
      <c r="A258" s="2" t="s">
        <v>260</v>
      </c>
      <c r="B258" s="2">
        <v>-5.0500000000000003E-2</v>
      </c>
      <c r="C258" s="2">
        <v>2.4500000000000001E-2</v>
      </c>
      <c r="D258" s="2">
        <v>6.6E-3</v>
      </c>
      <c r="E258">
        <v>4.9999999999999996E-6</v>
      </c>
      <c r="F258">
        <f t="shared" si="11"/>
        <v>-5.0505000000000001E-2</v>
      </c>
      <c r="G258">
        <f t="shared" si="12"/>
        <v>2.4494999999999999E-2</v>
      </c>
      <c r="H258">
        <f t="shared" si="13"/>
        <v>6.5950000000000002E-3</v>
      </c>
      <c r="I258" s="2"/>
      <c r="J258" s="2"/>
      <c r="K258" s="2"/>
    </row>
    <row r="259" spans="1:11" x14ac:dyDescent="0.15">
      <c r="A259" s="2" t="s">
        <v>261</v>
      </c>
      <c r="B259" s="2">
        <v>9.9099999999999994E-2</v>
      </c>
      <c r="C259" s="2">
        <v>1.9800000000000002E-2</v>
      </c>
      <c r="D259" s="2">
        <v>2.2499999999999999E-2</v>
      </c>
      <c r="E259">
        <v>3.9999999999999998E-6</v>
      </c>
      <c r="F259">
        <f t="shared" ref="F259:F271" si="14">B259-$E259</f>
        <v>9.909599999999999E-2</v>
      </c>
      <c r="G259">
        <f t="shared" ref="G259:G271" si="15">C259-$E259</f>
        <v>1.9796000000000001E-2</v>
      </c>
      <c r="H259">
        <f t="shared" ref="H259:H271" si="16">D259-$E259</f>
        <v>2.2495999999999999E-2</v>
      </c>
      <c r="I259" s="2"/>
      <c r="J259" s="2"/>
      <c r="K259" s="2"/>
    </row>
    <row r="260" spans="1:11" x14ac:dyDescent="0.15">
      <c r="A260" s="2" t="s">
        <v>262</v>
      </c>
      <c r="B260" s="2">
        <v>6.5000000000000002E-2</v>
      </c>
      <c r="C260" s="2">
        <v>-3.8399999999999997E-2</v>
      </c>
      <c r="D260" s="2">
        <v>2.4400000000000002E-2</v>
      </c>
      <c r="E260">
        <v>3.1000000000000001E-5</v>
      </c>
      <c r="F260">
        <f t="shared" si="14"/>
        <v>6.4968999999999999E-2</v>
      </c>
      <c r="G260">
        <f t="shared" si="15"/>
        <v>-3.8431E-2</v>
      </c>
      <c r="H260">
        <f t="shared" si="16"/>
        <v>2.4369000000000002E-2</v>
      </c>
      <c r="I260" s="2"/>
      <c r="J260" s="2"/>
      <c r="K260" s="2"/>
    </row>
    <row r="261" spans="1:11" x14ac:dyDescent="0.15">
      <c r="A261" s="2" t="s">
        <v>263</v>
      </c>
      <c r="B261" s="2">
        <v>4.2500000000000003E-2</v>
      </c>
      <c r="C261" s="2">
        <v>7.1999999999999998E-3</v>
      </c>
      <c r="D261" s="2">
        <v>2.98E-2</v>
      </c>
      <c r="E261">
        <v>4.8999999999999998E-5</v>
      </c>
      <c r="F261">
        <f t="shared" si="14"/>
        <v>4.2451000000000003E-2</v>
      </c>
      <c r="G261">
        <f t="shared" si="15"/>
        <v>7.1509999999999994E-3</v>
      </c>
      <c r="H261">
        <f t="shared" si="16"/>
        <v>2.9751E-2</v>
      </c>
      <c r="I261" s="2"/>
      <c r="J261" s="2"/>
      <c r="K261" s="2"/>
    </row>
    <row r="262" spans="1:11" x14ac:dyDescent="0.15">
      <c r="A262" s="2" t="s">
        <v>264</v>
      </c>
      <c r="B262" s="2">
        <v>-6.8000000000000005E-2</v>
      </c>
      <c r="C262" s="2">
        <v>-0.01</v>
      </c>
      <c r="D262" s="2">
        <v>-4.6600000000000003E-2</v>
      </c>
      <c r="E262">
        <v>3.2999999999999996E-5</v>
      </c>
      <c r="F262">
        <f t="shared" si="14"/>
        <v>-6.803300000000001E-2</v>
      </c>
      <c r="G262">
        <f t="shared" si="15"/>
        <v>-1.0033E-2</v>
      </c>
      <c r="H262">
        <f t="shared" si="16"/>
        <v>-4.6633000000000001E-2</v>
      </c>
      <c r="I262" s="2"/>
      <c r="J262" s="2"/>
      <c r="K262" s="2"/>
    </row>
    <row r="263" spans="1:11" x14ac:dyDescent="0.15">
      <c r="A263" s="2" t="s">
        <v>265</v>
      </c>
      <c r="B263" s="2">
        <v>5.8700000000000002E-2</v>
      </c>
      <c r="C263" s="2">
        <v>-9.9500000000000005E-2</v>
      </c>
      <c r="D263" s="2">
        <v>7.0199999999999999E-2</v>
      </c>
      <c r="E263">
        <v>3.6999999999999998E-5</v>
      </c>
      <c r="F263">
        <f t="shared" si="14"/>
        <v>5.8663E-2</v>
      </c>
      <c r="G263">
        <f t="shared" si="15"/>
        <v>-9.9537E-2</v>
      </c>
      <c r="H263">
        <f t="shared" si="16"/>
        <v>7.0163000000000003E-2</v>
      </c>
      <c r="I263" s="2"/>
      <c r="J263" s="2"/>
      <c r="K263" s="2"/>
    </row>
    <row r="264" spans="1:11" x14ac:dyDescent="0.15">
      <c r="A264" s="2" t="s">
        <v>266</v>
      </c>
      <c r="B264" s="2">
        <v>0.1051</v>
      </c>
      <c r="C264" s="2">
        <v>-9.7999999999999997E-3</v>
      </c>
      <c r="D264" s="2">
        <v>-8.0000000000000002E-3</v>
      </c>
      <c r="E264">
        <v>4.3999999999999999E-5</v>
      </c>
      <c r="F264">
        <f t="shared" si="14"/>
        <v>0.105056</v>
      </c>
      <c r="G264">
        <f t="shared" si="15"/>
        <v>-9.8440000000000003E-3</v>
      </c>
      <c r="H264">
        <f t="shared" si="16"/>
        <v>-8.0440000000000008E-3</v>
      </c>
      <c r="I264" s="2"/>
      <c r="J264" s="2"/>
      <c r="K264" s="2"/>
    </row>
    <row r="265" spans="1:11" x14ac:dyDescent="0.15">
      <c r="A265" s="2" t="s">
        <v>267</v>
      </c>
      <c r="B265" s="2">
        <v>7.4200000000000002E-2</v>
      </c>
      <c r="C265" s="2">
        <v>0.1414</v>
      </c>
      <c r="D265" s="2">
        <v>4.6300000000000001E-2</v>
      </c>
      <c r="E265">
        <v>6.7000000000000002E-5</v>
      </c>
      <c r="F265">
        <f t="shared" si="14"/>
        <v>7.4133000000000004E-2</v>
      </c>
      <c r="G265">
        <f t="shared" si="15"/>
        <v>0.14133299999999999</v>
      </c>
      <c r="H265">
        <f t="shared" si="16"/>
        <v>4.6233000000000003E-2</v>
      </c>
      <c r="I265" s="2"/>
      <c r="J265" s="2"/>
      <c r="K265" s="2"/>
    </row>
    <row r="266" spans="1:11" x14ac:dyDescent="0.15">
      <c r="A266" s="2" t="s">
        <v>268</v>
      </c>
      <c r="B266" s="2">
        <v>-1.5699999999999999E-2</v>
      </c>
      <c r="C266" s="2">
        <v>-6.9999999999999999E-4</v>
      </c>
      <c r="D266" s="2">
        <v>-5.2699999999999997E-2</v>
      </c>
      <c r="E266">
        <v>4.3999999999999999E-5</v>
      </c>
      <c r="F266">
        <f t="shared" si="14"/>
        <v>-1.5743999999999998E-2</v>
      </c>
      <c r="G266">
        <f t="shared" si="15"/>
        <v>-7.4399999999999998E-4</v>
      </c>
      <c r="H266">
        <f t="shared" si="16"/>
        <v>-5.2743999999999999E-2</v>
      </c>
      <c r="I266" s="2"/>
      <c r="J266" s="2"/>
      <c r="K266" s="2"/>
    </row>
    <row r="267" spans="1:11" x14ac:dyDescent="0.15">
      <c r="A267" s="2" t="s">
        <v>269</v>
      </c>
      <c r="B267" s="2">
        <v>-5.4100000000000002E-2</v>
      </c>
      <c r="C267" s="2">
        <v>-7.1499999999999994E-2</v>
      </c>
      <c r="D267" s="2">
        <v>-2.9499999999999998E-2</v>
      </c>
      <c r="E267">
        <v>2.8E-5</v>
      </c>
      <c r="F267">
        <f t="shared" si="14"/>
        <v>-5.4128000000000003E-2</v>
      </c>
      <c r="G267">
        <f t="shared" si="15"/>
        <v>-7.1527999999999994E-2</v>
      </c>
      <c r="H267">
        <f t="shared" si="16"/>
        <v>-2.9527999999999999E-2</v>
      </c>
      <c r="I267" s="2"/>
      <c r="J267" s="2"/>
      <c r="K267" s="2"/>
    </row>
    <row r="268" spans="1:11" x14ac:dyDescent="0.15">
      <c r="A268" s="2" t="s">
        <v>270</v>
      </c>
      <c r="B268" s="2">
        <v>5.7500000000000002E-2</v>
      </c>
      <c r="C268" s="2">
        <v>6.13E-2</v>
      </c>
      <c r="D268" s="2">
        <v>3.7600000000000001E-2</v>
      </c>
      <c r="E268">
        <v>5.9999999999999995E-5</v>
      </c>
      <c r="F268">
        <f t="shared" si="14"/>
        <v>5.7440000000000005E-2</v>
      </c>
      <c r="G268">
        <f t="shared" si="15"/>
        <v>6.1240000000000003E-2</v>
      </c>
      <c r="H268">
        <f t="shared" si="16"/>
        <v>3.7540000000000004E-2</v>
      </c>
      <c r="I268" s="2"/>
      <c r="J268" s="2"/>
      <c r="K268" s="2"/>
    </row>
    <row r="269" spans="1:11" x14ac:dyDescent="0.15">
      <c r="A269" s="2" t="s">
        <v>271</v>
      </c>
      <c r="B269" s="2">
        <v>-9.7100000000000006E-2</v>
      </c>
      <c r="C269" s="2">
        <v>1.6799999999999999E-2</v>
      </c>
      <c r="D269" s="2">
        <v>-8.7800000000000003E-2</v>
      </c>
      <c r="E269">
        <v>3.6999999999999998E-5</v>
      </c>
      <c r="F269">
        <f t="shared" si="14"/>
        <v>-9.7137000000000001E-2</v>
      </c>
      <c r="G269">
        <f t="shared" si="15"/>
        <v>1.6763E-2</v>
      </c>
      <c r="H269">
        <f t="shared" si="16"/>
        <v>-8.7836999999999998E-2</v>
      </c>
      <c r="I269" s="2"/>
      <c r="J269" s="2"/>
      <c r="K269" s="2"/>
    </row>
    <row r="270" spans="1:11" x14ac:dyDescent="0.15">
      <c r="A270" s="2" t="s">
        <v>272</v>
      </c>
      <c r="B270" s="2">
        <v>-5.45E-2</v>
      </c>
      <c r="C270" s="2">
        <v>6.3E-2</v>
      </c>
      <c r="D270" s="2">
        <v>2.3E-3</v>
      </c>
      <c r="E270">
        <v>3.0700000000000004E-4</v>
      </c>
      <c r="F270">
        <f t="shared" si="14"/>
        <v>-5.4807000000000002E-2</v>
      </c>
      <c r="G270">
        <f t="shared" si="15"/>
        <v>6.2692999999999999E-2</v>
      </c>
      <c r="H270">
        <f t="shared" si="16"/>
        <v>1.993E-3</v>
      </c>
      <c r="I270" s="2"/>
      <c r="J270" s="2"/>
      <c r="K270" s="2"/>
    </row>
    <row r="271" spans="1:11" x14ac:dyDescent="0.15">
      <c r="A271" s="2" t="s">
        <v>273</v>
      </c>
      <c r="B271" s="2">
        <v>-8.14E-2</v>
      </c>
      <c r="C271" s="2">
        <v>1.6899999999999998E-2</v>
      </c>
      <c r="D271" s="2">
        <v>-8.2500000000000004E-2</v>
      </c>
      <c r="E271">
        <v>5.6700000000000001E-4</v>
      </c>
      <c r="F271">
        <f t="shared" si="14"/>
        <v>-8.1966999999999998E-2</v>
      </c>
      <c r="G271">
        <f t="shared" si="15"/>
        <v>1.6332999999999997E-2</v>
      </c>
      <c r="H271">
        <f t="shared" si="16"/>
        <v>-8.3067000000000002E-2</v>
      </c>
      <c r="I271" s="2"/>
      <c r="J271" s="2"/>
      <c r="K271" s="2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Iulian Obreja</cp:lastModifiedBy>
  <dcterms:created xsi:type="dcterms:W3CDTF">2025-10-29T19:47:59Z</dcterms:created>
  <dcterms:modified xsi:type="dcterms:W3CDTF">2025-10-29T19:48:23Z</dcterms:modified>
</cp:coreProperties>
</file>