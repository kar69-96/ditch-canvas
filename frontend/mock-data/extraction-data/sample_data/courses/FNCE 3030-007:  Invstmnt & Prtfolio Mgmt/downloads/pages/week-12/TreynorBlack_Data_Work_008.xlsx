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8_{3D292A05-1DDE-0644-BE3D-464C30B68CF7}" xr6:coauthVersionLast="47" xr6:coauthVersionMax="47" xr10:uidLastSave="{00000000-0000-0000-0000-000000000000}"/>
  <bookViews>
    <workbookView xWindow="540" yWindow="500" windowWidth="25780" windowHeight="15740" activeTab="1" xr2:uid="{D5309341-C4C2-0247-A8A6-5E1BCFC5093A}"/>
  </bookViews>
  <sheets>
    <sheet name="Treynor Black Portfolio" sheetId="1" r:id="rId1"/>
    <sheet name="Optimal Risky Portfolio" sheetId="2" r:id="rId2"/>
  </sheets>
  <definedNames>
    <definedName name="solver_adj" localSheetId="1" hidden="1">'Optimal Risky Portfolio'!$N$6:$T$6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'Optimal Risky Portfolio'!$O$8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1</definedName>
    <definedName name="solver_opt" localSheetId="1" hidden="1">'Optimal Risky Portfolio'!$N$10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hs1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O8" i="2"/>
  <c r="S44" i="1"/>
  <c r="S4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S28" i="1"/>
  <c r="S27" i="1"/>
  <c r="S42" i="1" s="1"/>
  <c r="O253" i="1"/>
  <c r="N253" i="1"/>
  <c r="M253" i="1"/>
  <c r="L253" i="1"/>
  <c r="K253" i="1"/>
  <c r="J253" i="1"/>
  <c r="I253" i="1"/>
  <c r="O252" i="1"/>
  <c r="N252" i="1"/>
  <c r="M252" i="1"/>
  <c r="L252" i="1"/>
  <c r="K252" i="1"/>
  <c r="J252" i="1"/>
  <c r="I252" i="1"/>
  <c r="O251" i="1"/>
  <c r="N251" i="1"/>
  <c r="M251" i="1"/>
  <c r="L251" i="1"/>
  <c r="K251" i="1"/>
  <c r="J251" i="1"/>
  <c r="I251" i="1"/>
  <c r="O250" i="1"/>
  <c r="N250" i="1"/>
  <c r="M250" i="1"/>
  <c r="L250" i="1"/>
  <c r="K250" i="1"/>
  <c r="J250" i="1"/>
  <c r="I250" i="1"/>
  <c r="O249" i="1"/>
  <c r="N249" i="1"/>
  <c r="M249" i="1"/>
  <c r="L249" i="1"/>
  <c r="K249" i="1"/>
  <c r="J249" i="1"/>
  <c r="I249" i="1"/>
  <c r="O248" i="1"/>
  <c r="N248" i="1"/>
  <c r="M248" i="1"/>
  <c r="L248" i="1"/>
  <c r="K248" i="1"/>
  <c r="J248" i="1"/>
  <c r="I248" i="1"/>
  <c r="O247" i="1"/>
  <c r="N247" i="1"/>
  <c r="M247" i="1"/>
  <c r="L247" i="1"/>
  <c r="K247" i="1"/>
  <c r="J247" i="1"/>
  <c r="I247" i="1"/>
  <c r="O246" i="1"/>
  <c r="N246" i="1"/>
  <c r="M246" i="1"/>
  <c r="L246" i="1"/>
  <c r="K246" i="1"/>
  <c r="J246" i="1"/>
  <c r="I246" i="1"/>
  <c r="O245" i="1"/>
  <c r="N245" i="1"/>
  <c r="M245" i="1"/>
  <c r="L245" i="1"/>
  <c r="K245" i="1"/>
  <c r="J245" i="1"/>
  <c r="I245" i="1"/>
  <c r="O244" i="1"/>
  <c r="N244" i="1"/>
  <c r="M244" i="1"/>
  <c r="L244" i="1"/>
  <c r="K244" i="1"/>
  <c r="J244" i="1"/>
  <c r="I244" i="1"/>
  <c r="O243" i="1"/>
  <c r="N243" i="1"/>
  <c r="M243" i="1"/>
  <c r="L243" i="1"/>
  <c r="K243" i="1"/>
  <c r="J243" i="1"/>
  <c r="I243" i="1"/>
  <c r="O242" i="1"/>
  <c r="N242" i="1"/>
  <c r="M242" i="1"/>
  <c r="L242" i="1"/>
  <c r="K242" i="1"/>
  <c r="J242" i="1"/>
  <c r="I242" i="1"/>
  <c r="O241" i="1"/>
  <c r="N241" i="1"/>
  <c r="M241" i="1"/>
  <c r="L241" i="1"/>
  <c r="K241" i="1"/>
  <c r="J241" i="1"/>
  <c r="I241" i="1"/>
  <c r="O240" i="1"/>
  <c r="N240" i="1"/>
  <c r="M240" i="1"/>
  <c r="L240" i="1"/>
  <c r="K240" i="1"/>
  <c r="J240" i="1"/>
  <c r="I240" i="1"/>
  <c r="O239" i="1"/>
  <c r="N239" i="1"/>
  <c r="M239" i="1"/>
  <c r="L239" i="1"/>
  <c r="K239" i="1"/>
  <c r="J239" i="1"/>
  <c r="I239" i="1"/>
  <c r="O238" i="1"/>
  <c r="N238" i="1"/>
  <c r="M238" i="1"/>
  <c r="L238" i="1"/>
  <c r="K238" i="1"/>
  <c r="J238" i="1"/>
  <c r="I238" i="1"/>
  <c r="O237" i="1"/>
  <c r="N237" i="1"/>
  <c r="M237" i="1"/>
  <c r="L237" i="1"/>
  <c r="K237" i="1"/>
  <c r="J237" i="1"/>
  <c r="I237" i="1"/>
  <c r="O236" i="1"/>
  <c r="N236" i="1"/>
  <c r="M236" i="1"/>
  <c r="L236" i="1"/>
  <c r="K236" i="1"/>
  <c r="J236" i="1"/>
  <c r="I236" i="1"/>
  <c r="O235" i="1"/>
  <c r="N235" i="1"/>
  <c r="M235" i="1"/>
  <c r="L235" i="1"/>
  <c r="K235" i="1"/>
  <c r="J235" i="1"/>
  <c r="I235" i="1"/>
  <c r="O234" i="1"/>
  <c r="N234" i="1"/>
  <c r="M234" i="1"/>
  <c r="L234" i="1"/>
  <c r="K234" i="1"/>
  <c r="J234" i="1"/>
  <c r="I234" i="1"/>
  <c r="O233" i="1"/>
  <c r="N233" i="1"/>
  <c r="M233" i="1"/>
  <c r="L233" i="1"/>
  <c r="K233" i="1"/>
  <c r="J233" i="1"/>
  <c r="I233" i="1"/>
  <c r="O232" i="1"/>
  <c r="N232" i="1"/>
  <c r="M232" i="1"/>
  <c r="L232" i="1"/>
  <c r="K232" i="1"/>
  <c r="J232" i="1"/>
  <c r="I232" i="1"/>
  <c r="O231" i="1"/>
  <c r="N231" i="1"/>
  <c r="M231" i="1"/>
  <c r="L231" i="1"/>
  <c r="K231" i="1"/>
  <c r="J231" i="1"/>
  <c r="I231" i="1"/>
  <c r="O230" i="1"/>
  <c r="N230" i="1"/>
  <c r="M230" i="1"/>
  <c r="L230" i="1"/>
  <c r="K230" i="1"/>
  <c r="J230" i="1"/>
  <c r="I230" i="1"/>
  <c r="O229" i="1"/>
  <c r="N229" i="1"/>
  <c r="M229" i="1"/>
  <c r="L229" i="1"/>
  <c r="K229" i="1"/>
  <c r="J229" i="1"/>
  <c r="I229" i="1"/>
  <c r="O228" i="1"/>
  <c r="N228" i="1"/>
  <c r="M228" i="1"/>
  <c r="L228" i="1"/>
  <c r="K228" i="1"/>
  <c r="J228" i="1"/>
  <c r="I228" i="1"/>
  <c r="O227" i="1"/>
  <c r="N227" i="1"/>
  <c r="M227" i="1"/>
  <c r="L227" i="1"/>
  <c r="K227" i="1"/>
  <c r="J227" i="1"/>
  <c r="I227" i="1"/>
  <c r="O226" i="1"/>
  <c r="N226" i="1"/>
  <c r="M226" i="1"/>
  <c r="L226" i="1"/>
  <c r="K226" i="1"/>
  <c r="J226" i="1"/>
  <c r="I226" i="1"/>
  <c r="O225" i="1"/>
  <c r="N225" i="1"/>
  <c r="M225" i="1"/>
  <c r="L225" i="1"/>
  <c r="K225" i="1"/>
  <c r="J225" i="1"/>
  <c r="I225" i="1"/>
  <c r="O224" i="1"/>
  <c r="N224" i="1"/>
  <c r="M224" i="1"/>
  <c r="L224" i="1"/>
  <c r="K224" i="1"/>
  <c r="J224" i="1"/>
  <c r="I224" i="1"/>
  <c r="O223" i="1"/>
  <c r="N223" i="1"/>
  <c r="M223" i="1"/>
  <c r="L223" i="1"/>
  <c r="K223" i="1"/>
  <c r="J223" i="1"/>
  <c r="I223" i="1"/>
  <c r="O222" i="1"/>
  <c r="N222" i="1"/>
  <c r="M222" i="1"/>
  <c r="L222" i="1"/>
  <c r="K222" i="1"/>
  <c r="J222" i="1"/>
  <c r="I222" i="1"/>
  <c r="O221" i="1"/>
  <c r="N221" i="1"/>
  <c r="M221" i="1"/>
  <c r="L221" i="1"/>
  <c r="K221" i="1"/>
  <c r="J221" i="1"/>
  <c r="I221" i="1"/>
  <c r="O220" i="1"/>
  <c r="N220" i="1"/>
  <c r="M220" i="1"/>
  <c r="L220" i="1"/>
  <c r="K220" i="1"/>
  <c r="J220" i="1"/>
  <c r="I220" i="1"/>
  <c r="O219" i="1"/>
  <c r="N219" i="1"/>
  <c r="M219" i="1"/>
  <c r="L219" i="1"/>
  <c r="K219" i="1"/>
  <c r="J219" i="1"/>
  <c r="I219" i="1"/>
  <c r="O218" i="1"/>
  <c r="N218" i="1"/>
  <c r="M218" i="1"/>
  <c r="L218" i="1"/>
  <c r="K218" i="1"/>
  <c r="J218" i="1"/>
  <c r="I218" i="1"/>
  <c r="O217" i="1"/>
  <c r="N217" i="1"/>
  <c r="M217" i="1"/>
  <c r="L217" i="1"/>
  <c r="K217" i="1"/>
  <c r="J217" i="1"/>
  <c r="I217" i="1"/>
  <c r="O216" i="1"/>
  <c r="N216" i="1"/>
  <c r="M216" i="1"/>
  <c r="L216" i="1"/>
  <c r="K216" i="1"/>
  <c r="J216" i="1"/>
  <c r="I216" i="1"/>
  <c r="O215" i="1"/>
  <c r="N215" i="1"/>
  <c r="M215" i="1"/>
  <c r="L215" i="1"/>
  <c r="K215" i="1"/>
  <c r="J215" i="1"/>
  <c r="I215" i="1"/>
  <c r="O214" i="1"/>
  <c r="N214" i="1"/>
  <c r="M214" i="1"/>
  <c r="L214" i="1"/>
  <c r="K214" i="1"/>
  <c r="J214" i="1"/>
  <c r="I214" i="1"/>
  <c r="O213" i="1"/>
  <c r="N213" i="1"/>
  <c r="M213" i="1"/>
  <c r="L213" i="1"/>
  <c r="K213" i="1"/>
  <c r="J213" i="1"/>
  <c r="I213" i="1"/>
  <c r="O212" i="1"/>
  <c r="N212" i="1"/>
  <c r="M212" i="1"/>
  <c r="L212" i="1"/>
  <c r="K212" i="1"/>
  <c r="J212" i="1"/>
  <c r="I212" i="1"/>
  <c r="O211" i="1"/>
  <c r="N211" i="1"/>
  <c r="M211" i="1"/>
  <c r="L211" i="1"/>
  <c r="K211" i="1"/>
  <c r="J211" i="1"/>
  <c r="I211" i="1"/>
  <c r="O210" i="1"/>
  <c r="N210" i="1"/>
  <c r="M210" i="1"/>
  <c r="L210" i="1"/>
  <c r="K210" i="1"/>
  <c r="J210" i="1"/>
  <c r="I210" i="1"/>
  <c r="O209" i="1"/>
  <c r="N209" i="1"/>
  <c r="M209" i="1"/>
  <c r="L209" i="1"/>
  <c r="K209" i="1"/>
  <c r="J209" i="1"/>
  <c r="I209" i="1"/>
  <c r="O208" i="1"/>
  <c r="N208" i="1"/>
  <c r="M208" i="1"/>
  <c r="L208" i="1"/>
  <c r="K208" i="1"/>
  <c r="J208" i="1"/>
  <c r="I208" i="1"/>
  <c r="O207" i="1"/>
  <c r="N207" i="1"/>
  <c r="M207" i="1"/>
  <c r="L207" i="1"/>
  <c r="K207" i="1"/>
  <c r="J207" i="1"/>
  <c r="I207" i="1"/>
  <c r="O206" i="1"/>
  <c r="N206" i="1"/>
  <c r="M206" i="1"/>
  <c r="L206" i="1"/>
  <c r="K206" i="1"/>
  <c r="J206" i="1"/>
  <c r="I206" i="1"/>
  <c r="O205" i="1"/>
  <c r="N205" i="1"/>
  <c r="M205" i="1"/>
  <c r="L205" i="1"/>
  <c r="K205" i="1"/>
  <c r="J205" i="1"/>
  <c r="I205" i="1"/>
  <c r="O204" i="1"/>
  <c r="N204" i="1"/>
  <c r="M204" i="1"/>
  <c r="L204" i="1"/>
  <c r="K204" i="1"/>
  <c r="J204" i="1"/>
  <c r="I204" i="1"/>
  <c r="O203" i="1"/>
  <c r="N203" i="1"/>
  <c r="M203" i="1"/>
  <c r="L203" i="1"/>
  <c r="K203" i="1"/>
  <c r="J203" i="1"/>
  <c r="I203" i="1"/>
  <c r="O202" i="1"/>
  <c r="N202" i="1"/>
  <c r="M202" i="1"/>
  <c r="L202" i="1"/>
  <c r="K202" i="1"/>
  <c r="J202" i="1"/>
  <c r="I202" i="1"/>
  <c r="O201" i="1"/>
  <c r="N201" i="1"/>
  <c r="M201" i="1"/>
  <c r="L201" i="1"/>
  <c r="K201" i="1"/>
  <c r="J201" i="1"/>
  <c r="I201" i="1"/>
  <c r="O200" i="1"/>
  <c r="N200" i="1"/>
  <c r="M200" i="1"/>
  <c r="L200" i="1"/>
  <c r="K200" i="1"/>
  <c r="J200" i="1"/>
  <c r="I200" i="1"/>
  <c r="O199" i="1"/>
  <c r="N199" i="1"/>
  <c r="M199" i="1"/>
  <c r="L199" i="1"/>
  <c r="K199" i="1"/>
  <c r="J199" i="1"/>
  <c r="I199" i="1"/>
  <c r="O198" i="1"/>
  <c r="N198" i="1"/>
  <c r="M198" i="1"/>
  <c r="L198" i="1"/>
  <c r="K198" i="1"/>
  <c r="J198" i="1"/>
  <c r="I198" i="1"/>
  <c r="O197" i="1"/>
  <c r="N197" i="1"/>
  <c r="M197" i="1"/>
  <c r="L197" i="1"/>
  <c r="K197" i="1"/>
  <c r="J197" i="1"/>
  <c r="I197" i="1"/>
  <c r="O196" i="1"/>
  <c r="N196" i="1"/>
  <c r="M196" i="1"/>
  <c r="L196" i="1"/>
  <c r="K196" i="1"/>
  <c r="J196" i="1"/>
  <c r="I196" i="1"/>
  <c r="O195" i="1"/>
  <c r="N195" i="1"/>
  <c r="M195" i="1"/>
  <c r="L195" i="1"/>
  <c r="K195" i="1"/>
  <c r="J195" i="1"/>
  <c r="I195" i="1"/>
  <c r="O194" i="1"/>
  <c r="N194" i="1"/>
  <c r="M194" i="1"/>
  <c r="L194" i="1"/>
  <c r="K194" i="1"/>
  <c r="J194" i="1"/>
  <c r="I194" i="1"/>
  <c r="O193" i="1"/>
  <c r="N193" i="1"/>
  <c r="M193" i="1"/>
  <c r="L193" i="1"/>
  <c r="K193" i="1"/>
  <c r="J193" i="1"/>
  <c r="I193" i="1"/>
  <c r="O192" i="1"/>
  <c r="N192" i="1"/>
  <c r="M192" i="1"/>
  <c r="L192" i="1"/>
  <c r="K192" i="1"/>
  <c r="J192" i="1"/>
  <c r="I192" i="1"/>
  <c r="O191" i="1"/>
  <c r="N191" i="1"/>
  <c r="M191" i="1"/>
  <c r="L191" i="1"/>
  <c r="K191" i="1"/>
  <c r="J191" i="1"/>
  <c r="I191" i="1"/>
  <c r="O190" i="1"/>
  <c r="N190" i="1"/>
  <c r="M190" i="1"/>
  <c r="L190" i="1"/>
  <c r="K190" i="1"/>
  <c r="J190" i="1"/>
  <c r="I190" i="1"/>
  <c r="O189" i="1"/>
  <c r="N189" i="1"/>
  <c r="M189" i="1"/>
  <c r="L189" i="1"/>
  <c r="K189" i="1"/>
  <c r="J189" i="1"/>
  <c r="I189" i="1"/>
  <c r="O188" i="1"/>
  <c r="N188" i="1"/>
  <c r="M188" i="1"/>
  <c r="L188" i="1"/>
  <c r="K188" i="1"/>
  <c r="J188" i="1"/>
  <c r="I188" i="1"/>
  <c r="O187" i="1"/>
  <c r="N187" i="1"/>
  <c r="M187" i="1"/>
  <c r="L187" i="1"/>
  <c r="K187" i="1"/>
  <c r="J187" i="1"/>
  <c r="I187" i="1"/>
  <c r="O186" i="1"/>
  <c r="N186" i="1"/>
  <c r="M186" i="1"/>
  <c r="L186" i="1"/>
  <c r="K186" i="1"/>
  <c r="J186" i="1"/>
  <c r="I186" i="1"/>
  <c r="O185" i="1"/>
  <c r="N185" i="1"/>
  <c r="M185" i="1"/>
  <c r="L185" i="1"/>
  <c r="K185" i="1"/>
  <c r="J185" i="1"/>
  <c r="I185" i="1"/>
  <c r="O184" i="1"/>
  <c r="N184" i="1"/>
  <c r="M184" i="1"/>
  <c r="L184" i="1"/>
  <c r="K184" i="1"/>
  <c r="J184" i="1"/>
  <c r="I184" i="1"/>
  <c r="O183" i="1"/>
  <c r="N183" i="1"/>
  <c r="M183" i="1"/>
  <c r="L183" i="1"/>
  <c r="K183" i="1"/>
  <c r="J183" i="1"/>
  <c r="I183" i="1"/>
  <c r="O182" i="1"/>
  <c r="N182" i="1"/>
  <c r="M182" i="1"/>
  <c r="L182" i="1"/>
  <c r="K182" i="1"/>
  <c r="J182" i="1"/>
  <c r="I182" i="1"/>
  <c r="O181" i="1"/>
  <c r="N181" i="1"/>
  <c r="M181" i="1"/>
  <c r="L181" i="1"/>
  <c r="K181" i="1"/>
  <c r="J181" i="1"/>
  <c r="I181" i="1"/>
  <c r="O180" i="1"/>
  <c r="N180" i="1"/>
  <c r="M180" i="1"/>
  <c r="L180" i="1"/>
  <c r="K180" i="1"/>
  <c r="J180" i="1"/>
  <c r="I180" i="1"/>
  <c r="O179" i="1"/>
  <c r="N179" i="1"/>
  <c r="M179" i="1"/>
  <c r="L179" i="1"/>
  <c r="K179" i="1"/>
  <c r="J179" i="1"/>
  <c r="I179" i="1"/>
  <c r="O178" i="1"/>
  <c r="N178" i="1"/>
  <c r="M178" i="1"/>
  <c r="L178" i="1"/>
  <c r="K178" i="1"/>
  <c r="J178" i="1"/>
  <c r="I178" i="1"/>
  <c r="O177" i="1"/>
  <c r="N177" i="1"/>
  <c r="M177" i="1"/>
  <c r="L177" i="1"/>
  <c r="K177" i="1"/>
  <c r="J177" i="1"/>
  <c r="I177" i="1"/>
  <c r="O176" i="1"/>
  <c r="N176" i="1"/>
  <c r="M176" i="1"/>
  <c r="L176" i="1"/>
  <c r="K176" i="1"/>
  <c r="J176" i="1"/>
  <c r="I176" i="1"/>
  <c r="O175" i="1"/>
  <c r="N175" i="1"/>
  <c r="M175" i="1"/>
  <c r="L175" i="1"/>
  <c r="K175" i="1"/>
  <c r="J175" i="1"/>
  <c r="I175" i="1"/>
  <c r="O174" i="1"/>
  <c r="N174" i="1"/>
  <c r="M174" i="1"/>
  <c r="L174" i="1"/>
  <c r="K174" i="1"/>
  <c r="J174" i="1"/>
  <c r="I174" i="1"/>
  <c r="O173" i="1"/>
  <c r="N173" i="1"/>
  <c r="M173" i="1"/>
  <c r="L173" i="1"/>
  <c r="K173" i="1"/>
  <c r="J173" i="1"/>
  <c r="I173" i="1"/>
  <c r="O172" i="1"/>
  <c r="N172" i="1"/>
  <c r="M172" i="1"/>
  <c r="L172" i="1"/>
  <c r="K172" i="1"/>
  <c r="J172" i="1"/>
  <c r="I172" i="1"/>
  <c r="O171" i="1"/>
  <c r="N171" i="1"/>
  <c r="M171" i="1"/>
  <c r="L171" i="1"/>
  <c r="K171" i="1"/>
  <c r="J171" i="1"/>
  <c r="I171" i="1"/>
  <c r="O170" i="1"/>
  <c r="N170" i="1"/>
  <c r="M170" i="1"/>
  <c r="L170" i="1"/>
  <c r="K170" i="1"/>
  <c r="J170" i="1"/>
  <c r="I170" i="1"/>
  <c r="O169" i="1"/>
  <c r="N169" i="1"/>
  <c r="M169" i="1"/>
  <c r="L169" i="1"/>
  <c r="K169" i="1"/>
  <c r="J169" i="1"/>
  <c r="I169" i="1"/>
  <c r="O168" i="1"/>
  <c r="N168" i="1"/>
  <c r="M168" i="1"/>
  <c r="L168" i="1"/>
  <c r="K168" i="1"/>
  <c r="J168" i="1"/>
  <c r="I168" i="1"/>
  <c r="O167" i="1"/>
  <c r="N167" i="1"/>
  <c r="M167" i="1"/>
  <c r="L167" i="1"/>
  <c r="K167" i="1"/>
  <c r="J167" i="1"/>
  <c r="I167" i="1"/>
  <c r="O166" i="1"/>
  <c r="N166" i="1"/>
  <c r="M166" i="1"/>
  <c r="L166" i="1"/>
  <c r="K166" i="1"/>
  <c r="J166" i="1"/>
  <c r="I166" i="1"/>
  <c r="O165" i="1"/>
  <c r="N165" i="1"/>
  <c r="M165" i="1"/>
  <c r="L165" i="1"/>
  <c r="K165" i="1"/>
  <c r="J165" i="1"/>
  <c r="I165" i="1"/>
  <c r="O164" i="1"/>
  <c r="N164" i="1"/>
  <c r="M164" i="1"/>
  <c r="L164" i="1"/>
  <c r="K164" i="1"/>
  <c r="J164" i="1"/>
  <c r="I164" i="1"/>
  <c r="O163" i="1"/>
  <c r="N163" i="1"/>
  <c r="M163" i="1"/>
  <c r="L163" i="1"/>
  <c r="K163" i="1"/>
  <c r="J163" i="1"/>
  <c r="I163" i="1"/>
  <c r="O162" i="1"/>
  <c r="N162" i="1"/>
  <c r="M162" i="1"/>
  <c r="L162" i="1"/>
  <c r="K162" i="1"/>
  <c r="J162" i="1"/>
  <c r="I162" i="1"/>
  <c r="O161" i="1"/>
  <c r="N161" i="1"/>
  <c r="M161" i="1"/>
  <c r="L161" i="1"/>
  <c r="K161" i="1"/>
  <c r="J161" i="1"/>
  <c r="I161" i="1"/>
  <c r="O160" i="1"/>
  <c r="N160" i="1"/>
  <c r="M160" i="1"/>
  <c r="L160" i="1"/>
  <c r="K160" i="1"/>
  <c r="J160" i="1"/>
  <c r="I160" i="1"/>
  <c r="O159" i="1"/>
  <c r="N159" i="1"/>
  <c r="M159" i="1"/>
  <c r="L159" i="1"/>
  <c r="K159" i="1"/>
  <c r="J159" i="1"/>
  <c r="I159" i="1"/>
  <c r="O158" i="1"/>
  <c r="N158" i="1"/>
  <c r="M158" i="1"/>
  <c r="L158" i="1"/>
  <c r="K158" i="1"/>
  <c r="J158" i="1"/>
  <c r="I158" i="1"/>
  <c r="O157" i="1"/>
  <c r="N157" i="1"/>
  <c r="M157" i="1"/>
  <c r="L157" i="1"/>
  <c r="K157" i="1"/>
  <c r="J157" i="1"/>
  <c r="I157" i="1"/>
  <c r="O156" i="1"/>
  <c r="N156" i="1"/>
  <c r="M156" i="1"/>
  <c r="L156" i="1"/>
  <c r="K156" i="1"/>
  <c r="J156" i="1"/>
  <c r="I156" i="1"/>
  <c r="O155" i="1"/>
  <c r="N155" i="1"/>
  <c r="M155" i="1"/>
  <c r="L155" i="1"/>
  <c r="K155" i="1"/>
  <c r="J155" i="1"/>
  <c r="I155" i="1"/>
  <c r="O154" i="1"/>
  <c r="N154" i="1"/>
  <c r="M154" i="1"/>
  <c r="L154" i="1"/>
  <c r="K154" i="1"/>
  <c r="J154" i="1"/>
  <c r="I154" i="1"/>
  <c r="O153" i="1"/>
  <c r="N153" i="1"/>
  <c r="M153" i="1"/>
  <c r="L153" i="1"/>
  <c r="K153" i="1"/>
  <c r="J153" i="1"/>
  <c r="I153" i="1"/>
  <c r="O152" i="1"/>
  <c r="N152" i="1"/>
  <c r="M152" i="1"/>
  <c r="L152" i="1"/>
  <c r="K152" i="1"/>
  <c r="J152" i="1"/>
  <c r="I152" i="1"/>
  <c r="O151" i="1"/>
  <c r="N151" i="1"/>
  <c r="M151" i="1"/>
  <c r="L151" i="1"/>
  <c r="K151" i="1"/>
  <c r="J151" i="1"/>
  <c r="I151" i="1"/>
  <c r="O150" i="1"/>
  <c r="N150" i="1"/>
  <c r="M150" i="1"/>
  <c r="L150" i="1"/>
  <c r="K150" i="1"/>
  <c r="J150" i="1"/>
  <c r="I150" i="1"/>
  <c r="O149" i="1"/>
  <c r="N149" i="1"/>
  <c r="M149" i="1"/>
  <c r="L149" i="1"/>
  <c r="K149" i="1"/>
  <c r="J149" i="1"/>
  <c r="I149" i="1"/>
  <c r="O148" i="1"/>
  <c r="N148" i="1"/>
  <c r="M148" i="1"/>
  <c r="L148" i="1"/>
  <c r="K148" i="1"/>
  <c r="J148" i="1"/>
  <c r="I148" i="1"/>
  <c r="O147" i="1"/>
  <c r="N147" i="1"/>
  <c r="M147" i="1"/>
  <c r="L147" i="1"/>
  <c r="K147" i="1"/>
  <c r="J147" i="1"/>
  <c r="I147" i="1"/>
  <c r="O146" i="1"/>
  <c r="N146" i="1"/>
  <c r="M146" i="1"/>
  <c r="L146" i="1"/>
  <c r="K146" i="1"/>
  <c r="J146" i="1"/>
  <c r="I146" i="1"/>
  <c r="O145" i="1"/>
  <c r="N145" i="1"/>
  <c r="M145" i="1"/>
  <c r="L145" i="1"/>
  <c r="K145" i="1"/>
  <c r="J145" i="1"/>
  <c r="I145" i="1"/>
  <c r="O144" i="1"/>
  <c r="N144" i="1"/>
  <c r="M144" i="1"/>
  <c r="L144" i="1"/>
  <c r="K144" i="1"/>
  <c r="J144" i="1"/>
  <c r="I144" i="1"/>
  <c r="O143" i="1"/>
  <c r="N143" i="1"/>
  <c r="M143" i="1"/>
  <c r="L143" i="1"/>
  <c r="K143" i="1"/>
  <c r="J143" i="1"/>
  <c r="I143" i="1"/>
  <c r="O142" i="1"/>
  <c r="N142" i="1"/>
  <c r="M142" i="1"/>
  <c r="L142" i="1"/>
  <c r="K142" i="1"/>
  <c r="J142" i="1"/>
  <c r="I142" i="1"/>
  <c r="O141" i="1"/>
  <c r="N141" i="1"/>
  <c r="M141" i="1"/>
  <c r="L141" i="1"/>
  <c r="K141" i="1"/>
  <c r="J141" i="1"/>
  <c r="I141" i="1"/>
  <c r="O140" i="1"/>
  <c r="N140" i="1"/>
  <c r="M140" i="1"/>
  <c r="L140" i="1"/>
  <c r="K140" i="1"/>
  <c r="J140" i="1"/>
  <c r="I140" i="1"/>
  <c r="O139" i="1"/>
  <c r="N139" i="1"/>
  <c r="M139" i="1"/>
  <c r="L139" i="1"/>
  <c r="K139" i="1"/>
  <c r="J139" i="1"/>
  <c r="I139" i="1"/>
  <c r="O138" i="1"/>
  <c r="N138" i="1"/>
  <c r="M138" i="1"/>
  <c r="L138" i="1"/>
  <c r="K138" i="1"/>
  <c r="J138" i="1"/>
  <c r="I138" i="1"/>
  <c r="O137" i="1"/>
  <c r="N137" i="1"/>
  <c r="M137" i="1"/>
  <c r="L137" i="1"/>
  <c r="K137" i="1"/>
  <c r="J137" i="1"/>
  <c r="I137" i="1"/>
  <c r="O136" i="1"/>
  <c r="N136" i="1"/>
  <c r="M136" i="1"/>
  <c r="L136" i="1"/>
  <c r="K136" i="1"/>
  <c r="J136" i="1"/>
  <c r="I136" i="1"/>
  <c r="O135" i="1"/>
  <c r="N135" i="1"/>
  <c r="M135" i="1"/>
  <c r="L135" i="1"/>
  <c r="K135" i="1"/>
  <c r="J135" i="1"/>
  <c r="I135" i="1"/>
  <c r="O134" i="1"/>
  <c r="N134" i="1"/>
  <c r="M134" i="1"/>
  <c r="L134" i="1"/>
  <c r="K134" i="1"/>
  <c r="J134" i="1"/>
  <c r="I134" i="1"/>
  <c r="O133" i="1"/>
  <c r="N133" i="1"/>
  <c r="M133" i="1"/>
  <c r="L133" i="1"/>
  <c r="K133" i="1"/>
  <c r="J133" i="1"/>
  <c r="I133" i="1"/>
  <c r="O132" i="1"/>
  <c r="N132" i="1"/>
  <c r="M132" i="1"/>
  <c r="L132" i="1"/>
  <c r="K132" i="1"/>
  <c r="J132" i="1"/>
  <c r="I132" i="1"/>
  <c r="O131" i="1"/>
  <c r="N131" i="1"/>
  <c r="M131" i="1"/>
  <c r="L131" i="1"/>
  <c r="K131" i="1"/>
  <c r="J131" i="1"/>
  <c r="I131" i="1"/>
  <c r="O130" i="1"/>
  <c r="N130" i="1"/>
  <c r="M130" i="1"/>
  <c r="L130" i="1"/>
  <c r="K130" i="1"/>
  <c r="J130" i="1"/>
  <c r="I130" i="1"/>
  <c r="O129" i="1"/>
  <c r="N129" i="1"/>
  <c r="M129" i="1"/>
  <c r="L129" i="1"/>
  <c r="K129" i="1"/>
  <c r="J129" i="1"/>
  <c r="I129" i="1"/>
  <c r="O128" i="1"/>
  <c r="N128" i="1"/>
  <c r="M128" i="1"/>
  <c r="L128" i="1"/>
  <c r="K128" i="1"/>
  <c r="J128" i="1"/>
  <c r="I128" i="1"/>
  <c r="O127" i="1"/>
  <c r="N127" i="1"/>
  <c r="M127" i="1"/>
  <c r="L127" i="1"/>
  <c r="K127" i="1"/>
  <c r="J127" i="1"/>
  <c r="I127" i="1"/>
  <c r="O126" i="1"/>
  <c r="N126" i="1"/>
  <c r="M126" i="1"/>
  <c r="L126" i="1"/>
  <c r="K126" i="1"/>
  <c r="J126" i="1"/>
  <c r="I126" i="1"/>
  <c r="O125" i="1"/>
  <c r="N125" i="1"/>
  <c r="M125" i="1"/>
  <c r="L125" i="1"/>
  <c r="K125" i="1"/>
  <c r="J125" i="1"/>
  <c r="I125" i="1"/>
  <c r="O124" i="1"/>
  <c r="N124" i="1"/>
  <c r="M124" i="1"/>
  <c r="L124" i="1"/>
  <c r="K124" i="1"/>
  <c r="J124" i="1"/>
  <c r="I124" i="1"/>
  <c r="O123" i="1"/>
  <c r="N123" i="1"/>
  <c r="M123" i="1"/>
  <c r="L123" i="1"/>
  <c r="K123" i="1"/>
  <c r="J123" i="1"/>
  <c r="I123" i="1"/>
  <c r="O122" i="1"/>
  <c r="N122" i="1"/>
  <c r="M122" i="1"/>
  <c r="L122" i="1"/>
  <c r="K122" i="1"/>
  <c r="J122" i="1"/>
  <c r="I122" i="1"/>
  <c r="O121" i="1"/>
  <c r="N121" i="1"/>
  <c r="M121" i="1"/>
  <c r="L121" i="1"/>
  <c r="K121" i="1"/>
  <c r="J121" i="1"/>
  <c r="I121" i="1"/>
  <c r="O120" i="1"/>
  <c r="N120" i="1"/>
  <c r="M120" i="1"/>
  <c r="L120" i="1"/>
  <c r="K120" i="1"/>
  <c r="J120" i="1"/>
  <c r="I120" i="1"/>
  <c r="O119" i="1"/>
  <c r="N119" i="1"/>
  <c r="M119" i="1"/>
  <c r="L119" i="1"/>
  <c r="K119" i="1"/>
  <c r="J119" i="1"/>
  <c r="I119" i="1"/>
  <c r="O118" i="1"/>
  <c r="N118" i="1"/>
  <c r="M118" i="1"/>
  <c r="L118" i="1"/>
  <c r="K118" i="1"/>
  <c r="J118" i="1"/>
  <c r="I118" i="1"/>
  <c r="O117" i="1"/>
  <c r="N117" i="1"/>
  <c r="M117" i="1"/>
  <c r="L117" i="1"/>
  <c r="K117" i="1"/>
  <c r="J117" i="1"/>
  <c r="I117" i="1"/>
  <c r="O116" i="1"/>
  <c r="N116" i="1"/>
  <c r="M116" i="1"/>
  <c r="L116" i="1"/>
  <c r="K116" i="1"/>
  <c r="J116" i="1"/>
  <c r="I116" i="1"/>
  <c r="O115" i="1"/>
  <c r="N115" i="1"/>
  <c r="M115" i="1"/>
  <c r="L115" i="1"/>
  <c r="K115" i="1"/>
  <c r="J115" i="1"/>
  <c r="I115" i="1"/>
  <c r="O114" i="1"/>
  <c r="N114" i="1"/>
  <c r="M114" i="1"/>
  <c r="L114" i="1"/>
  <c r="K114" i="1"/>
  <c r="J114" i="1"/>
  <c r="I114" i="1"/>
  <c r="O113" i="1"/>
  <c r="N113" i="1"/>
  <c r="M113" i="1"/>
  <c r="L113" i="1"/>
  <c r="K113" i="1"/>
  <c r="J113" i="1"/>
  <c r="I113" i="1"/>
  <c r="O112" i="1"/>
  <c r="N112" i="1"/>
  <c r="M112" i="1"/>
  <c r="L112" i="1"/>
  <c r="K112" i="1"/>
  <c r="J112" i="1"/>
  <c r="I112" i="1"/>
  <c r="O111" i="1"/>
  <c r="N111" i="1"/>
  <c r="M111" i="1"/>
  <c r="L111" i="1"/>
  <c r="K111" i="1"/>
  <c r="J111" i="1"/>
  <c r="I111" i="1"/>
  <c r="O110" i="1"/>
  <c r="N110" i="1"/>
  <c r="M110" i="1"/>
  <c r="L110" i="1"/>
  <c r="K110" i="1"/>
  <c r="J110" i="1"/>
  <c r="I110" i="1"/>
  <c r="O109" i="1"/>
  <c r="N109" i="1"/>
  <c r="M109" i="1"/>
  <c r="L109" i="1"/>
  <c r="K109" i="1"/>
  <c r="J109" i="1"/>
  <c r="I109" i="1"/>
  <c r="O108" i="1"/>
  <c r="N108" i="1"/>
  <c r="M108" i="1"/>
  <c r="L108" i="1"/>
  <c r="K108" i="1"/>
  <c r="J108" i="1"/>
  <c r="I108" i="1"/>
  <c r="O107" i="1"/>
  <c r="N107" i="1"/>
  <c r="M107" i="1"/>
  <c r="L107" i="1"/>
  <c r="K107" i="1"/>
  <c r="J107" i="1"/>
  <c r="I107" i="1"/>
  <c r="O106" i="1"/>
  <c r="N106" i="1"/>
  <c r="M106" i="1"/>
  <c r="L106" i="1"/>
  <c r="K106" i="1"/>
  <c r="J106" i="1"/>
  <c r="I106" i="1"/>
  <c r="O105" i="1"/>
  <c r="N105" i="1"/>
  <c r="M105" i="1"/>
  <c r="L105" i="1"/>
  <c r="K105" i="1"/>
  <c r="J105" i="1"/>
  <c r="I105" i="1"/>
  <c r="O104" i="1"/>
  <c r="N104" i="1"/>
  <c r="M104" i="1"/>
  <c r="L104" i="1"/>
  <c r="K104" i="1"/>
  <c r="J104" i="1"/>
  <c r="I104" i="1"/>
  <c r="O103" i="1"/>
  <c r="N103" i="1"/>
  <c r="M103" i="1"/>
  <c r="L103" i="1"/>
  <c r="K103" i="1"/>
  <c r="J103" i="1"/>
  <c r="I103" i="1"/>
  <c r="O102" i="1"/>
  <c r="N102" i="1"/>
  <c r="M102" i="1"/>
  <c r="L102" i="1"/>
  <c r="K102" i="1"/>
  <c r="J102" i="1"/>
  <c r="I102" i="1"/>
  <c r="O101" i="1"/>
  <c r="N101" i="1"/>
  <c r="M101" i="1"/>
  <c r="L101" i="1"/>
  <c r="K101" i="1"/>
  <c r="J101" i="1"/>
  <c r="I101" i="1"/>
  <c r="O100" i="1"/>
  <c r="N100" i="1"/>
  <c r="M100" i="1"/>
  <c r="L100" i="1"/>
  <c r="K100" i="1"/>
  <c r="J100" i="1"/>
  <c r="I100" i="1"/>
  <c r="O99" i="1"/>
  <c r="N99" i="1"/>
  <c r="M99" i="1"/>
  <c r="L99" i="1"/>
  <c r="K99" i="1"/>
  <c r="J99" i="1"/>
  <c r="I99" i="1"/>
  <c r="O98" i="1"/>
  <c r="N98" i="1"/>
  <c r="M98" i="1"/>
  <c r="L98" i="1"/>
  <c r="K98" i="1"/>
  <c r="J98" i="1"/>
  <c r="I98" i="1"/>
  <c r="O97" i="1"/>
  <c r="N97" i="1"/>
  <c r="M97" i="1"/>
  <c r="L97" i="1"/>
  <c r="K97" i="1"/>
  <c r="J97" i="1"/>
  <c r="I97" i="1"/>
  <c r="O96" i="1"/>
  <c r="N96" i="1"/>
  <c r="M96" i="1"/>
  <c r="L96" i="1"/>
  <c r="K96" i="1"/>
  <c r="J96" i="1"/>
  <c r="I96" i="1"/>
  <c r="O95" i="1"/>
  <c r="N95" i="1"/>
  <c r="M95" i="1"/>
  <c r="L95" i="1"/>
  <c r="K95" i="1"/>
  <c r="J95" i="1"/>
  <c r="I95" i="1"/>
  <c r="O94" i="1"/>
  <c r="N94" i="1"/>
  <c r="M94" i="1"/>
  <c r="L94" i="1"/>
  <c r="K94" i="1"/>
  <c r="J94" i="1"/>
  <c r="I94" i="1"/>
  <c r="O93" i="1"/>
  <c r="N93" i="1"/>
  <c r="M93" i="1"/>
  <c r="L93" i="1"/>
  <c r="K93" i="1"/>
  <c r="J93" i="1"/>
  <c r="I93" i="1"/>
  <c r="O92" i="1"/>
  <c r="N92" i="1"/>
  <c r="M92" i="1"/>
  <c r="L92" i="1"/>
  <c r="K92" i="1"/>
  <c r="J92" i="1"/>
  <c r="I92" i="1"/>
  <c r="O91" i="1"/>
  <c r="N91" i="1"/>
  <c r="M91" i="1"/>
  <c r="L91" i="1"/>
  <c r="K91" i="1"/>
  <c r="J91" i="1"/>
  <c r="I91" i="1"/>
  <c r="O90" i="1"/>
  <c r="N90" i="1"/>
  <c r="M90" i="1"/>
  <c r="L90" i="1"/>
  <c r="K90" i="1"/>
  <c r="J90" i="1"/>
  <c r="I90" i="1"/>
  <c r="O89" i="1"/>
  <c r="N89" i="1"/>
  <c r="M89" i="1"/>
  <c r="L89" i="1"/>
  <c r="K89" i="1"/>
  <c r="J89" i="1"/>
  <c r="I89" i="1"/>
  <c r="O88" i="1"/>
  <c r="N88" i="1"/>
  <c r="M88" i="1"/>
  <c r="L88" i="1"/>
  <c r="K88" i="1"/>
  <c r="J88" i="1"/>
  <c r="I88" i="1"/>
  <c r="O87" i="1"/>
  <c r="N87" i="1"/>
  <c r="M87" i="1"/>
  <c r="L87" i="1"/>
  <c r="K87" i="1"/>
  <c r="J87" i="1"/>
  <c r="I87" i="1"/>
  <c r="O86" i="1"/>
  <c r="N86" i="1"/>
  <c r="M86" i="1"/>
  <c r="L86" i="1"/>
  <c r="K86" i="1"/>
  <c r="J86" i="1"/>
  <c r="I86" i="1"/>
  <c r="O85" i="1"/>
  <c r="N85" i="1"/>
  <c r="M85" i="1"/>
  <c r="L85" i="1"/>
  <c r="K85" i="1"/>
  <c r="J85" i="1"/>
  <c r="I85" i="1"/>
  <c r="O84" i="1"/>
  <c r="N84" i="1"/>
  <c r="M84" i="1"/>
  <c r="L84" i="1"/>
  <c r="K84" i="1"/>
  <c r="J84" i="1"/>
  <c r="I84" i="1"/>
  <c r="O83" i="1"/>
  <c r="N83" i="1"/>
  <c r="M83" i="1"/>
  <c r="L83" i="1"/>
  <c r="K83" i="1"/>
  <c r="J83" i="1"/>
  <c r="I83" i="1"/>
  <c r="O82" i="1"/>
  <c r="N82" i="1"/>
  <c r="M82" i="1"/>
  <c r="L82" i="1"/>
  <c r="K82" i="1"/>
  <c r="J82" i="1"/>
  <c r="I82" i="1"/>
  <c r="O81" i="1"/>
  <c r="N81" i="1"/>
  <c r="M81" i="1"/>
  <c r="L81" i="1"/>
  <c r="K81" i="1"/>
  <c r="J81" i="1"/>
  <c r="I81" i="1"/>
  <c r="O80" i="1"/>
  <c r="N80" i="1"/>
  <c r="M80" i="1"/>
  <c r="L80" i="1"/>
  <c r="K80" i="1"/>
  <c r="J80" i="1"/>
  <c r="I80" i="1"/>
  <c r="O79" i="1"/>
  <c r="N79" i="1"/>
  <c r="M79" i="1"/>
  <c r="L79" i="1"/>
  <c r="K79" i="1"/>
  <c r="J79" i="1"/>
  <c r="I79" i="1"/>
  <c r="O78" i="1"/>
  <c r="N78" i="1"/>
  <c r="M78" i="1"/>
  <c r="L78" i="1"/>
  <c r="K78" i="1"/>
  <c r="J78" i="1"/>
  <c r="I78" i="1"/>
  <c r="O77" i="1"/>
  <c r="N77" i="1"/>
  <c r="M77" i="1"/>
  <c r="L77" i="1"/>
  <c r="K77" i="1"/>
  <c r="J77" i="1"/>
  <c r="I77" i="1"/>
  <c r="O76" i="1"/>
  <c r="N76" i="1"/>
  <c r="M76" i="1"/>
  <c r="L76" i="1"/>
  <c r="K76" i="1"/>
  <c r="J76" i="1"/>
  <c r="I76" i="1"/>
  <c r="O75" i="1"/>
  <c r="N75" i="1"/>
  <c r="M75" i="1"/>
  <c r="L75" i="1"/>
  <c r="K75" i="1"/>
  <c r="J75" i="1"/>
  <c r="I75" i="1"/>
  <c r="O74" i="1"/>
  <c r="N74" i="1"/>
  <c r="M74" i="1"/>
  <c r="L74" i="1"/>
  <c r="K74" i="1"/>
  <c r="J74" i="1"/>
  <c r="I74" i="1"/>
  <c r="O73" i="1"/>
  <c r="N73" i="1"/>
  <c r="M73" i="1"/>
  <c r="L73" i="1"/>
  <c r="K73" i="1"/>
  <c r="J73" i="1"/>
  <c r="I73" i="1"/>
  <c r="O72" i="1"/>
  <c r="N72" i="1"/>
  <c r="M72" i="1"/>
  <c r="L72" i="1"/>
  <c r="K72" i="1"/>
  <c r="J72" i="1"/>
  <c r="I72" i="1"/>
  <c r="O71" i="1"/>
  <c r="N71" i="1"/>
  <c r="M71" i="1"/>
  <c r="L71" i="1"/>
  <c r="K71" i="1"/>
  <c r="J71" i="1"/>
  <c r="I71" i="1"/>
  <c r="O70" i="1"/>
  <c r="N70" i="1"/>
  <c r="M70" i="1"/>
  <c r="L70" i="1"/>
  <c r="K70" i="1"/>
  <c r="J70" i="1"/>
  <c r="I70" i="1"/>
  <c r="O69" i="1"/>
  <c r="N69" i="1"/>
  <c r="M69" i="1"/>
  <c r="L69" i="1"/>
  <c r="K69" i="1"/>
  <c r="J69" i="1"/>
  <c r="I69" i="1"/>
  <c r="O68" i="1"/>
  <c r="N68" i="1"/>
  <c r="M68" i="1"/>
  <c r="L68" i="1"/>
  <c r="K68" i="1"/>
  <c r="J68" i="1"/>
  <c r="I68" i="1"/>
  <c r="O67" i="1"/>
  <c r="N67" i="1"/>
  <c r="M67" i="1"/>
  <c r="L67" i="1"/>
  <c r="K67" i="1"/>
  <c r="J67" i="1"/>
  <c r="I67" i="1"/>
  <c r="O66" i="1"/>
  <c r="N66" i="1"/>
  <c r="M66" i="1"/>
  <c r="L66" i="1"/>
  <c r="K66" i="1"/>
  <c r="J66" i="1"/>
  <c r="I66" i="1"/>
  <c r="O65" i="1"/>
  <c r="N65" i="1"/>
  <c r="M65" i="1"/>
  <c r="L65" i="1"/>
  <c r="K65" i="1"/>
  <c r="J65" i="1"/>
  <c r="I65" i="1"/>
  <c r="O64" i="1"/>
  <c r="N64" i="1"/>
  <c r="M64" i="1"/>
  <c r="L64" i="1"/>
  <c r="K64" i="1"/>
  <c r="J64" i="1"/>
  <c r="I64" i="1"/>
  <c r="O63" i="1"/>
  <c r="N63" i="1"/>
  <c r="M63" i="1"/>
  <c r="L63" i="1"/>
  <c r="K63" i="1"/>
  <c r="J63" i="1"/>
  <c r="I63" i="1"/>
  <c r="O62" i="1"/>
  <c r="N62" i="1"/>
  <c r="M62" i="1"/>
  <c r="L62" i="1"/>
  <c r="K62" i="1"/>
  <c r="J62" i="1"/>
  <c r="I62" i="1"/>
  <c r="O61" i="1"/>
  <c r="N61" i="1"/>
  <c r="M61" i="1"/>
  <c r="L61" i="1"/>
  <c r="K61" i="1"/>
  <c r="J61" i="1"/>
  <c r="I61" i="1"/>
  <c r="O60" i="1"/>
  <c r="N60" i="1"/>
  <c r="M60" i="1"/>
  <c r="L60" i="1"/>
  <c r="K60" i="1"/>
  <c r="J60" i="1"/>
  <c r="I60" i="1"/>
  <c r="O59" i="1"/>
  <c r="N59" i="1"/>
  <c r="M59" i="1"/>
  <c r="L59" i="1"/>
  <c r="K59" i="1"/>
  <c r="J59" i="1"/>
  <c r="I59" i="1"/>
  <c r="O58" i="1"/>
  <c r="N58" i="1"/>
  <c r="M58" i="1"/>
  <c r="L58" i="1"/>
  <c r="K58" i="1"/>
  <c r="J58" i="1"/>
  <c r="I58" i="1"/>
  <c r="O57" i="1"/>
  <c r="N57" i="1"/>
  <c r="M57" i="1"/>
  <c r="L57" i="1"/>
  <c r="K57" i="1"/>
  <c r="J57" i="1"/>
  <c r="I57" i="1"/>
  <c r="O56" i="1"/>
  <c r="N56" i="1"/>
  <c r="M56" i="1"/>
  <c r="L56" i="1"/>
  <c r="K56" i="1"/>
  <c r="J56" i="1"/>
  <c r="I56" i="1"/>
  <c r="O55" i="1"/>
  <c r="N55" i="1"/>
  <c r="M55" i="1"/>
  <c r="L55" i="1"/>
  <c r="K55" i="1"/>
  <c r="J55" i="1"/>
  <c r="I55" i="1"/>
  <c r="O54" i="1"/>
  <c r="N54" i="1"/>
  <c r="M54" i="1"/>
  <c r="L54" i="1"/>
  <c r="K54" i="1"/>
  <c r="J54" i="1"/>
  <c r="I54" i="1"/>
  <c r="O53" i="1"/>
  <c r="N53" i="1"/>
  <c r="M53" i="1"/>
  <c r="L53" i="1"/>
  <c r="K53" i="1"/>
  <c r="J53" i="1"/>
  <c r="I53" i="1"/>
  <c r="O52" i="1"/>
  <c r="N52" i="1"/>
  <c r="M52" i="1"/>
  <c r="L52" i="1"/>
  <c r="K52" i="1"/>
  <c r="J52" i="1"/>
  <c r="I52" i="1"/>
  <c r="O51" i="1"/>
  <c r="N51" i="1"/>
  <c r="M51" i="1"/>
  <c r="L51" i="1"/>
  <c r="K51" i="1"/>
  <c r="J51" i="1"/>
  <c r="I51" i="1"/>
  <c r="O50" i="1"/>
  <c r="N50" i="1"/>
  <c r="M50" i="1"/>
  <c r="L50" i="1"/>
  <c r="K50" i="1"/>
  <c r="J50" i="1"/>
  <c r="I50" i="1"/>
  <c r="O49" i="1"/>
  <c r="N49" i="1"/>
  <c r="M49" i="1"/>
  <c r="L49" i="1"/>
  <c r="K49" i="1"/>
  <c r="J49" i="1"/>
  <c r="I49" i="1"/>
  <c r="O48" i="1"/>
  <c r="N48" i="1"/>
  <c r="M48" i="1"/>
  <c r="L48" i="1"/>
  <c r="K48" i="1"/>
  <c r="J48" i="1"/>
  <c r="I48" i="1"/>
  <c r="O47" i="1"/>
  <c r="N47" i="1"/>
  <c r="M47" i="1"/>
  <c r="L47" i="1"/>
  <c r="K47" i="1"/>
  <c r="J47" i="1"/>
  <c r="I47" i="1"/>
  <c r="O46" i="1"/>
  <c r="N46" i="1"/>
  <c r="M46" i="1"/>
  <c r="L46" i="1"/>
  <c r="K46" i="1"/>
  <c r="J46" i="1"/>
  <c r="I46" i="1"/>
  <c r="O45" i="1"/>
  <c r="N45" i="1"/>
  <c r="M45" i="1"/>
  <c r="L45" i="1"/>
  <c r="K45" i="1"/>
  <c r="J45" i="1"/>
  <c r="I45" i="1"/>
  <c r="O44" i="1"/>
  <c r="N44" i="1"/>
  <c r="M44" i="1"/>
  <c r="L44" i="1"/>
  <c r="K44" i="1"/>
  <c r="J44" i="1"/>
  <c r="I44" i="1"/>
  <c r="O43" i="1"/>
  <c r="N43" i="1"/>
  <c r="M43" i="1"/>
  <c r="L43" i="1"/>
  <c r="K43" i="1"/>
  <c r="J43" i="1"/>
  <c r="I43" i="1"/>
  <c r="O42" i="1"/>
  <c r="N42" i="1"/>
  <c r="M42" i="1"/>
  <c r="L42" i="1"/>
  <c r="K42" i="1"/>
  <c r="J42" i="1"/>
  <c r="I42" i="1"/>
  <c r="O41" i="1"/>
  <c r="N41" i="1"/>
  <c r="M41" i="1"/>
  <c r="L41" i="1"/>
  <c r="K41" i="1"/>
  <c r="J41" i="1"/>
  <c r="I41" i="1"/>
  <c r="O40" i="1"/>
  <c r="N40" i="1"/>
  <c r="M40" i="1"/>
  <c r="L40" i="1"/>
  <c r="K40" i="1"/>
  <c r="J40" i="1"/>
  <c r="I40" i="1"/>
  <c r="O39" i="1"/>
  <c r="N39" i="1"/>
  <c r="M39" i="1"/>
  <c r="L39" i="1"/>
  <c r="K39" i="1"/>
  <c r="J39" i="1"/>
  <c r="I39" i="1"/>
  <c r="O38" i="1"/>
  <c r="N38" i="1"/>
  <c r="M38" i="1"/>
  <c r="L38" i="1"/>
  <c r="K38" i="1"/>
  <c r="J38" i="1"/>
  <c r="I38" i="1"/>
  <c r="O37" i="1"/>
  <c r="N37" i="1"/>
  <c r="M37" i="1"/>
  <c r="L37" i="1"/>
  <c r="K37" i="1"/>
  <c r="J37" i="1"/>
  <c r="I37" i="1"/>
  <c r="O36" i="1"/>
  <c r="N36" i="1"/>
  <c r="M36" i="1"/>
  <c r="L36" i="1"/>
  <c r="K36" i="1"/>
  <c r="J36" i="1"/>
  <c r="I36" i="1"/>
  <c r="O35" i="1"/>
  <c r="N35" i="1"/>
  <c r="M35" i="1"/>
  <c r="L35" i="1"/>
  <c r="K35" i="1"/>
  <c r="J35" i="1"/>
  <c r="I35" i="1"/>
  <c r="O34" i="1"/>
  <c r="N34" i="1"/>
  <c r="M34" i="1"/>
  <c r="L34" i="1"/>
  <c r="K34" i="1"/>
  <c r="J34" i="1"/>
  <c r="I34" i="1"/>
  <c r="O33" i="1"/>
  <c r="N33" i="1"/>
  <c r="M33" i="1"/>
  <c r="L33" i="1"/>
  <c r="K33" i="1"/>
  <c r="J33" i="1"/>
  <c r="I33" i="1"/>
  <c r="O32" i="1"/>
  <c r="N32" i="1"/>
  <c r="M32" i="1"/>
  <c r="L32" i="1"/>
  <c r="K32" i="1"/>
  <c r="J32" i="1"/>
  <c r="I32" i="1"/>
  <c r="O31" i="1"/>
  <c r="N31" i="1"/>
  <c r="M31" i="1"/>
  <c r="L31" i="1"/>
  <c r="K31" i="1"/>
  <c r="J31" i="1"/>
  <c r="I31" i="1"/>
  <c r="O30" i="1"/>
  <c r="N30" i="1"/>
  <c r="M30" i="1"/>
  <c r="L30" i="1"/>
  <c r="K30" i="1"/>
  <c r="J30" i="1"/>
  <c r="I30" i="1"/>
  <c r="O29" i="1"/>
  <c r="N29" i="1"/>
  <c r="M29" i="1"/>
  <c r="L29" i="1"/>
  <c r="K29" i="1"/>
  <c r="J29" i="1"/>
  <c r="I29" i="1"/>
  <c r="O28" i="1"/>
  <c r="N28" i="1"/>
  <c r="M28" i="1"/>
  <c r="L28" i="1"/>
  <c r="K28" i="1"/>
  <c r="J28" i="1"/>
  <c r="I28" i="1"/>
  <c r="O27" i="1"/>
  <c r="N27" i="1"/>
  <c r="M27" i="1"/>
  <c r="L27" i="1"/>
  <c r="K27" i="1"/>
  <c r="J27" i="1"/>
  <c r="I27" i="1"/>
  <c r="O26" i="1"/>
  <c r="N26" i="1"/>
  <c r="M26" i="1"/>
  <c r="L26" i="1"/>
  <c r="K26" i="1"/>
  <c r="J26" i="1"/>
  <c r="I26" i="1"/>
  <c r="O25" i="1"/>
  <c r="N25" i="1"/>
  <c r="M25" i="1"/>
  <c r="L25" i="1"/>
  <c r="K25" i="1"/>
  <c r="J25" i="1"/>
  <c r="I25" i="1"/>
  <c r="O24" i="1"/>
  <c r="N24" i="1"/>
  <c r="M24" i="1"/>
  <c r="L24" i="1"/>
  <c r="K24" i="1"/>
  <c r="J24" i="1"/>
  <c r="I24" i="1"/>
  <c r="O23" i="1"/>
  <c r="N23" i="1"/>
  <c r="M23" i="1"/>
  <c r="L23" i="1"/>
  <c r="K23" i="1"/>
  <c r="J23" i="1"/>
  <c r="I23" i="1"/>
  <c r="O22" i="1"/>
  <c r="N22" i="1"/>
  <c r="M22" i="1"/>
  <c r="L22" i="1"/>
  <c r="K22" i="1"/>
  <c r="J22" i="1"/>
  <c r="I22" i="1"/>
  <c r="O21" i="1"/>
  <c r="N21" i="1"/>
  <c r="M21" i="1"/>
  <c r="L21" i="1"/>
  <c r="K21" i="1"/>
  <c r="J21" i="1"/>
  <c r="I21" i="1"/>
  <c r="O20" i="1"/>
  <c r="N20" i="1"/>
  <c r="M20" i="1"/>
  <c r="L20" i="1"/>
  <c r="K20" i="1"/>
  <c r="J20" i="1"/>
  <c r="I20" i="1"/>
  <c r="O19" i="1"/>
  <c r="N19" i="1"/>
  <c r="M19" i="1"/>
  <c r="L19" i="1"/>
  <c r="K19" i="1"/>
  <c r="J19" i="1"/>
  <c r="I19" i="1"/>
  <c r="O18" i="1"/>
  <c r="N18" i="1"/>
  <c r="M18" i="1"/>
  <c r="L18" i="1"/>
  <c r="K18" i="1"/>
  <c r="J18" i="1"/>
  <c r="I18" i="1"/>
  <c r="O17" i="1"/>
  <c r="N17" i="1"/>
  <c r="M17" i="1"/>
  <c r="L17" i="1"/>
  <c r="K17" i="1"/>
  <c r="J17" i="1"/>
  <c r="I17" i="1"/>
  <c r="O16" i="1"/>
  <c r="N16" i="1"/>
  <c r="M16" i="1"/>
  <c r="L16" i="1"/>
  <c r="K16" i="1"/>
  <c r="J16" i="1"/>
  <c r="I16" i="1"/>
  <c r="O15" i="1"/>
  <c r="N15" i="1"/>
  <c r="M15" i="1"/>
  <c r="L15" i="1"/>
  <c r="K15" i="1"/>
  <c r="J15" i="1"/>
  <c r="I15" i="1"/>
  <c r="O14" i="1"/>
  <c r="N14" i="1"/>
  <c r="M14" i="1"/>
  <c r="L14" i="1"/>
  <c r="K14" i="1"/>
  <c r="J14" i="1"/>
  <c r="I14" i="1"/>
  <c r="O13" i="1"/>
  <c r="N13" i="1"/>
  <c r="M13" i="1"/>
  <c r="L13" i="1"/>
  <c r="K13" i="1"/>
  <c r="J13" i="1"/>
  <c r="I13" i="1"/>
  <c r="O12" i="1"/>
  <c r="N12" i="1"/>
  <c r="M12" i="1"/>
  <c r="L12" i="1"/>
  <c r="K12" i="1"/>
  <c r="J12" i="1"/>
  <c r="I12" i="1"/>
  <c r="O11" i="1"/>
  <c r="N11" i="1"/>
  <c r="M11" i="1"/>
  <c r="L11" i="1"/>
  <c r="K11" i="1"/>
  <c r="J11" i="1"/>
  <c r="I11" i="1"/>
  <c r="O10" i="1"/>
  <c r="N10" i="1"/>
  <c r="M10" i="1"/>
  <c r="L10" i="1"/>
  <c r="K10" i="1"/>
  <c r="J10" i="1"/>
  <c r="I10" i="1"/>
  <c r="O9" i="1"/>
  <c r="N9" i="1"/>
  <c r="M9" i="1"/>
  <c r="L9" i="1"/>
  <c r="K9" i="1"/>
  <c r="J9" i="1"/>
  <c r="I9" i="1"/>
  <c r="O8" i="1"/>
  <c r="N8" i="1"/>
  <c r="M8" i="1"/>
  <c r="L8" i="1"/>
  <c r="K8" i="1"/>
  <c r="J8" i="1"/>
  <c r="I8" i="1"/>
  <c r="O7" i="1"/>
  <c r="N7" i="1"/>
  <c r="M7" i="1"/>
  <c r="L7" i="1"/>
  <c r="K7" i="1"/>
  <c r="J7" i="1"/>
  <c r="I7" i="1"/>
  <c r="O6" i="1"/>
  <c r="N6" i="1"/>
  <c r="M6" i="1"/>
  <c r="L6" i="1"/>
  <c r="K6" i="1"/>
  <c r="J6" i="1"/>
  <c r="I6" i="1"/>
  <c r="O5" i="1"/>
  <c r="N5" i="1"/>
  <c r="M5" i="1"/>
  <c r="L5" i="1"/>
  <c r="K5" i="1"/>
  <c r="J5" i="1"/>
  <c r="I5" i="1"/>
  <c r="O4" i="1"/>
  <c r="N4" i="1"/>
  <c r="M4" i="1"/>
  <c r="L4" i="1"/>
  <c r="K4" i="1"/>
  <c r="J4" i="1"/>
  <c r="I4" i="1"/>
  <c r="O3" i="1"/>
  <c r="N3" i="1"/>
  <c r="M3" i="1"/>
  <c r="L3" i="1"/>
  <c r="K3" i="1"/>
  <c r="J3" i="1"/>
  <c r="I3" i="1"/>
  <c r="O2" i="1"/>
  <c r="N2" i="1"/>
  <c r="M2" i="1"/>
  <c r="L2" i="1"/>
  <c r="K2" i="1"/>
  <c r="J2" i="1"/>
  <c r="I2" i="1"/>
  <c r="P10" i="2"/>
  <c r="J2" i="2"/>
  <c r="P8" i="2"/>
  <c r="U44" i="1"/>
  <c r="U41" i="1"/>
  <c r="Q2" i="1"/>
  <c r="Y38" i="1"/>
  <c r="S38" i="1"/>
  <c r="U42" i="1"/>
  <c r="U33" i="1"/>
  <c r="U32" i="1"/>
  <c r="U31" i="1"/>
  <c r="U28" i="1"/>
  <c r="U27" i="1"/>
  <c r="Y25" i="1"/>
  <c r="Y24" i="1"/>
  <c r="Y20" i="1"/>
  <c r="Y22" i="1"/>
  <c r="Y23" i="1"/>
  <c r="Y19" i="1"/>
  <c r="Y17" i="1"/>
  <c r="Y16" i="1"/>
  <c r="Y13" i="1"/>
  <c r="Y11" i="1"/>
  <c r="Y8" i="1"/>
  <c r="Y7" i="1"/>
  <c r="Y10" i="1"/>
  <c r="Y12" i="1"/>
  <c r="I2" i="2" l="1"/>
  <c r="N10" i="2" s="1"/>
  <c r="S10" i="1"/>
  <c r="W10" i="1"/>
  <c r="X8" i="1"/>
  <c r="U7" i="1"/>
  <c r="U11" i="1"/>
  <c r="T8" i="1"/>
  <c r="V7" i="1"/>
  <c r="S7" i="1"/>
  <c r="W7" i="1"/>
  <c r="U8" i="1"/>
  <c r="U12" i="1" s="1"/>
  <c r="T10" i="1"/>
  <c r="X10" i="1"/>
  <c r="V11" i="1"/>
  <c r="T7" i="1"/>
  <c r="X7" i="1"/>
  <c r="V8" i="1"/>
  <c r="U10" i="1"/>
  <c r="S11" i="1"/>
  <c r="W11" i="1"/>
  <c r="S8" i="1"/>
  <c r="W8" i="1"/>
  <c r="V10" i="1"/>
  <c r="T11" i="1"/>
  <c r="X11" i="1"/>
  <c r="X12" i="1" s="1"/>
  <c r="V16" i="1" l="1"/>
  <c r="W12" i="1"/>
  <c r="W13" i="1" s="1"/>
  <c r="W16" i="1" s="1"/>
  <c r="V12" i="1"/>
  <c r="V13" i="1" s="1"/>
  <c r="S12" i="1"/>
  <c r="S13" i="1" s="1"/>
  <c r="S16" i="1" s="1"/>
  <c r="T12" i="1"/>
  <c r="T13" i="1" s="1"/>
  <c r="T16" i="1" s="1"/>
  <c r="U13" i="1"/>
  <c r="U16" i="1" s="1"/>
  <c r="X13" i="1"/>
  <c r="X16" i="1" s="1"/>
  <c r="S17" i="1" l="1"/>
  <c r="S19" i="1" s="1"/>
  <c r="S20" i="1" l="1"/>
  <c r="S23" i="1"/>
  <c r="X19" i="1"/>
  <c r="X20" i="1" s="1"/>
  <c r="T19" i="1"/>
  <c r="T20" i="1" s="1"/>
  <c r="V19" i="1"/>
  <c r="V20" i="1" s="1"/>
  <c r="U19" i="1"/>
  <c r="U20" i="1" s="1"/>
  <c r="W19" i="1"/>
  <c r="W20" i="1" s="1"/>
  <c r="S22" i="1" l="1"/>
  <c r="S25" i="1" s="1"/>
  <c r="S31" i="1" s="1"/>
  <c r="S32" i="1" s="1"/>
  <c r="S24" i="1"/>
  <c r="V37" i="1" l="1"/>
  <c r="W37" i="1"/>
  <c r="S33" i="1"/>
  <c r="T37" i="1"/>
  <c r="X37" i="1"/>
  <c r="U37" i="1"/>
  <c r="S37" i="1"/>
  <c r="Y37" i="1" l="1"/>
  <c r="P2" i="1" s="1"/>
</calcChain>
</file>

<file path=xl/sharedStrings.xml><?xml version="1.0" encoding="utf-8"?>
<sst xmlns="http://schemas.openxmlformats.org/spreadsheetml/2006/main" count="596" uniqueCount="305">
  <si>
    <t>Date</t>
  </si>
  <si>
    <t>F</t>
  </si>
  <si>
    <t>GM</t>
  </si>
  <si>
    <t>T</t>
  </si>
  <si>
    <t>VZ</t>
  </si>
  <si>
    <t>WMT</t>
  </si>
  <si>
    <t>TGT</t>
  </si>
  <si>
    <t>S&amp;P 500 Return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</si>
  <si>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</si>
  <si>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</si>
  <si>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</si>
  <si>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</si>
  <si>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</si>
  <si>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</si>
  <si>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</si>
  <si>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</si>
  <si>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</si>
  <si>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</si>
  <si>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</si>
  <si>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</si>
  <si>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</si>
  <si>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</si>
  <si>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</si>
  <si>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</si>
  <si>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</si>
  <si>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</si>
  <si>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</si>
  <si>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</si>
  <si>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</si>
  <si>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</si>
  <si>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</si>
  <si>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</si>
  <si>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</si>
  <si>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</si>
  <si>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</si>
  <si>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</si>
  <si>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</si>
  <si>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</si>
  <si>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</si>
  <si>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</si>
  <si>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</si>
  <si>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</si>
  <si>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</si>
  <si>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</si>
  <si>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</si>
  <si>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</si>
  <si>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</si>
  <si>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</si>
  <si>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</si>
  <si>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</si>
  <si>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</si>
  <si>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</si>
  <si>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</si>
  <si>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</si>
  <si>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</si>
  <si>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</si>
  <si>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</si>
  <si>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</si>
  <si>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</si>
  <si>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</si>
  <si>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</si>
  <si>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</si>
  <si>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</si>
  <si>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</si>
  <si>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</si>
  <si>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</si>
  <si>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</si>
  <si>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</si>
  <si>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</si>
  <si>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</si>
  <si>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</si>
  <si>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</si>
  <si>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</si>
  <si>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</si>
  <si>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</si>
  <si>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</si>
  <si>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</si>
  <si>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</si>
  <si>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</si>
  <si>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</si>
  <si>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</si>
  <si>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</si>
  <si>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</si>
  <si>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</si>
  <si>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</si>
  <si>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</si>
  <si>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</si>
  <si>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</si>
  <si>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</si>
  <si>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</si>
  <si>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</si>
  <si>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</si>
  <si>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</si>
  <si>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</si>
  <si>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</si>
  <si>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</si>
  <si>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</si>
  <si>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</si>
  <si>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</si>
  <si>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</si>
  <si>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</si>
  <si>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</si>
  <si>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</si>
  <si>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</si>
  <si>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</si>
  <si>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</si>
  <si>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</si>
  <si>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</si>
  <si>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</si>
  <si>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</si>
  <si>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</si>
  <si>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</si>
  <si>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</si>
  <si>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</si>
  <si>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</si>
  <si>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</si>
  <si>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</si>
  <si>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</si>
  <si>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</si>
  <si>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</si>
  <si>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</si>
  <si>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</si>
  <si>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</si>
  <si>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</si>
  <si>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</si>
  <si>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</si>
  <si>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</si>
  <si>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</si>
  <si>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</si>
  <si>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</si>
  <si>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</si>
  <si>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</si>
  <si>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</si>
  <si>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</si>
  <si>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</si>
  <si>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</si>
  <si>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</si>
  <si>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</si>
  <si>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</si>
  <si>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</si>
  <si>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</si>
  <si>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</si>
  <si>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</si>
  <si>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</si>
  <si>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</si>
  <si>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</si>
  <si>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</si>
  <si>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</si>
  <si>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</si>
  <si>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</si>
  <si>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</si>
  <si>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</si>
  <si>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</si>
  <si>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</si>
  <si>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</si>
  <si>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</si>
  <si>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</si>
  <si>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</si>
  <si>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</si>
  <si>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</si>
  <si>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</si>
  <si>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</si>
  <si>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</si>
  <si>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</si>
  <si>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</si>
  <si>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</si>
  <si>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</si>
  <si>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</si>
  <si>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</si>
  <si>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</si>
  <si>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</si>
  <si>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</si>
  <si>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</si>
  <si>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</si>
  <si>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</si>
  <si>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</si>
  <si>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</si>
  <si>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</si>
  <si>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</si>
  <si>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</si>
  <si>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</si>
  <si>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</si>
  <si>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</si>
  <si>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</si>
  <si>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</si>
  <si>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</si>
  <si>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</si>
  <si>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</si>
  <si>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</si>
  <si>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</si>
  <si>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</si>
  <si>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</si>
  <si>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</si>
  <si>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</si>
  <si>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</si>
  <si>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</si>
  <si>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</si>
  <si>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</si>
  <si>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</si>
  <si>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</si>
  <si>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</si>
  <si>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</si>
  <si>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</si>
  <si>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</si>
  <si>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</si>
  <si>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</si>
  <si>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</si>
  <si>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</si>
  <si>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</si>
  <si>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</si>
  <si>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</si>
  <si>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</si>
  <si>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</si>
  <si>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</si>
  <si>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</si>
  <si>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</si>
  <si>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</si>
  <si>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</si>
  <si>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</si>
  <si>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</si>
  <si>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</si>
  <si>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</si>
  <si>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</si>
  <si>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</si>
  <si>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</si>
  <si>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</si>
  <si>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</si>
  <si>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</si>
  <si>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</si>
  <si>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</si>
  <si>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</si>
  <si>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</si>
  <si>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</si>
  <si>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</si>
  <si>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</si>
  <si>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</si>
  <si>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</si>
  <si>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</si>
  <si>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</si>
  <si>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</si>
  <si>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</si>
  <si>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</si>
  <si>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</si>
  <si>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</si>
  <si>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</si>
  <si>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</si>
  <si>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</si>
  <si>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</si>
  <si>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</si>
  <si>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</si>
  <si>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</si>
  <si>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</si>
  <si>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</si>
  <si>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</si>
  <si>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</si>
  <si>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</si>
  <si>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</si>
  <si>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</si>
  <si>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</si>
  <si>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</si>
  <si>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F Exc</t>
  </si>
  <si>
    <t>GM Exc</t>
  </si>
  <si>
    <t>T Exc</t>
  </si>
  <si>
    <t>VZ Exc</t>
  </si>
  <si>
    <t>WMT Exc</t>
  </si>
  <si>
    <t>TGT Exc</t>
  </si>
  <si>
    <t xml:space="preserve">Market (Index) = </t>
  </si>
  <si>
    <t>S&amp;P 500</t>
  </si>
  <si>
    <t xml:space="preserve">Risk-free rate, r_F = </t>
  </si>
  <si>
    <t>Run the index models for eaxh of the 6 stocks:</t>
  </si>
  <si>
    <t>Alpha</t>
  </si>
  <si>
    <t>Beta</t>
  </si>
  <si>
    <t>Total risk</t>
  </si>
  <si>
    <t>Total risk of the market</t>
  </si>
  <si>
    <t>Systematic risk</t>
  </si>
  <si>
    <t>Active Portfolio, A</t>
  </si>
  <si>
    <t>Information ratio</t>
  </si>
  <si>
    <t>Total information ratio</t>
  </si>
  <si>
    <t>Weights of Active Portfolio, A</t>
  </si>
  <si>
    <t>Alpha A</t>
  </si>
  <si>
    <t>Beta A</t>
  </si>
  <si>
    <t>Idiosyncratic risk = Sigma^2(e )</t>
  </si>
  <si>
    <t>Idiosyncratic risk = Sigma^2(e_A)</t>
  </si>
  <si>
    <t>Information ratio of A</t>
  </si>
  <si>
    <t>Weights ^2</t>
  </si>
  <si>
    <t>Risk premium of the Market (Index)</t>
  </si>
  <si>
    <t>Total risk of the Market</t>
  </si>
  <si>
    <t>Treynor-Black (TB) Portfolio</t>
  </si>
  <si>
    <t>w_0</t>
  </si>
  <si>
    <t>w_A</t>
  </si>
  <si>
    <t>w_M</t>
  </si>
  <si>
    <t>The TB portfolio invests w_A in the Active portfolio, A, and w_M in the Market portfolio (passive)</t>
  </si>
  <si>
    <t>Sharpe Ratio of TB Portfolio</t>
  </si>
  <si>
    <t>Sharpe Ratio of the Market</t>
  </si>
  <si>
    <t>TB Portfolio Final Weights</t>
  </si>
  <si>
    <t>S&amp;P500</t>
  </si>
  <si>
    <t>TB Portfolio Returs</t>
  </si>
  <si>
    <t xml:space="preserve">Difference is coming from </t>
  </si>
  <si>
    <t>active portfolio</t>
  </si>
  <si>
    <t>Guess the weights of ORP</t>
  </si>
  <si>
    <t>Set up the Optimal Risky Portfolio (ORP)</t>
  </si>
  <si>
    <t>Check that weights add up to 1</t>
  </si>
  <si>
    <t>ORP Returns</t>
  </si>
  <si>
    <t>Sharpe Ratio of ORP:</t>
  </si>
  <si>
    <t>Notice that the TB portofio is pretty close to the ORP, with a Sharpe Ratio of 0.1813.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</si>
</sst>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2" fillId="0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E840-736A-A34E-871E-2934E48FCE10}">
  <dimension ref="A1:Y253"/>
  <sheetViews>
    <sheetView topLeftCell="Q31" zoomScale="160" zoomScaleNormal="160" workbookViewId="0">
      <selection activeCell="R36" sqref="R36:Y37"/>
    </sheetView>
  </sheetViews>
  <sheetFormatPr baseColWidth="10" defaultRowHeight="16" x14ac:dyDescent="0.2"/>
  <cols>
    <col min="8" max="8" width="13.5" bestFit="1" customWidth="1"/>
    <col min="9" max="15" width="10.83203125" style="4"/>
    <col min="16" max="16" width="14.5" customWidth="1"/>
    <col min="17" max="17" width="31.83203125" bestFit="1" customWidth="1"/>
    <col min="18" max="18" width="28.6640625" customWidth="1"/>
  </cols>
  <sheetData>
    <row r="1" spans="1:25" ht="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7</v>
      </c>
      <c r="P1" s="8" t="s">
        <v>296</v>
      </c>
      <c r="Q1" s="8"/>
    </row>
    <row r="2" spans="1:25" x14ac:dyDescent="0.2">
      <c r="A2" t="s">
        <v>8</v>
      </c>
      <c r="B2">
        <v>0.21045700000000001</v>
      </c>
      <c r="C2">
        <v>4.8957000000000001E-2</v>
      </c>
      <c r="D2">
        <v>0.38545699999999999</v>
      </c>
      <c r="E2">
        <v>9.8756999999999998E-2</v>
      </c>
      <c r="F2">
        <v>6.3957E-2</v>
      </c>
      <c r="G2">
        <v>0.172457</v>
      </c>
      <c r="H2">
        <v>2.9356999999999998E-2</v>
      </c>
      <c r="I2" s="2">
        <f>B2-$S$3</f>
        <v>0.208957</v>
      </c>
      <c r="J2" s="2">
        <f>C2-$S$3</f>
        <v>4.7456999999999999E-2</v>
      </c>
      <c r="K2" s="2">
        <f>D2-$S$3</f>
        <v>0.38395699999999999</v>
      </c>
      <c r="L2" s="2">
        <f>E2-$S$3</f>
        <v>9.7256999999999996E-2</v>
      </c>
      <c r="M2" s="2">
        <f>F2-$S$3</f>
        <v>6.2456999999999999E-2</v>
      </c>
      <c r="N2" s="2">
        <f>G2-$S$3</f>
        <v>0.170957</v>
      </c>
      <c r="O2" s="2">
        <f>H2-$S$3</f>
        <v>2.7856999999999996E-2</v>
      </c>
      <c r="P2" s="9">
        <f>SUMPRODUCT(B2:H2,$S$37:$Y$37)</f>
        <v>0.12680540481482233</v>
      </c>
      <c r="Q2" s="9" t="str">
        <f ca="1">_xlfn.FORMULATEXT(P2)</f>
        <v>=SUMPRODUCT(B2:H2,$S$37:$Y$37)</v>
      </c>
      <c r="R2" t="s">
        <v>266</v>
      </c>
      <c r="S2" t="s">
        <v>267</v>
      </c>
    </row>
    <row r="3" spans="1:25" x14ac:dyDescent="0.2">
      <c r="A3" t="s">
        <v>9</v>
      </c>
      <c r="B3">
        <v>-1.7153000000000002E-2</v>
      </c>
      <c r="C3">
        <v>-1.6530000000000004E-3</v>
      </c>
      <c r="D3">
        <v>-4.4953000000000007E-2</v>
      </c>
      <c r="E3">
        <v>-0.102853</v>
      </c>
      <c r="F3">
        <v>-0.121753</v>
      </c>
      <c r="G3">
        <v>2.4747000000000002E-2</v>
      </c>
      <c r="H3">
        <v>-9.5952999999999997E-2</v>
      </c>
      <c r="I3" s="2">
        <f>B3-$S$3</f>
        <v>-1.8653000000000003E-2</v>
      </c>
      <c r="J3" s="2">
        <f>C3-$S$3</f>
        <v>-3.1530000000000004E-3</v>
      </c>
      <c r="K3" s="2">
        <f>D3-$S$3</f>
        <v>-4.6453000000000008E-2</v>
      </c>
      <c r="L3" s="2">
        <f>E3-$S$3</f>
        <v>-0.104353</v>
      </c>
      <c r="M3" s="2">
        <f>F3-$S$3</f>
        <v>-0.123253</v>
      </c>
      <c r="N3" s="2">
        <f>G3-$S$3</f>
        <v>2.3247E-2</v>
      </c>
      <c r="O3" s="2">
        <f>H3-$S$3</f>
        <v>-9.7452999999999998E-2</v>
      </c>
      <c r="P3" s="9">
        <f t="shared" ref="P3:P66" si="0">SUMPRODUCT(B3:H3,$S$37:$Y$37)</f>
        <v>-7.6393293433195564E-2</v>
      </c>
      <c r="R3" t="s">
        <v>268</v>
      </c>
      <c r="S3">
        <v>1.5E-3</v>
      </c>
    </row>
    <row r="4" spans="1:25" x14ac:dyDescent="0.2">
      <c r="A4" t="s">
        <v>10</v>
      </c>
      <c r="B4">
        <v>6.7800000000000004E-3</v>
      </c>
      <c r="C4">
        <v>-3.1919999999999997E-2</v>
      </c>
      <c r="D4">
        <v>-7.6620000000000008E-2</v>
      </c>
      <c r="E4">
        <v>-8.320000000000001E-3</v>
      </c>
      <c r="F4">
        <v>5.2799999999999991E-3</v>
      </c>
      <c r="G4">
        <v>-7.9219999999999999E-2</v>
      </c>
      <c r="H4">
        <v>-6.8519999999999998E-2</v>
      </c>
      <c r="I4" s="2">
        <f>B4-$S$3</f>
        <v>5.28E-3</v>
      </c>
      <c r="J4" s="2">
        <f>C4-$S$3</f>
        <v>-3.3419999999999998E-2</v>
      </c>
      <c r="K4" s="2">
        <f>D4-$S$3</f>
        <v>-7.8120000000000009E-2</v>
      </c>
      <c r="L4" s="2">
        <f>E4-$S$3</f>
        <v>-9.8200000000000006E-3</v>
      </c>
      <c r="M4" s="2">
        <f>F4-$S$3</f>
        <v>3.7799999999999991E-3</v>
      </c>
      <c r="N4" s="2">
        <f>G4-$S$3</f>
        <v>-8.072E-2</v>
      </c>
      <c r="O4" s="2">
        <f>H4-$S$3</f>
        <v>-7.0019999999999999E-2</v>
      </c>
      <c r="P4" s="9">
        <f t="shared" si="0"/>
        <v>-4.3424278224079002E-2</v>
      </c>
    </row>
    <row r="5" spans="1:25" x14ac:dyDescent="0.2">
      <c r="A5" t="s">
        <v>11</v>
      </c>
      <c r="B5">
        <v>5.5135999999999998E-2</v>
      </c>
      <c r="C5">
        <v>5.3235999999999999E-2</v>
      </c>
      <c r="D5">
        <v>4.2136E-2</v>
      </c>
      <c r="E5">
        <v>0.121836</v>
      </c>
      <c r="F5">
        <v>2.0736000000000001E-2</v>
      </c>
      <c r="G5">
        <v>6.1835999999999995E-2</v>
      </c>
      <c r="H5">
        <v>7.2935999999999987E-2</v>
      </c>
      <c r="I5" s="2">
        <f>B5-$S$3</f>
        <v>5.3635999999999996E-2</v>
      </c>
      <c r="J5" s="2">
        <f>C5-$S$3</f>
        <v>5.1735999999999997E-2</v>
      </c>
      <c r="K5" s="2">
        <f>D5-$S$3</f>
        <v>4.0635999999999999E-2</v>
      </c>
      <c r="L5" s="2">
        <f>E5-$S$3</f>
        <v>0.120336</v>
      </c>
      <c r="M5" s="2">
        <f>F5-$S$3</f>
        <v>1.9236E-2</v>
      </c>
      <c r="N5" s="2">
        <f>G5-$S$3</f>
        <v>6.0335999999999994E-2</v>
      </c>
      <c r="O5" s="2">
        <f>H5-$S$3</f>
        <v>7.1435999999999986E-2</v>
      </c>
      <c r="P5" s="9">
        <f t="shared" si="0"/>
        <v>6.0124367179631988E-2</v>
      </c>
      <c r="R5" t="s">
        <v>269</v>
      </c>
    </row>
    <row r="6" spans="1:25" x14ac:dyDescent="0.2">
      <c r="A6" t="s">
        <v>12</v>
      </c>
      <c r="B6">
        <v>-0.17718299999999998</v>
      </c>
      <c r="C6">
        <v>4.4317000000000002E-2</v>
      </c>
      <c r="D6">
        <v>-5.2982999999999995E-2</v>
      </c>
      <c r="E6">
        <v>-7.1830000000000001E-3</v>
      </c>
      <c r="F6">
        <v>-2.983E-3</v>
      </c>
      <c r="G6">
        <v>-1.8682999999999998E-2</v>
      </c>
      <c r="H6">
        <v>1.9170000000000003E-3</v>
      </c>
      <c r="I6" s="2">
        <f>B6-$S$3</f>
        <v>-0.17868299999999998</v>
      </c>
      <c r="J6" s="2">
        <f>C6-$S$3</f>
        <v>4.2817000000000001E-2</v>
      </c>
      <c r="K6" s="2">
        <f>D6-$S$3</f>
        <v>-5.4482999999999997E-2</v>
      </c>
      <c r="L6" s="2">
        <f>E6-$S$3</f>
        <v>-8.6829999999999997E-3</v>
      </c>
      <c r="M6" s="2">
        <f>F6-$S$3</f>
        <v>-4.483E-3</v>
      </c>
      <c r="N6" s="2">
        <f>G6-$S$3</f>
        <v>-2.0183E-2</v>
      </c>
      <c r="O6" s="2">
        <f>H6-$S$3</f>
        <v>4.1700000000000027E-4</v>
      </c>
      <c r="P6" s="9">
        <f t="shared" si="0"/>
        <v>-3.7185610693945881E-2</v>
      </c>
      <c r="S6" s="3" t="s">
        <v>1</v>
      </c>
      <c r="T6" s="3" t="s">
        <v>2</v>
      </c>
      <c r="U6" s="3" t="s">
        <v>3</v>
      </c>
      <c r="V6" s="3" t="s">
        <v>4</v>
      </c>
      <c r="W6" s="3" t="s">
        <v>5</v>
      </c>
      <c r="X6" s="3" t="s">
        <v>6</v>
      </c>
    </row>
    <row r="7" spans="1:25" x14ac:dyDescent="0.2">
      <c r="A7" t="s">
        <v>13</v>
      </c>
      <c r="B7">
        <v>5.4220000000000006E-3</v>
      </c>
      <c r="C7">
        <v>0.12812199999999999</v>
      </c>
      <c r="D7">
        <v>3.8321999999999995E-2</v>
      </c>
      <c r="E7">
        <v>-2.7378E-2</v>
      </c>
      <c r="F7">
        <v>-5.8478000000000002E-2</v>
      </c>
      <c r="G7">
        <v>-8.7478E-2</v>
      </c>
      <c r="H7">
        <v>-2.7778000000000001E-2</v>
      </c>
      <c r="I7" s="2">
        <f>B7-$S$3</f>
        <v>3.9220000000000001E-3</v>
      </c>
      <c r="J7" s="2">
        <f>C7-$S$3</f>
        <v>0.12662199999999998</v>
      </c>
      <c r="K7" s="2">
        <f>D7-$S$3</f>
        <v>3.6821999999999994E-2</v>
      </c>
      <c r="L7" s="2">
        <f>E7-$S$3</f>
        <v>-2.8878000000000001E-2</v>
      </c>
      <c r="M7" s="2">
        <f>F7-$S$3</f>
        <v>-5.9978000000000004E-2</v>
      </c>
      <c r="N7" s="2">
        <f>G7-$S$3</f>
        <v>-8.8978000000000002E-2</v>
      </c>
      <c r="O7" s="2">
        <f>H7-$S$3</f>
        <v>-2.9278000000000002E-2</v>
      </c>
      <c r="P7" s="9">
        <f t="shared" si="0"/>
        <v>-0.13334755042850707</v>
      </c>
      <c r="R7" t="s">
        <v>270</v>
      </c>
      <c r="S7">
        <f>INTERCEPT(I2:I253,$O$2:$O$253)</f>
        <v>2.095527795434129E-3</v>
      </c>
      <c r="T7">
        <f>INTERCEPT(J2:J253,$O$2:$O$253)</f>
        <v>-1.122182031808807E-2</v>
      </c>
      <c r="U7">
        <f>INTERCEPT(K2:K253,$O$2:$O$253)</f>
        <v>-2.2731871902279335E-4</v>
      </c>
      <c r="V7">
        <f>INTERCEPT(L2:L253,$O$2:$O$253)</f>
        <v>1.2535829933479595E-3</v>
      </c>
      <c r="W7">
        <f>INTERCEPT(M2:M253,$O$2:$O$253)</f>
        <v>2.7620260761410317E-3</v>
      </c>
      <c r="X7">
        <f>INTERCEPT(N2:N253,$O$2:$O$253)</f>
        <v>6.3263013608546043E-3</v>
      </c>
      <c r="Y7" t="str">
        <f ca="1">_xlfn.FORMULATEXT(S7)</f>
        <v>=INTERCEPT(I2:I253,$O$2:$O$253)</v>
      </c>
    </row>
    <row r="8" spans="1:25" x14ac:dyDescent="0.2">
      <c r="A8" t="s">
        <v>14</v>
      </c>
      <c r="B8">
        <v>3.4500999999999997E-2</v>
      </c>
      <c r="C8">
        <v>-1.4699E-2</v>
      </c>
      <c r="D8">
        <v>0.177401</v>
      </c>
      <c r="E8">
        <v>1.6500999999999998E-2</v>
      </c>
      <c r="F8">
        <v>0.14250099999999999</v>
      </c>
      <c r="G8">
        <v>0.11550099999999999</v>
      </c>
      <c r="H8">
        <v>-1.3799000000000001E-2</v>
      </c>
      <c r="I8" s="2">
        <f>B8-$S$3</f>
        <v>3.3000999999999996E-2</v>
      </c>
      <c r="J8" s="2">
        <f>C8-$S$3</f>
        <v>-1.6199000000000002E-2</v>
      </c>
      <c r="K8" s="2">
        <f>D8-$S$3</f>
        <v>0.175901</v>
      </c>
      <c r="L8" s="2">
        <f>E8-$S$3</f>
        <v>1.5000999999999999E-2</v>
      </c>
      <c r="M8" s="2">
        <f>F8-$S$3</f>
        <v>0.14100099999999999</v>
      </c>
      <c r="N8" s="2">
        <f>G8-$S$3</f>
        <v>0.11400099999999999</v>
      </c>
      <c r="O8" s="2">
        <f>H8-$S$3</f>
        <v>-1.5299E-2</v>
      </c>
      <c r="P8" s="9">
        <f t="shared" si="0"/>
        <v>0.1262101574958111</v>
      </c>
      <c r="R8" t="s">
        <v>271</v>
      </c>
      <c r="S8">
        <f>SLOPE(I2:I253,$O$2:$O$253)</f>
        <v>1.693157716350755</v>
      </c>
      <c r="T8">
        <f>SLOPE(J2:J253,$O$2:$O$253)</f>
        <v>1.2078340781436487</v>
      </c>
      <c r="U8">
        <f>SLOPE(K2:K253,$O$2:$O$253)</f>
        <v>0.66099598935953163</v>
      </c>
      <c r="V8">
        <f>SLOPE(L2:L253,$O$2:$O$253)</f>
        <v>0.64095623224745446</v>
      </c>
      <c r="W8">
        <f>SLOPE(M2:M253,$O$2:$O$253)</f>
        <v>0.43582386030860848</v>
      </c>
      <c r="X8">
        <f>SLOPE(N2:N253,$O$2:$O$253)</f>
        <v>0.96134083212225874</v>
      </c>
      <c r="Y8" t="str">
        <f ca="1">_xlfn.FORMULATEXT(S8)</f>
        <v>=SLOPE(I2:I253,$O$2:$O$253)</v>
      </c>
    </row>
    <row r="9" spans="1:25" x14ac:dyDescent="0.2">
      <c r="A9" t="s">
        <v>15</v>
      </c>
      <c r="B9">
        <v>-0.21349599999999999</v>
      </c>
      <c r="C9">
        <v>-0.13519600000000001</v>
      </c>
      <c r="D9">
        <v>-6.0895999999999999E-2</v>
      </c>
      <c r="E9">
        <v>-7.9596E-2</v>
      </c>
      <c r="F9">
        <v>-0.143396</v>
      </c>
      <c r="G9">
        <v>-0.106296</v>
      </c>
      <c r="H9">
        <v>-6.7096000000000003E-2</v>
      </c>
      <c r="I9" s="2">
        <f>B9-$S$3</f>
        <v>-0.21499599999999999</v>
      </c>
      <c r="J9" s="2">
        <f>C9-$S$3</f>
        <v>-0.13669600000000001</v>
      </c>
      <c r="K9" s="2">
        <f>D9-$S$3</f>
        <v>-6.2396E-2</v>
      </c>
      <c r="L9" s="2">
        <f>E9-$S$3</f>
        <v>-8.1096000000000001E-2</v>
      </c>
      <c r="M9" s="2">
        <f>F9-$S$3</f>
        <v>-0.144896</v>
      </c>
      <c r="N9" s="2">
        <f>G9-$S$3</f>
        <v>-0.107796</v>
      </c>
      <c r="O9" s="2">
        <f>H9-$S$3</f>
        <v>-6.8596000000000004E-2</v>
      </c>
      <c r="P9" s="9">
        <f t="shared" si="0"/>
        <v>-0.10384547392179531</v>
      </c>
    </row>
    <row r="10" spans="1:25" x14ac:dyDescent="0.2">
      <c r="A10" t="s">
        <v>16</v>
      </c>
      <c r="B10">
        <v>-0.12953000000000001</v>
      </c>
      <c r="C10">
        <v>-0.21913000000000002</v>
      </c>
      <c r="D10">
        <v>1.3070000000000002E-2</v>
      </c>
      <c r="E10">
        <v>7.9469999999999999E-2</v>
      </c>
      <c r="F10">
        <v>2.9070000000000002E-2</v>
      </c>
      <c r="G10">
        <v>-8.6429999999999993E-2</v>
      </c>
      <c r="H10">
        <v>-8.4429999999999991E-2</v>
      </c>
      <c r="I10" s="2">
        <f>B10-$S$3</f>
        <v>-0.13103000000000001</v>
      </c>
      <c r="J10" s="2">
        <f>C10-$S$3</f>
        <v>-0.22063000000000002</v>
      </c>
      <c r="K10" s="2">
        <f>D10-$S$3</f>
        <v>1.1570000000000002E-2</v>
      </c>
      <c r="L10" s="2">
        <f>E10-$S$3</f>
        <v>7.7969999999999998E-2</v>
      </c>
      <c r="M10" s="2">
        <f>F10-$S$3</f>
        <v>2.7570000000000001E-2</v>
      </c>
      <c r="N10" s="2">
        <f>G10-$S$3</f>
        <v>-8.7929999999999994E-2</v>
      </c>
      <c r="O10" s="2">
        <f>H10-$S$3</f>
        <v>-8.5929999999999992E-2</v>
      </c>
      <c r="P10" s="9">
        <f t="shared" si="0"/>
        <v>3.7273618448333996E-2</v>
      </c>
      <c r="R10" t="s">
        <v>272</v>
      </c>
      <c r="S10">
        <f>_xlfn.VAR.S(I2:I253)</f>
        <v>1.9643181802074403E-2</v>
      </c>
      <c r="T10">
        <f>_xlfn.VAR.S(J2:J253)</f>
        <v>1.2717095585230681E-2</v>
      </c>
      <c r="U10">
        <f>_xlfn.VAR.S(K2:K253)</f>
        <v>4.5118558989946742E-3</v>
      </c>
      <c r="V10">
        <f>_xlfn.VAR.S(L2:L253)</f>
        <v>3.4342490493266811E-3</v>
      </c>
      <c r="W10">
        <f>_xlfn.VAR.S(M2:M253)</f>
        <v>2.6048461298711677E-3</v>
      </c>
      <c r="X10">
        <f>_xlfn.VAR.S(N2:N253)</f>
        <v>5.7692546969805069E-3</v>
      </c>
      <c r="Y10" t="str">
        <f t="shared" ref="Y10:Y20" ca="1" si="1">_xlfn.FORMULATEXT(S10)</f>
        <v>=VAR.S(I2:I253)</v>
      </c>
    </row>
    <row r="11" spans="1:25" x14ac:dyDescent="0.2">
      <c r="A11" t="s">
        <v>17</v>
      </c>
      <c r="B11">
        <v>-6.8454000000000001E-2</v>
      </c>
      <c r="C11">
        <v>-3.8954000000000003E-2</v>
      </c>
      <c r="D11">
        <v>-0.21195399999999998</v>
      </c>
      <c r="E11">
        <v>-7.5153999999999999E-2</v>
      </c>
      <c r="F11">
        <v>3.6245999999999994E-2</v>
      </c>
      <c r="G11">
        <v>-2.1054E-2</v>
      </c>
      <c r="H11">
        <v>1.5946000000000002E-2</v>
      </c>
      <c r="I11" s="2">
        <f>B11-$S$3</f>
        <v>-6.9954000000000002E-2</v>
      </c>
      <c r="J11" s="2">
        <f>C11-$S$3</f>
        <v>-4.0454000000000004E-2</v>
      </c>
      <c r="K11" s="2">
        <f>D11-$S$3</f>
        <v>-0.21345399999999998</v>
      </c>
      <c r="L11" s="2">
        <f>E11-$S$3</f>
        <v>-7.6654E-2</v>
      </c>
      <c r="M11" s="2">
        <f>F11-$S$3</f>
        <v>3.4745999999999992E-2</v>
      </c>
      <c r="N11" s="2">
        <f>G11-$S$3</f>
        <v>-2.2554000000000001E-2</v>
      </c>
      <c r="O11" s="2">
        <f>H11-$S$3</f>
        <v>1.4446000000000002E-2</v>
      </c>
      <c r="P11" s="9">
        <f t="shared" si="0"/>
        <v>1.1609163857293776E-2</v>
      </c>
      <c r="R11" t="s">
        <v>273</v>
      </c>
      <c r="S11">
        <f>_xlfn.VAR.S($O$2:$O$253)</f>
        <v>1.8724782418012226E-3</v>
      </c>
      <c r="T11">
        <f t="shared" ref="T11:X11" si="2">_xlfn.VAR.S($O$2:$O$253)</f>
        <v>1.8724782418012226E-3</v>
      </c>
      <c r="U11">
        <f t="shared" si="2"/>
        <v>1.8724782418012226E-3</v>
      </c>
      <c r="V11">
        <f t="shared" si="2"/>
        <v>1.8724782418012226E-3</v>
      </c>
      <c r="W11">
        <f t="shared" si="2"/>
        <v>1.8724782418012226E-3</v>
      </c>
      <c r="X11">
        <f t="shared" si="2"/>
        <v>1.8724782418012226E-3</v>
      </c>
      <c r="Y11" t="str">
        <f t="shared" ca="1" si="1"/>
        <v>=VAR.S($O$2:$O$253)</v>
      </c>
    </row>
    <row r="12" spans="1:25" x14ac:dyDescent="0.2">
      <c r="A12" t="s">
        <v>18</v>
      </c>
      <c r="B12">
        <v>0.17835100000000001</v>
      </c>
      <c r="C12">
        <v>0.214451</v>
      </c>
      <c r="D12">
        <v>0.145151</v>
      </c>
      <c r="E12">
        <v>-5.8148999999999999E-2</v>
      </c>
      <c r="F12">
        <v>7.1250999999999995E-2</v>
      </c>
      <c r="G12">
        <v>0.20525099999999999</v>
      </c>
      <c r="H12">
        <v>7.3451000000000002E-2</v>
      </c>
      <c r="I12" s="2">
        <f>B12-$S$3</f>
        <v>0.17685100000000001</v>
      </c>
      <c r="J12" s="2">
        <f>C12-$S$3</f>
        <v>0.212951</v>
      </c>
      <c r="K12" s="2">
        <f>D12-$S$3</f>
        <v>0.143651</v>
      </c>
      <c r="L12" s="2">
        <f>E12-$S$3</f>
        <v>-5.9649000000000001E-2</v>
      </c>
      <c r="M12" s="2">
        <f>F12-$S$3</f>
        <v>6.9750999999999994E-2</v>
      </c>
      <c r="N12" s="2">
        <f>G12-$S$3</f>
        <v>0.20375099999999999</v>
      </c>
      <c r="O12" s="2">
        <f>H12-$S$3</f>
        <v>7.1951000000000001E-2</v>
      </c>
      <c r="P12" s="9">
        <f t="shared" si="0"/>
        <v>7.1506315825392436E-2</v>
      </c>
      <c r="R12" t="s">
        <v>274</v>
      </c>
      <c r="S12">
        <f>(S8^2)*S11</f>
        <v>5.3679888896548426E-3</v>
      </c>
      <c r="T12">
        <f t="shared" ref="T12:X12" si="3">(T8^2)*T11</f>
        <v>2.7316895254741519E-3</v>
      </c>
      <c r="U12">
        <f t="shared" si="3"/>
        <v>8.181151379116205E-4</v>
      </c>
      <c r="V12">
        <f t="shared" si="3"/>
        <v>7.6926067081780139E-4</v>
      </c>
      <c r="W12">
        <f t="shared" si="3"/>
        <v>3.5566308087846689E-4</v>
      </c>
      <c r="X12">
        <f t="shared" si="3"/>
        <v>1.7304998176747132E-3</v>
      </c>
      <c r="Y12" t="str">
        <f t="shared" ca="1" si="1"/>
        <v>=(S8^2)*S11</v>
      </c>
    </row>
    <row r="13" spans="1:25" x14ac:dyDescent="0.2">
      <c r="A13" t="s">
        <v>19</v>
      </c>
      <c r="B13">
        <v>-0.17148400000000003</v>
      </c>
      <c r="C13">
        <v>-2.3584000000000001E-2</v>
      </c>
      <c r="D13">
        <v>3.7816000000000002E-2</v>
      </c>
      <c r="E13">
        <v>8.3160000000000005E-3</v>
      </c>
      <c r="F13">
        <v>4.3316E-2</v>
      </c>
      <c r="G13">
        <v>9.2016000000000001E-2</v>
      </c>
      <c r="H13">
        <v>6.1159999999999999E-3</v>
      </c>
      <c r="I13" s="2">
        <f>B13-$S$3</f>
        <v>-0.17298400000000003</v>
      </c>
      <c r="J13" s="2">
        <f>C13-$S$3</f>
        <v>-2.5084000000000002E-2</v>
      </c>
      <c r="K13" s="2">
        <f>D13-$S$3</f>
        <v>3.6316000000000001E-2</v>
      </c>
      <c r="L13" s="2">
        <f>E13-$S$3</f>
        <v>6.8160000000000009E-3</v>
      </c>
      <c r="M13" s="2">
        <f>F13-$S$3</f>
        <v>4.1815999999999999E-2</v>
      </c>
      <c r="N13" s="2">
        <f>G13-$S$3</f>
        <v>9.0515999999999999E-2</v>
      </c>
      <c r="O13" s="2">
        <f>H13-$S$3</f>
        <v>4.6160000000000003E-3</v>
      </c>
      <c r="P13" s="9">
        <f t="shared" si="0"/>
        <v>7.0623271475162341E-2</v>
      </c>
      <c r="R13" t="s">
        <v>281</v>
      </c>
      <c r="S13">
        <f>S10-S12</f>
        <v>1.4275192912419559E-2</v>
      </c>
      <c r="T13">
        <f t="shared" ref="T13:X13" si="4">T10-T12</f>
        <v>9.9854060597565283E-3</v>
      </c>
      <c r="U13">
        <f t="shared" si="4"/>
        <v>3.6937407610830538E-3</v>
      </c>
      <c r="V13">
        <f t="shared" si="4"/>
        <v>2.6649883785088797E-3</v>
      </c>
      <c r="W13">
        <f t="shared" si="4"/>
        <v>2.2491830489927006E-3</v>
      </c>
      <c r="X13">
        <f t="shared" si="4"/>
        <v>4.0387548793057934E-3</v>
      </c>
      <c r="Y13" t="str">
        <f t="shared" ca="1" si="1"/>
        <v>=S10-S12</v>
      </c>
    </row>
    <row r="14" spans="1:25" x14ac:dyDescent="0.2">
      <c r="A14" t="s">
        <v>20</v>
      </c>
      <c r="B14">
        <v>-2.1689999999999997E-2</v>
      </c>
      <c r="C14">
        <v>5.0909999999999997E-2</v>
      </c>
      <c r="D14">
        <v>-2.5689999999999998E-2</v>
      </c>
      <c r="E14">
        <v>-1.719E-2</v>
      </c>
      <c r="F14">
        <v>4.0809999999999999E-2</v>
      </c>
      <c r="G14">
        <v>8.0509999999999998E-2</v>
      </c>
      <c r="H14">
        <v>-1.6989999999999998E-2</v>
      </c>
      <c r="I14" s="2">
        <f>B14-$S$3</f>
        <v>-2.3189999999999999E-2</v>
      </c>
      <c r="J14" s="2">
        <f>C14-$S$3</f>
        <v>4.9409999999999996E-2</v>
      </c>
      <c r="K14" s="2">
        <f>D14-$S$3</f>
        <v>-2.7189999999999999E-2</v>
      </c>
      <c r="L14" s="2">
        <f>E14-$S$3</f>
        <v>-1.8690000000000002E-2</v>
      </c>
      <c r="M14" s="2">
        <f>F14-$S$3</f>
        <v>3.9309999999999998E-2</v>
      </c>
      <c r="N14" s="2">
        <f>G14-$S$3</f>
        <v>7.9009999999999997E-2</v>
      </c>
      <c r="O14" s="2">
        <f>H14-$S$3</f>
        <v>-1.8489999999999999E-2</v>
      </c>
      <c r="P14" s="9">
        <f t="shared" si="0"/>
        <v>3.3871205523491731E-2</v>
      </c>
    </row>
    <row r="15" spans="1:25" x14ac:dyDescent="0.2">
      <c r="A15" t="s">
        <v>21</v>
      </c>
      <c r="B15">
        <v>-2.8785000000000002E-2</v>
      </c>
      <c r="C15">
        <v>4.4815000000000001E-2</v>
      </c>
      <c r="D15">
        <v>-0.12328499999999999</v>
      </c>
      <c r="E15">
        <v>8.4150000000000006E-3</v>
      </c>
      <c r="F15">
        <v>3.2514999999999995E-2</v>
      </c>
      <c r="G15">
        <v>-5.6485E-2</v>
      </c>
      <c r="H15">
        <v>-2.2085E-2</v>
      </c>
      <c r="I15" s="2">
        <f>B15-$S$3</f>
        <v>-3.0285000000000003E-2</v>
      </c>
      <c r="J15" s="2">
        <f>C15-$S$3</f>
        <v>4.3314999999999999E-2</v>
      </c>
      <c r="K15" s="2">
        <f>D15-$S$3</f>
        <v>-0.12478499999999999</v>
      </c>
      <c r="L15" s="2">
        <f>E15-$S$3</f>
        <v>6.915000000000001E-3</v>
      </c>
      <c r="M15" s="2">
        <f>F15-$S$3</f>
        <v>3.1014999999999994E-2</v>
      </c>
      <c r="N15" s="2">
        <f>G15-$S$3</f>
        <v>-5.7985000000000002E-2</v>
      </c>
      <c r="O15" s="2">
        <f>H15-$S$3</f>
        <v>-2.3585000000000002E-2</v>
      </c>
      <c r="P15" s="9">
        <f t="shared" si="0"/>
        <v>-3.6749836466138705E-2</v>
      </c>
      <c r="R15" t="s">
        <v>275</v>
      </c>
    </row>
    <row r="16" spans="1:25" x14ac:dyDescent="0.2">
      <c r="A16" t="s">
        <v>22</v>
      </c>
      <c r="B16">
        <v>0.10685900000000001</v>
      </c>
      <c r="C16">
        <v>0.13965899999999998</v>
      </c>
      <c r="D16">
        <v>1.1459E-2</v>
      </c>
      <c r="E16">
        <v>-1.6341000000000001E-2</v>
      </c>
      <c r="F16">
        <v>-1.1641E-2</v>
      </c>
      <c r="G16">
        <v>2.7758999999999999E-2</v>
      </c>
      <c r="H16">
        <v>3.5359000000000002E-2</v>
      </c>
      <c r="I16" s="2">
        <f>B16-$S$3</f>
        <v>0.10535900000000001</v>
      </c>
      <c r="J16" s="2">
        <f>C16-$S$3</f>
        <v>0.13815899999999998</v>
      </c>
      <c r="K16" s="2">
        <f>D16-$S$3</f>
        <v>9.9590000000000008E-3</v>
      </c>
      <c r="L16" s="2">
        <f>E16-$S$3</f>
        <v>-1.7841000000000003E-2</v>
      </c>
      <c r="M16" s="2">
        <f>F16-$S$3</f>
        <v>-1.3141E-2</v>
      </c>
      <c r="N16" s="2">
        <f>G16-$S$3</f>
        <v>2.6258999999999998E-2</v>
      </c>
      <c r="O16" s="2">
        <f>H16-$S$3</f>
        <v>3.3859E-2</v>
      </c>
      <c r="P16" s="9">
        <f t="shared" si="0"/>
        <v>-3.3490277907843549E-2</v>
      </c>
      <c r="R16" t="s">
        <v>276</v>
      </c>
      <c r="S16">
        <f>S7/S13</f>
        <v>0.14679505967383452</v>
      </c>
      <c r="T16">
        <f t="shared" ref="T16:X16" si="5">T7/T13</f>
        <v>-1.1238221311113801</v>
      </c>
      <c r="U16">
        <f t="shared" si="5"/>
        <v>-6.1541600704035464E-2</v>
      </c>
      <c r="V16">
        <f t="shared" si="5"/>
        <v>0.47038966603275284</v>
      </c>
      <c r="W16">
        <f t="shared" si="5"/>
        <v>1.2280130233855393</v>
      </c>
      <c r="X16">
        <f t="shared" si="5"/>
        <v>1.5663989397499678</v>
      </c>
      <c r="Y16" t="str">
        <f t="shared" ca="1" si="1"/>
        <v>=S7/S13</v>
      </c>
    </row>
    <row r="17" spans="1:25" x14ac:dyDescent="0.2">
      <c r="A17" t="s">
        <v>23</v>
      </c>
      <c r="B17">
        <v>-3.1245999999999999E-2</v>
      </c>
      <c r="C17">
        <v>5.9653999999999999E-2</v>
      </c>
      <c r="D17">
        <v>-0.16584599999999999</v>
      </c>
      <c r="E17">
        <v>-0.123946</v>
      </c>
      <c r="F17">
        <v>-9.0246000000000007E-2</v>
      </c>
      <c r="G17">
        <v>1.0754E-2</v>
      </c>
      <c r="H17">
        <v>-6.2946000000000002E-2</v>
      </c>
      <c r="I17" s="2">
        <f>B17-$S$3</f>
        <v>-3.2745999999999997E-2</v>
      </c>
      <c r="J17" s="2">
        <f>C17-$S$3</f>
        <v>5.8153999999999997E-2</v>
      </c>
      <c r="K17" s="2">
        <f>D17-$S$3</f>
        <v>-0.16734599999999999</v>
      </c>
      <c r="L17" s="2">
        <f>E17-$S$3</f>
        <v>-0.125446</v>
      </c>
      <c r="M17" s="2">
        <f>F17-$S$3</f>
        <v>-9.1746000000000008E-2</v>
      </c>
      <c r="N17" s="2">
        <f>G17-$S$3</f>
        <v>9.2540000000000001E-3</v>
      </c>
      <c r="O17" s="2">
        <f>H17-$S$3</f>
        <v>-6.4446000000000003E-2</v>
      </c>
      <c r="P17" s="9">
        <f t="shared" si="0"/>
        <v>-8.8375227262580222E-2</v>
      </c>
      <c r="R17" t="s">
        <v>277</v>
      </c>
      <c r="S17">
        <f>SUM(S16:X16)</f>
        <v>2.2262329570266788</v>
      </c>
      <c r="Y17" t="str">
        <f t="shared" ca="1" si="1"/>
        <v>=SUM(S16:X16)</v>
      </c>
    </row>
    <row r="18" spans="1:25" x14ac:dyDescent="0.2">
      <c r="A18" t="s">
        <v>24</v>
      </c>
      <c r="B18">
        <v>0.108458</v>
      </c>
      <c r="C18">
        <v>-2.5441999999999999E-2</v>
      </c>
      <c r="D18">
        <v>-8.9141999999999999E-2</v>
      </c>
      <c r="E18">
        <v>7.0657999999999999E-2</v>
      </c>
      <c r="F18">
        <v>-3.2941999999999999E-2</v>
      </c>
      <c r="G18">
        <v>-5.0541999999999997E-2</v>
      </c>
      <c r="H18">
        <v>-1.0542000000000001E-2</v>
      </c>
      <c r="I18" s="2">
        <f>B18-$S$3</f>
        <v>0.106958</v>
      </c>
      <c r="J18" s="2">
        <f>C18-$S$3</f>
        <v>-2.6942000000000001E-2</v>
      </c>
      <c r="K18" s="2">
        <f>D18-$S$3</f>
        <v>-9.0642E-2</v>
      </c>
      <c r="L18" s="2">
        <f>E18-$S$3</f>
        <v>6.9157999999999997E-2</v>
      </c>
      <c r="M18" s="2">
        <f>F18-$S$3</f>
        <v>-3.4442E-2</v>
      </c>
      <c r="N18" s="2">
        <f>G18-$S$3</f>
        <v>-5.2041999999999998E-2</v>
      </c>
      <c r="O18" s="2">
        <f>H18-$S$3</f>
        <v>-1.2042000000000001E-2</v>
      </c>
      <c r="P18" s="9">
        <f t="shared" si="0"/>
        <v>-1.5006776283413993E-2</v>
      </c>
    </row>
    <row r="19" spans="1:25" x14ac:dyDescent="0.2">
      <c r="A19" t="s">
        <v>25</v>
      </c>
      <c r="B19">
        <v>-9.4811999999999994E-2</v>
      </c>
      <c r="C19">
        <v>-0.14131200000000002</v>
      </c>
      <c r="D19">
        <v>-0.10391199999999999</v>
      </c>
      <c r="E19">
        <v>-6.7611999999999992E-2</v>
      </c>
      <c r="F19">
        <v>1.6788000000000001E-2</v>
      </c>
      <c r="G19">
        <v>-8.2111999999999991E-2</v>
      </c>
      <c r="H19">
        <v>-7.3811999999999989E-2</v>
      </c>
      <c r="I19" s="2">
        <f>B19-$S$3</f>
        <v>-9.6311999999999995E-2</v>
      </c>
      <c r="J19" s="2">
        <f>C19-$S$3</f>
        <v>-0.14281200000000002</v>
      </c>
      <c r="K19" s="2">
        <f>D19-$S$3</f>
        <v>-0.10541199999999999</v>
      </c>
      <c r="L19" s="2">
        <f>E19-$S$3</f>
        <v>-6.9111999999999993E-2</v>
      </c>
      <c r="M19" s="2">
        <f>F19-$S$3</f>
        <v>1.5288000000000001E-2</v>
      </c>
      <c r="N19" s="2">
        <f>G19-$S$3</f>
        <v>-8.3611999999999992E-2</v>
      </c>
      <c r="O19" s="2">
        <f>H19-$S$3</f>
        <v>-7.531199999999999E-2</v>
      </c>
      <c r="P19" s="9">
        <f t="shared" si="0"/>
        <v>-1.3046543516620636E-2</v>
      </c>
      <c r="R19" s="5" t="s">
        <v>278</v>
      </c>
      <c r="S19" s="5">
        <f>S16/$S$17</f>
        <v>6.5938768541946149E-2</v>
      </c>
      <c r="T19" s="5">
        <f t="shared" ref="T19:X19" si="6">T16/$S$17</f>
        <v>-0.50480886448304985</v>
      </c>
      <c r="U19" s="5">
        <f t="shared" si="6"/>
        <v>-2.7643827888627362E-2</v>
      </c>
      <c r="V19" s="5">
        <f t="shared" si="6"/>
        <v>0.21129399982515656</v>
      </c>
      <c r="W19" s="5">
        <f t="shared" si="6"/>
        <v>0.55161029734536582</v>
      </c>
      <c r="X19" s="5">
        <f t="shared" si="6"/>
        <v>0.70360962665920879</v>
      </c>
      <c r="Y19" t="str">
        <f t="shared" ca="1" si="1"/>
        <v>=S16/$S$17</v>
      </c>
    </row>
    <row r="20" spans="1:25" x14ac:dyDescent="0.2">
      <c r="A20" t="s">
        <v>26</v>
      </c>
      <c r="B20">
        <v>-0.15340700000000002</v>
      </c>
      <c r="C20">
        <v>-0.130607</v>
      </c>
      <c r="D20">
        <v>-5.0106999999999999E-2</v>
      </c>
      <c r="E20">
        <v>-0.171407</v>
      </c>
      <c r="F20">
        <v>-0.10750699999999999</v>
      </c>
      <c r="G20">
        <v>-0.12620700000000001</v>
      </c>
      <c r="H20">
        <v>-8.0506999999999995E-2</v>
      </c>
      <c r="I20" s="2">
        <f>B20-$S$3</f>
        <v>-0.15490700000000002</v>
      </c>
      <c r="J20" s="2">
        <f>C20-$S$3</f>
        <v>-0.132107</v>
      </c>
      <c r="K20" s="2">
        <f>D20-$S$3</f>
        <v>-5.1607E-2</v>
      </c>
      <c r="L20" s="2">
        <f>E20-$S$3</f>
        <v>-0.17290700000000001</v>
      </c>
      <c r="M20" s="2">
        <f>F20-$S$3</f>
        <v>-0.10900699999999999</v>
      </c>
      <c r="N20" s="2">
        <f>G20-$S$3</f>
        <v>-0.12770700000000001</v>
      </c>
      <c r="O20" s="2">
        <f>H20-$S$3</f>
        <v>-8.2006999999999997E-2</v>
      </c>
      <c r="P20" s="9">
        <f t="shared" si="0"/>
        <v>-0.11637429753807815</v>
      </c>
      <c r="R20" t="s">
        <v>284</v>
      </c>
      <c r="S20">
        <f>S19^2</f>
        <v>4.3479211968283473E-3</v>
      </c>
      <c r="T20">
        <f t="shared" ref="T20:X20" si="7">T19^2</f>
        <v>0.25483198966066617</v>
      </c>
      <c r="U20">
        <f t="shared" si="7"/>
        <v>7.6418122033605187E-4</v>
      </c>
      <c r="V20">
        <f t="shared" si="7"/>
        <v>4.4645154362113262E-2</v>
      </c>
      <c r="W20">
        <f t="shared" si="7"/>
        <v>0.30427392013744287</v>
      </c>
      <c r="X20">
        <f t="shared" si="7"/>
        <v>0.49506650672751118</v>
      </c>
      <c r="Y20" t="str">
        <f t="shared" ca="1" si="1"/>
        <v>=S19^2</v>
      </c>
    </row>
    <row r="21" spans="1:25" x14ac:dyDescent="0.2">
      <c r="A21" t="s">
        <v>27</v>
      </c>
      <c r="B21">
        <v>-0.12760199999999999</v>
      </c>
      <c r="C21">
        <v>3.8198000000000003E-2</v>
      </c>
      <c r="D21">
        <v>0.19899800000000001</v>
      </c>
      <c r="E21">
        <v>-6.2002000000000002E-2</v>
      </c>
      <c r="F21">
        <v>8.5998000000000005E-2</v>
      </c>
      <c r="G21">
        <v>2.5797999999999998E-2</v>
      </c>
      <c r="H21">
        <v>3.4979999999999998E-3</v>
      </c>
      <c r="I21" s="2">
        <f>B21-$S$3</f>
        <v>-0.12910199999999999</v>
      </c>
      <c r="J21" s="2">
        <f>C21-$S$3</f>
        <v>3.6698000000000001E-2</v>
      </c>
      <c r="K21" s="2">
        <f>D21-$S$3</f>
        <v>0.19749800000000001</v>
      </c>
      <c r="L21" s="2">
        <f>E21-$S$3</f>
        <v>-6.3502000000000003E-2</v>
      </c>
      <c r="M21" s="2">
        <f>F21-$S$3</f>
        <v>8.4498000000000004E-2</v>
      </c>
      <c r="N21" s="2">
        <f>G21-$S$3</f>
        <v>2.4297999999999997E-2</v>
      </c>
      <c r="O21" s="2">
        <f>H21-$S$3</f>
        <v>1.9979999999999998E-3</v>
      </c>
      <c r="P21" s="9">
        <f t="shared" si="0"/>
        <v>1.5650471743047695E-2</v>
      </c>
    </row>
    <row r="22" spans="1:25" x14ac:dyDescent="0.2">
      <c r="A22" t="s">
        <v>28</v>
      </c>
      <c r="B22">
        <v>-0.16881399999999999</v>
      </c>
      <c r="C22">
        <v>-0.188614</v>
      </c>
      <c r="D22">
        <v>-1.5713999999999999E-2</v>
      </c>
      <c r="E22">
        <v>-0.116214</v>
      </c>
      <c r="F22">
        <v>-7.9413999999999998E-2</v>
      </c>
      <c r="G22">
        <v>-0.138214</v>
      </c>
      <c r="H22">
        <v>-0.111414</v>
      </c>
      <c r="I22" s="2">
        <f>B22-$S$3</f>
        <v>-0.17031399999999999</v>
      </c>
      <c r="J22" s="2">
        <f>C22-$S$3</f>
        <v>-0.19011400000000001</v>
      </c>
      <c r="K22" s="2">
        <f>D22-$S$3</f>
        <v>-1.7214E-2</v>
      </c>
      <c r="L22" s="2">
        <f>E22-$S$3</f>
        <v>-0.117714</v>
      </c>
      <c r="M22" s="2">
        <f>F22-$S$3</f>
        <v>-8.0914E-2</v>
      </c>
      <c r="N22" s="2">
        <f>G22-$S$3</f>
        <v>-0.139714</v>
      </c>
      <c r="O22" s="2">
        <f>H22-$S$3</f>
        <v>-0.112914</v>
      </c>
      <c r="P22" s="9">
        <f t="shared" si="0"/>
        <v>-8.8081800679352104E-2</v>
      </c>
      <c r="R22" t="s">
        <v>279</v>
      </c>
      <c r="S22">
        <f>SUMPRODUCT(S19:X19,S7:X7)</f>
        <v>1.2049017982585375E-2</v>
      </c>
      <c r="Y22" t="str">
        <f ca="1">_xlfn.FORMULATEXT(S22)</f>
        <v>=SUMPRODUCT(S19:X19,S7:X7)</v>
      </c>
    </row>
    <row r="23" spans="1:25" x14ac:dyDescent="0.2">
      <c r="A23" t="s">
        <v>29</v>
      </c>
      <c r="B23">
        <v>-0.127834</v>
      </c>
      <c r="C23">
        <v>-0.146534</v>
      </c>
      <c r="D23">
        <v>8.4465999999999999E-2</v>
      </c>
      <c r="E23">
        <v>0.39116600000000001</v>
      </c>
      <c r="F23">
        <v>8.6165999999999993E-2</v>
      </c>
      <c r="G23">
        <v>1.8965999999999997E-2</v>
      </c>
      <c r="H23">
        <v>8.5066000000000003E-2</v>
      </c>
      <c r="I23" s="2">
        <f>B23-$S$3</f>
        <v>-0.129334</v>
      </c>
      <c r="J23" s="2">
        <f>C23-$S$3</f>
        <v>-0.148034</v>
      </c>
      <c r="K23" s="2">
        <f>D23-$S$3</f>
        <v>8.2965999999999998E-2</v>
      </c>
      <c r="L23" s="2">
        <f>E23-$S$3</f>
        <v>0.38966600000000001</v>
      </c>
      <c r="M23" s="2">
        <f>F23-$S$3</f>
        <v>8.4665999999999991E-2</v>
      </c>
      <c r="N23" s="2">
        <f>G23-$S$3</f>
        <v>1.7465999999999995E-2</v>
      </c>
      <c r="O23" s="2">
        <f>H23-$S$3</f>
        <v>8.3566000000000001E-2</v>
      </c>
      <c r="P23" s="9">
        <f t="shared" si="0"/>
        <v>0.17868837810055213</v>
      </c>
      <c r="R23" t="s">
        <v>280</v>
      </c>
      <c r="S23">
        <f>SUMPRODUCT(S19:X19,S8:X8)</f>
        <v>0.53589072510816704</v>
      </c>
      <c r="Y23" t="str">
        <f ca="1">_xlfn.FORMULATEXT(S23)</f>
        <v>=SUMPRODUCT(S19:X19,S8:X8)</v>
      </c>
    </row>
    <row r="24" spans="1:25" x14ac:dyDescent="0.2">
      <c r="A24" t="s">
        <v>30</v>
      </c>
      <c r="B24">
        <v>0.34403400000000001</v>
      </c>
      <c r="C24">
        <v>0.210534</v>
      </c>
      <c r="D24">
        <v>6.8234000000000003E-2</v>
      </c>
      <c r="E24">
        <v>0.107934</v>
      </c>
      <c r="F24">
        <v>5.3339999999999993E-3</v>
      </c>
      <c r="G24">
        <v>0.15573400000000001</v>
      </c>
      <c r="H24">
        <v>5.5933999999999998E-2</v>
      </c>
      <c r="I24" s="2">
        <f>B24-$S$3</f>
        <v>0.34253400000000001</v>
      </c>
      <c r="J24" s="2">
        <f>C24-$S$3</f>
        <v>0.209034</v>
      </c>
      <c r="K24" s="2">
        <f>D24-$S$3</f>
        <v>6.6734000000000002E-2</v>
      </c>
      <c r="L24" s="2">
        <f>E24-$S$3</f>
        <v>0.106434</v>
      </c>
      <c r="M24" s="2">
        <f>F24-$S$3</f>
        <v>3.8339999999999993E-3</v>
      </c>
      <c r="N24" s="2">
        <f>G24-$S$3</f>
        <v>0.15423400000000001</v>
      </c>
      <c r="O24" s="2">
        <f>H24-$S$3</f>
        <v>5.4433999999999996E-2</v>
      </c>
      <c r="P24" s="9">
        <f t="shared" si="0"/>
        <v>5.1247416571061744E-2</v>
      </c>
      <c r="R24" t="s">
        <v>282</v>
      </c>
      <c r="S24">
        <f>SUMPRODUCT(S20:X20,S13:X13)</f>
        <v>5.4122898255346327E-3</v>
      </c>
      <c r="Y24" t="str">
        <f ca="1">_xlfn.FORMULATEXT(S24)</f>
        <v>=SUMPRODUCT(S20:X20,S13:X13)</v>
      </c>
    </row>
    <row r="25" spans="1:25" x14ac:dyDescent="0.2">
      <c r="A25" t="s">
        <v>31</v>
      </c>
      <c r="B25">
        <v>-0.18387899999999999</v>
      </c>
      <c r="C25">
        <v>-7.2578999999999991E-2</v>
      </c>
      <c r="D25">
        <v>-6.3379000000000005E-2</v>
      </c>
      <c r="E25">
        <v>-7.5778999999999999E-2</v>
      </c>
      <c r="F25">
        <v>-6.2578999999999996E-2</v>
      </c>
      <c r="G25">
        <v>-0.13847899999999999</v>
      </c>
      <c r="H25">
        <v>-6.1379000000000003E-2</v>
      </c>
      <c r="I25" s="2">
        <f>B25-$S$3</f>
        <v>-0.18537899999999999</v>
      </c>
      <c r="J25" s="2">
        <f>C25-$S$3</f>
        <v>-7.4078999999999992E-2</v>
      </c>
      <c r="K25" s="2">
        <f>D25-$S$3</f>
        <v>-6.4879000000000006E-2</v>
      </c>
      <c r="L25" s="2">
        <f>E25-$S$3</f>
        <v>-7.7279E-2</v>
      </c>
      <c r="M25" s="2">
        <f>F25-$S$3</f>
        <v>-6.4078999999999997E-2</v>
      </c>
      <c r="N25" s="2">
        <f>G25-$S$3</f>
        <v>-0.13997899999999999</v>
      </c>
      <c r="O25" s="2">
        <f>H25-$S$3</f>
        <v>-6.2879000000000004E-2</v>
      </c>
      <c r="P25" s="9">
        <f t="shared" si="0"/>
        <v>-0.10779590607786596</v>
      </c>
      <c r="R25" t="s">
        <v>283</v>
      </c>
      <c r="S25">
        <f>S22/S24</f>
        <v>2.2262329570266792</v>
      </c>
      <c r="Y25" t="str">
        <f ca="1">_xlfn.FORMULATEXT(S25)</f>
        <v>=S22/S24</v>
      </c>
    </row>
    <row r="26" spans="1:25" x14ac:dyDescent="0.2">
      <c r="A26" t="s">
        <v>32</v>
      </c>
      <c r="B26">
        <v>-1.0934000000000001E-2</v>
      </c>
      <c r="C26">
        <v>-1.5334E-2</v>
      </c>
      <c r="D26">
        <v>-0.254834</v>
      </c>
      <c r="E26">
        <v>-3.7339999999999999E-3</v>
      </c>
      <c r="F26">
        <v>-5.4633999999999995E-2</v>
      </c>
      <c r="G26">
        <v>-6.0634E-2</v>
      </c>
      <c r="H26">
        <v>-2.8334000000000002E-2</v>
      </c>
      <c r="I26" s="2">
        <f>B26-$S$3</f>
        <v>-1.2434000000000001E-2</v>
      </c>
      <c r="J26" s="2">
        <f>C26-$S$3</f>
        <v>-1.6834000000000002E-2</v>
      </c>
      <c r="K26" s="2">
        <f>D26-$S$3</f>
        <v>-0.25633400000000001</v>
      </c>
      <c r="L26" s="2">
        <f>E26-$S$3</f>
        <v>-5.2339999999999999E-3</v>
      </c>
      <c r="M26" s="2">
        <f>F26-$S$3</f>
        <v>-5.6133999999999996E-2</v>
      </c>
      <c r="N26" s="2">
        <f>G26-$S$3</f>
        <v>-6.2134000000000002E-2</v>
      </c>
      <c r="O26" s="2">
        <f>H26-$S$3</f>
        <v>-2.9834000000000003E-2</v>
      </c>
      <c r="P26" s="9">
        <f t="shared" si="0"/>
        <v>-5.233453537940385E-2</v>
      </c>
    </row>
    <row r="27" spans="1:25" x14ac:dyDescent="0.2">
      <c r="A27" t="s">
        <v>33</v>
      </c>
      <c r="B27">
        <v>-8.7570999999999996E-2</v>
      </c>
      <c r="C27">
        <v>-5.7671E-2</v>
      </c>
      <c r="D27">
        <v>-4.9170999999999999E-2</v>
      </c>
      <c r="E27">
        <v>-9.7570999999999991E-2</v>
      </c>
      <c r="F27">
        <v>4.529E-3</v>
      </c>
      <c r="G27">
        <v>1.6929E-2</v>
      </c>
      <c r="H27">
        <v>-1.7871000000000001E-2</v>
      </c>
      <c r="I27" s="2">
        <f>B27-$S$3</f>
        <v>-8.9070999999999997E-2</v>
      </c>
      <c r="J27" s="2">
        <f>C27-$S$3</f>
        <v>-5.9171000000000001E-2</v>
      </c>
      <c r="K27" s="2">
        <f>D27-$S$3</f>
        <v>-5.0671000000000001E-2</v>
      </c>
      <c r="L27" s="2">
        <f>E27-$S$3</f>
        <v>-9.9070999999999992E-2</v>
      </c>
      <c r="M27" s="2">
        <f>F27-$S$3</f>
        <v>3.029E-3</v>
      </c>
      <c r="N27" s="2">
        <f>G27-$S$3</f>
        <v>1.5429E-2</v>
      </c>
      <c r="O27" s="2">
        <f>H27-$S$3</f>
        <v>-1.9371000000000003E-2</v>
      </c>
      <c r="P27" s="9">
        <f t="shared" si="0"/>
        <v>1.0109599375008708E-2</v>
      </c>
      <c r="R27" t="s">
        <v>285</v>
      </c>
      <c r="S27">
        <f>AVERAGE(H2:H253) - S3</f>
        <v>3.4826071428571445E-3</v>
      </c>
      <c r="U27" t="str">
        <f ca="1">_xlfn.FORMULATEXT(S27)</f>
        <v>=AVERAGE(H2:H253) - S3</v>
      </c>
    </row>
    <row r="28" spans="1:25" x14ac:dyDescent="0.2">
      <c r="A28" t="s">
        <v>34</v>
      </c>
      <c r="B28">
        <v>-9.7220000000000001E-2</v>
      </c>
      <c r="C28">
        <v>-5.4200000000000003E-3</v>
      </c>
      <c r="D28">
        <v>-0.11752000000000001</v>
      </c>
      <c r="E28">
        <v>2.128E-2</v>
      </c>
      <c r="F28">
        <v>8.338000000000001E-2</v>
      </c>
      <c r="G28">
        <v>2.0279999999999999E-2</v>
      </c>
      <c r="H28">
        <v>7.3799999999999994E-3</v>
      </c>
      <c r="I28" s="2">
        <f>B28-$S$3</f>
        <v>-9.8720000000000002E-2</v>
      </c>
      <c r="J28" s="2">
        <f>C28-$S$3</f>
        <v>-6.9200000000000008E-3</v>
      </c>
      <c r="K28" s="2">
        <f>D28-$S$3</f>
        <v>-0.11902000000000001</v>
      </c>
      <c r="L28" s="2">
        <f>E28-$S$3</f>
        <v>1.9779999999999999E-2</v>
      </c>
      <c r="M28" s="2">
        <f>F28-$S$3</f>
        <v>8.1880000000000008E-2</v>
      </c>
      <c r="N28" s="2">
        <f>G28-$S$3</f>
        <v>1.8779999999999998E-2</v>
      </c>
      <c r="O28" s="2">
        <f>H28-$S$3</f>
        <v>5.8799999999999998E-3</v>
      </c>
      <c r="P28" s="9">
        <f t="shared" si="0"/>
        <v>5.1205080172318389E-2</v>
      </c>
      <c r="R28" t="s">
        <v>286</v>
      </c>
      <c r="S28">
        <f>_xlfn.VAR.S(H2:H253)</f>
        <v>1.8724782418012241E-3</v>
      </c>
      <c r="U28" t="str">
        <f ca="1">_xlfn.FORMULATEXT(S28)</f>
        <v>=VAR.S(H2:H253)</v>
      </c>
    </row>
    <row r="29" spans="1:25" x14ac:dyDescent="0.2">
      <c r="A29" t="s">
        <v>35</v>
      </c>
      <c r="B29">
        <v>0.38206099999999998</v>
      </c>
      <c r="C29">
        <v>7.1361000000000008E-2</v>
      </c>
      <c r="D29">
        <v>5.1560999999999996E-2</v>
      </c>
      <c r="E29">
        <v>6.8261000000000002E-2</v>
      </c>
      <c r="F29">
        <v>8.1561000000000008E-2</v>
      </c>
      <c r="G29">
        <v>0.141961</v>
      </c>
      <c r="H29">
        <v>8.0061000000000007E-2</v>
      </c>
      <c r="I29" s="2">
        <f>B29-$S$3</f>
        <v>0.38056099999999998</v>
      </c>
      <c r="J29" s="2">
        <f>C29-$S$3</f>
        <v>6.9861000000000006E-2</v>
      </c>
      <c r="K29" s="2">
        <f>D29-$S$3</f>
        <v>5.0060999999999994E-2</v>
      </c>
      <c r="L29" s="2">
        <f>E29-$S$3</f>
        <v>6.6761000000000001E-2</v>
      </c>
      <c r="M29" s="2">
        <f>F29-$S$3</f>
        <v>8.0061000000000007E-2</v>
      </c>
      <c r="N29" s="2">
        <f>G29-$S$3</f>
        <v>0.140461</v>
      </c>
      <c r="O29" s="2">
        <f>H29-$S$3</f>
        <v>7.8561000000000006E-2</v>
      </c>
      <c r="P29" s="9">
        <f t="shared" si="0"/>
        <v>0.13160240433812145</v>
      </c>
    </row>
    <row r="30" spans="1:25" x14ac:dyDescent="0.2">
      <c r="A30" t="s">
        <v>36</v>
      </c>
      <c r="B30">
        <v>1.8497E-2</v>
      </c>
      <c r="C30">
        <v>-7.2030000000000002E-3</v>
      </c>
      <c r="D30">
        <v>0.14219700000000002</v>
      </c>
      <c r="E30">
        <v>1.1697000000000001E-2</v>
      </c>
      <c r="F30">
        <v>-6.6803000000000001E-2</v>
      </c>
      <c r="G30">
        <v>9.6396999999999997E-2</v>
      </c>
      <c r="H30">
        <v>4.9997E-2</v>
      </c>
      <c r="I30" s="2">
        <f>B30-$S$3</f>
        <v>1.6996999999999998E-2</v>
      </c>
      <c r="J30" s="2">
        <f>C30-$S$3</f>
        <v>-8.7030000000000007E-3</v>
      </c>
      <c r="K30" s="2">
        <f>D30-$S$3</f>
        <v>0.14069700000000002</v>
      </c>
      <c r="L30" s="2">
        <f>E30-$S$3</f>
        <v>1.0197000000000001E-2</v>
      </c>
      <c r="M30" s="2">
        <f>F30-$S$3</f>
        <v>-6.8303000000000003E-2</v>
      </c>
      <c r="N30" s="2">
        <f>G30-$S$3</f>
        <v>9.4896999999999995E-2</v>
      </c>
      <c r="O30" s="2">
        <f>H30-$S$3</f>
        <v>4.8496999999999998E-2</v>
      </c>
      <c r="P30" s="9">
        <f t="shared" si="0"/>
        <v>3.7974463241319298E-2</v>
      </c>
      <c r="R30" t="s">
        <v>287</v>
      </c>
    </row>
    <row r="31" spans="1:25" x14ac:dyDescent="0.2">
      <c r="A31" t="s">
        <v>37</v>
      </c>
      <c r="B31">
        <v>4.5716E-2</v>
      </c>
      <c r="C31">
        <v>1.8016000000000001E-2</v>
      </c>
      <c r="D31">
        <v>-3.8839999999999999E-3</v>
      </c>
      <c r="E31">
        <v>4.1315999999999999E-2</v>
      </c>
      <c r="F31">
        <v>2.0816000000000001E-2</v>
      </c>
      <c r="G31">
        <v>3.2016000000000003E-2</v>
      </c>
      <c r="H31">
        <v>1.0315999999999999E-2</v>
      </c>
      <c r="I31" s="2">
        <f>B31-$S$3</f>
        <v>4.4215999999999998E-2</v>
      </c>
      <c r="J31" s="2">
        <f>C31-$S$3</f>
        <v>1.6515999999999999E-2</v>
      </c>
      <c r="K31" s="2">
        <f>D31-$S$3</f>
        <v>-5.3839999999999999E-3</v>
      </c>
      <c r="L31" s="2">
        <f>E31-$S$3</f>
        <v>3.9815999999999997E-2</v>
      </c>
      <c r="M31" s="2">
        <f>F31-$S$3</f>
        <v>1.9316E-2</v>
      </c>
      <c r="N31" s="2">
        <f>G31-$S$3</f>
        <v>3.0516000000000001E-2</v>
      </c>
      <c r="O31" s="2">
        <f>H31-$S$3</f>
        <v>8.8159999999999992E-3</v>
      </c>
      <c r="P31" s="9">
        <f t="shared" si="0"/>
        <v>3.0669230334052285E-2</v>
      </c>
      <c r="R31" t="s">
        <v>288</v>
      </c>
      <c r="S31">
        <f>S25/(S27/S28)</f>
        <v>1.1969689954156997</v>
      </c>
      <c r="U31" t="str">
        <f t="shared" ref="U31:U33" ca="1" si="8">_xlfn.FORMULATEXT(S31)</f>
        <v>=S25/(S27/S28)</v>
      </c>
    </row>
    <row r="32" spans="1:25" x14ac:dyDescent="0.2">
      <c r="A32" t="s">
        <v>38</v>
      </c>
      <c r="B32">
        <v>1.5126000000000002E-2</v>
      </c>
      <c r="C32">
        <v>3.9025999999999998E-2</v>
      </c>
      <c r="D32">
        <v>0.10372600000000001</v>
      </c>
      <c r="E32">
        <v>-0.104874</v>
      </c>
      <c r="F32">
        <v>4.1026E-2</v>
      </c>
      <c r="G32">
        <v>1.2026E-2</v>
      </c>
      <c r="H32">
        <v>1.5526E-2</v>
      </c>
      <c r="I32" s="2">
        <f>B32-$S$3</f>
        <v>1.3626000000000003E-2</v>
      </c>
      <c r="J32" s="2">
        <f>C32-$S$3</f>
        <v>3.7525999999999997E-2</v>
      </c>
      <c r="K32" s="2">
        <f>D32-$S$3</f>
        <v>0.10222600000000001</v>
      </c>
      <c r="L32" s="2">
        <f>E32-$S$3</f>
        <v>-0.106374</v>
      </c>
      <c r="M32" s="2">
        <f>F32-$S$3</f>
        <v>3.9525999999999999E-2</v>
      </c>
      <c r="N32" s="2">
        <f>G32-$S$3</f>
        <v>1.0526000000000001E-2</v>
      </c>
      <c r="O32" s="2">
        <f>H32-$S$3</f>
        <v>1.4026E-2</v>
      </c>
      <c r="P32" s="9">
        <f t="shared" si="0"/>
        <v>-6.1460229279869851E-3</v>
      </c>
      <c r="R32" t="s">
        <v>289</v>
      </c>
      <c r="S32">
        <f>S31/(1 + (1 - S23)*S31)</f>
        <v>0.76949547417811281</v>
      </c>
      <c r="U32" t="str">
        <f t="shared" ca="1" si="8"/>
        <v>=S31/(1 + (1 - S23)*S31)</v>
      </c>
    </row>
    <row r="33" spans="1:25" x14ac:dyDescent="0.2">
      <c r="A33" t="s">
        <v>39</v>
      </c>
      <c r="B33">
        <v>4.4510999999999995E-2</v>
      </c>
      <c r="C33">
        <v>0.112111</v>
      </c>
      <c r="D33">
        <v>4.8210999999999997E-2</v>
      </c>
      <c r="E33">
        <v>8.4110000000000001E-3</v>
      </c>
      <c r="F33">
        <v>5.7610999999999996E-2</v>
      </c>
      <c r="G33">
        <v>6.0711000000000001E-2</v>
      </c>
      <c r="H33">
        <v>1.7211000000000001E-2</v>
      </c>
      <c r="I33" s="2">
        <f>B33-$S$3</f>
        <v>4.3010999999999994E-2</v>
      </c>
      <c r="J33" s="2">
        <f>C33-$S$3</f>
        <v>0.110611</v>
      </c>
      <c r="K33" s="2">
        <f>D33-$S$3</f>
        <v>4.6710999999999996E-2</v>
      </c>
      <c r="L33" s="2">
        <f>E33-$S$3</f>
        <v>6.9110000000000005E-3</v>
      </c>
      <c r="M33" s="2">
        <f>F33-$S$3</f>
        <v>5.6110999999999994E-2</v>
      </c>
      <c r="N33" s="2">
        <f>G33-$S$3</f>
        <v>5.9211E-2</v>
      </c>
      <c r="O33" s="2">
        <f>H33-$S$3</f>
        <v>1.5710999999999999E-2</v>
      </c>
      <c r="P33" s="9">
        <f t="shared" si="0"/>
        <v>2.0342458793563507E-2</v>
      </c>
      <c r="R33" t="s">
        <v>290</v>
      </c>
      <c r="S33">
        <f>1-S32</f>
        <v>0.23050452582188719</v>
      </c>
      <c r="U33" t="str">
        <f t="shared" ca="1" si="8"/>
        <v>=1-S32</v>
      </c>
    </row>
    <row r="34" spans="1:25" x14ac:dyDescent="0.2">
      <c r="A34" t="s">
        <v>40</v>
      </c>
      <c r="B34">
        <v>-6.9165000000000004E-2</v>
      </c>
      <c r="C34">
        <v>-4.9650000000000007E-3</v>
      </c>
      <c r="D34">
        <v>-2.4265000000000002E-2</v>
      </c>
      <c r="E34">
        <v>-8.2365000000000008E-2</v>
      </c>
      <c r="F34">
        <v>-5.6964999999999995E-2</v>
      </c>
      <c r="G34">
        <v>-7.4065000000000006E-2</v>
      </c>
      <c r="H34">
        <v>-1.2765E-2</v>
      </c>
      <c r="I34" s="2">
        <f>B34-$S$3</f>
        <v>-7.0665000000000006E-2</v>
      </c>
      <c r="J34" s="2">
        <f>C34-$S$3</f>
        <v>-6.4650000000000003E-3</v>
      </c>
      <c r="K34" s="2">
        <f>D34-$S$3</f>
        <v>-2.5765000000000003E-2</v>
      </c>
      <c r="L34" s="2">
        <f>E34-$S$3</f>
        <v>-8.3865000000000009E-2</v>
      </c>
      <c r="M34" s="2">
        <f>F34-$S$3</f>
        <v>-5.8464999999999996E-2</v>
      </c>
      <c r="N34" s="2">
        <f>G34-$S$3</f>
        <v>-7.5565000000000007E-2</v>
      </c>
      <c r="O34" s="2">
        <f>H34-$S$3</f>
        <v>-1.4265E-2</v>
      </c>
      <c r="P34" s="9">
        <f t="shared" si="0"/>
        <v>-8.1678751821838771E-2</v>
      </c>
    </row>
    <row r="35" spans="1:25" x14ac:dyDescent="0.2">
      <c r="A35" t="s">
        <v>41</v>
      </c>
      <c r="B35">
        <v>0.1346</v>
      </c>
      <c r="C35">
        <v>4.1800000000000004E-2</v>
      </c>
      <c r="D35">
        <v>-0.1381</v>
      </c>
      <c r="E35">
        <v>4.7300000000000002E-2</v>
      </c>
      <c r="F35">
        <v>5.6500000000000002E-2</v>
      </c>
      <c r="G35">
        <v>5.5399999999999998E-2</v>
      </c>
      <c r="H35">
        <v>5.4300000000000001E-2</v>
      </c>
      <c r="I35" s="2">
        <f>B35-$S$3</f>
        <v>0.1331</v>
      </c>
      <c r="J35" s="2">
        <f>C35-$S$3</f>
        <v>4.0300000000000002E-2</v>
      </c>
      <c r="K35" s="2">
        <f>D35-$S$3</f>
        <v>-0.1396</v>
      </c>
      <c r="L35" s="2">
        <f>E35-$S$3</f>
        <v>4.58E-2</v>
      </c>
      <c r="M35" s="2">
        <f>F35-$S$3</f>
        <v>5.5E-2</v>
      </c>
      <c r="N35" s="2">
        <f>G35-$S$3</f>
        <v>5.3899999999999997E-2</v>
      </c>
      <c r="O35" s="2">
        <f>H35-$S$3</f>
        <v>5.28E-2</v>
      </c>
      <c r="P35" s="9">
        <f t="shared" si="0"/>
        <v>6.7713938715333669E-2</v>
      </c>
      <c r="R35" t="s">
        <v>291</v>
      </c>
    </row>
    <row r="36" spans="1:25" x14ac:dyDescent="0.2">
      <c r="A36" t="s">
        <v>42</v>
      </c>
      <c r="B36">
        <v>8.7474999999999997E-2</v>
      </c>
      <c r="C36">
        <v>1.3775000000000001E-2</v>
      </c>
      <c r="D36">
        <v>6.5974999999999992E-2</v>
      </c>
      <c r="E36">
        <v>-2.3324999999999999E-2</v>
      </c>
      <c r="F36">
        <v>-5.6825000000000001E-2</v>
      </c>
      <c r="G36">
        <v>-2.4625000000000001E-2</v>
      </c>
      <c r="H36">
        <v>6.3750000000000005E-3</v>
      </c>
      <c r="I36" s="2">
        <f>B36-$S$3</f>
        <v>8.5974999999999996E-2</v>
      </c>
      <c r="J36" s="2">
        <f>C36-$S$3</f>
        <v>1.2275000000000001E-2</v>
      </c>
      <c r="K36" s="2">
        <f>D36-$S$3</f>
        <v>6.4474999999999991E-2</v>
      </c>
      <c r="L36" s="2">
        <f>E36-$S$3</f>
        <v>-2.4825E-2</v>
      </c>
      <c r="M36" s="2">
        <f>F36-$S$3</f>
        <v>-5.8325000000000002E-2</v>
      </c>
      <c r="N36" s="2">
        <f>G36-$S$3</f>
        <v>-2.6125000000000002E-2</v>
      </c>
      <c r="O36" s="2">
        <f>H36-$S$3</f>
        <v>4.8750000000000009E-3</v>
      </c>
      <c r="P36" s="9">
        <f t="shared" si="0"/>
        <v>-4.2091383591017391E-2</v>
      </c>
      <c r="R36" s="6" t="s">
        <v>294</v>
      </c>
      <c r="S36" s="7" t="s">
        <v>1</v>
      </c>
      <c r="T36" s="7" t="s">
        <v>2</v>
      </c>
      <c r="U36" s="7" t="s">
        <v>3</v>
      </c>
      <c r="V36" s="7" t="s">
        <v>4</v>
      </c>
      <c r="W36" s="7" t="s">
        <v>5</v>
      </c>
      <c r="X36" s="7" t="s">
        <v>6</v>
      </c>
      <c r="Y36" s="7" t="s">
        <v>295</v>
      </c>
    </row>
    <row r="37" spans="1:25" x14ac:dyDescent="0.2">
      <c r="A37" t="s">
        <v>43</v>
      </c>
      <c r="B37">
        <v>0.21126900000000001</v>
      </c>
      <c r="C37">
        <v>0.24736900000000001</v>
      </c>
      <c r="D37">
        <v>3.5069000000000003E-2</v>
      </c>
      <c r="E37">
        <v>6.7368999999999998E-2</v>
      </c>
      <c r="F37">
        <v>-4.5731000000000001E-2</v>
      </c>
      <c r="G37">
        <v>-9.1310000000000002E-3</v>
      </c>
      <c r="H37">
        <v>4.9969E-2</v>
      </c>
      <c r="I37" s="2">
        <f>B37-$S$3</f>
        <v>0.20976900000000001</v>
      </c>
      <c r="J37" s="2">
        <f>C37-$S$3</f>
        <v>0.245869</v>
      </c>
      <c r="K37" s="2">
        <f>D37-$S$3</f>
        <v>3.3569000000000002E-2</v>
      </c>
      <c r="L37" s="2">
        <f>E37-$S$3</f>
        <v>6.5868999999999997E-2</v>
      </c>
      <c r="M37" s="2">
        <f>F37-$S$3</f>
        <v>-4.7231000000000002E-2</v>
      </c>
      <c r="N37" s="2">
        <f>G37-$S$3</f>
        <v>-1.0631E-2</v>
      </c>
      <c r="O37" s="2">
        <f>H37-$S$3</f>
        <v>4.8468999999999998E-2</v>
      </c>
      <c r="P37" s="9">
        <f t="shared" si="0"/>
        <v>-8.7999516472363287E-2</v>
      </c>
      <c r="R37" s="6"/>
      <c r="S37" s="6">
        <f>$S$32*S19</f>
        <v>5.073958396590568E-2</v>
      </c>
      <c r="T37" s="6">
        <f t="shared" ref="T37:X37" si="9">$S$32*T19</f>
        <v>-0.38844813654469912</v>
      </c>
      <c r="U37" s="6">
        <f t="shared" si="9"/>
        <v>-2.1271800449257451E-2</v>
      </c>
      <c r="V37" s="6">
        <f t="shared" si="9"/>
        <v>0.16258977658644894</v>
      </c>
      <c r="W37" s="6">
        <f t="shared" si="9"/>
        <v>0.42446162731730208</v>
      </c>
      <c r="X37" s="6">
        <f t="shared" si="9"/>
        <v>0.54142442330241281</v>
      </c>
      <c r="Y37" s="6">
        <f>1-SUM(S37:X37)</f>
        <v>0.23050452582188707</v>
      </c>
    </row>
    <row r="38" spans="1:25" x14ac:dyDescent="0.2">
      <c r="A38" t="s">
        <v>44</v>
      </c>
      <c r="B38">
        <v>-8.6096000000000006E-2</v>
      </c>
      <c r="C38">
        <v>-7.0396E-2</v>
      </c>
      <c r="D38">
        <v>-4.2096000000000001E-2</v>
      </c>
      <c r="E38">
        <v>6.1103999999999999E-2</v>
      </c>
      <c r="F38">
        <v>1.4404E-2</v>
      </c>
      <c r="G38">
        <v>-1.2196E-2</v>
      </c>
      <c r="H38">
        <v>1.6604000000000001E-2</v>
      </c>
      <c r="I38" s="2">
        <f>B38-$S$3</f>
        <v>-8.7596000000000007E-2</v>
      </c>
      <c r="J38" s="2">
        <f>C38-$S$3</f>
        <v>-7.1896000000000002E-2</v>
      </c>
      <c r="K38" s="2">
        <f>D38-$S$3</f>
        <v>-4.3596000000000003E-2</v>
      </c>
      <c r="L38" s="2">
        <f>E38-$S$3</f>
        <v>5.9603999999999997E-2</v>
      </c>
      <c r="M38" s="2">
        <f>F38-$S$3</f>
        <v>1.2904000000000001E-2</v>
      </c>
      <c r="N38" s="2">
        <f>G38-$S$3</f>
        <v>-1.3696E-2</v>
      </c>
      <c r="O38" s="2">
        <f>H38-$S$3</f>
        <v>1.5104000000000001E-2</v>
      </c>
      <c r="P38" s="9">
        <f t="shared" si="0"/>
        <v>3.7145093379351145E-2</v>
      </c>
      <c r="S38" t="str">
        <f ca="1">_xlfn.FORMULATEXT(S37)</f>
        <v>=$S$32*S19</v>
      </c>
      <c r="Y38" t="str">
        <f ca="1">_xlfn.FORMULATEXT(Y37)</f>
        <v>=1-SUM(S37:X37)</v>
      </c>
    </row>
    <row r="39" spans="1:25" x14ac:dyDescent="0.2">
      <c r="A39" t="s">
        <v>45</v>
      </c>
      <c r="B39">
        <v>-5.4923E-2</v>
      </c>
      <c r="C39">
        <v>-2.2322999999999999E-2</v>
      </c>
      <c r="D39">
        <v>2.8677000000000001E-2</v>
      </c>
      <c r="E39">
        <v>3.9276999999999999E-2</v>
      </c>
      <c r="F39">
        <v>0.105377</v>
      </c>
      <c r="G39">
        <v>0.15937699999999999</v>
      </c>
      <c r="H39">
        <v>1.1577E-2</v>
      </c>
      <c r="I39" s="2">
        <f>B39-$S$3</f>
        <v>-5.6423000000000001E-2</v>
      </c>
      <c r="J39" s="2">
        <f>C39-$S$3</f>
        <v>-2.3823E-2</v>
      </c>
      <c r="K39" s="2">
        <f>D39-$S$3</f>
        <v>2.7177E-2</v>
      </c>
      <c r="L39" s="2">
        <f>E39-$S$3</f>
        <v>3.7776999999999998E-2</v>
      </c>
      <c r="M39" s="2">
        <f>F39-$S$3</f>
        <v>0.103877</v>
      </c>
      <c r="N39" s="2">
        <f>G39-$S$3</f>
        <v>0.15787699999999999</v>
      </c>
      <c r="O39" s="2">
        <f>H39-$S$3</f>
        <v>1.0077000000000001E-2</v>
      </c>
      <c r="P39" s="9">
        <f t="shared" si="0"/>
        <v>0.14534822892535443</v>
      </c>
    </row>
    <row r="40" spans="1:25" x14ac:dyDescent="0.2">
      <c r="A40" t="s">
        <v>46</v>
      </c>
      <c r="B40">
        <v>-1.3944E-2</v>
      </c>
      <c r="C40">
        <v>-2.2044000000000001E-2</v>
      </c>
      <c r="D40">
        <v>-1.2143999999999999E-2</v>
      </c>
      <c r="E40">
        <v>-4.7543999999999996E-2</v>
      </c>
      <c r="F40">
        <v>3.5560000000000001E-3</v>
      </c>
      <c r="G40">
        <v>2.3755999999999999E-2</v>
      </c>
      <c r="H40">
        <v>-1.7244000000000002E-2</v>
      </c>
      <c r="I40" s="2">
        <f>B40-$S$3</f>
        <v>-1.5443999999999999E-2</v>
      </c>
      <c r="J40" s="2">
        <f>C40-$S$3</f>
        <v>-2.3544000000000002E-2</v>
      </c>
      <c r="K40" s="2">
        <f>D40-$S$3</f>
        <v>-1.3643999999999998E-2</v>
      </c>
      <c r="L40" s="2">
        <f>E40-$S$3</f>
        <v>-4.9043999999999997E-2</v>
      </c>
      <c r="M40" s="2">
        <f>F40-$S$3</f>
        <v>2.0560000000000001E-3</v>
      </c>
      <c r="N40" s="2">
        <f>G40-$S$3</f>
        <v>2.2255999999999998E-2</v>
      </c>
      <c r="O40" s="2">
        <f>H40-$S$3</f>
        <v>-1.8744000000000004E-2</v>
      </c>
      <c r="P40" s="9">
        <f t="shared" si="0"/>
        <v>1.0780238473240236E-2</v>
      </c>
    </row>
    <row r="41" spans="1:25" x14ac:dyDescent="0.2">
      <c r="A41" t="s">
        <v>47</v>
      </c>
      <c r="B41">
        <v>0.138405</v>
      </c>
      <c r="C41">
        <v>6.0049999999999999E-3</v>
      </c>
      <c r="D41">
        <v>-0.12449500000000001</v>
      </c>
      <c r="E41">
        <v>4.2605000000000004E-2</v>
      </c>
      <c r="F41">
        <v>-4.5894999999999998E-2</v>
      </c>
      <c r="G41">
        <v>-3.7894999999999998E-2</v>
      </c>
      <c r="H41">
        <v>-1.7595E-2</v>
      </c>
      <c r="I41" s="2">
        <f>B41-$S$3</f>
        <v>0.136905</v>
      </c>
      <c r="J41" s="2">
        <f>C41-$S$3</f>
        <v>4.5050000000000003E-3</v>
      </c>
      <c r="K41" s="2">
        <f>D41-$S$3</f>
        <v>-0.125995</v>
      </c>
      <c r="L41" s="2">
        <f>E41-$S$3</f>
        <v>4.1105000000000003E-2</v>
      </c>
      <c r="M41" s="2">
        <f>F41-$S$3</f>
        <v>-4.7395E-2</v>
      </c>
      <c r="N41" s="2">
        <f>G41-$S$3</f>
        <v>-3.9394999999999999E-2</v>
      </c>
      <c r="O41" s="2">
        <f>H41-$S$3</f>
        <v>-1.9095000000000001E-2</v>
      </c>
      <c r="P41" s="9">
        <f t="shared" si="0"/>
        <v>-2.9788320751362393E-2</v>
      </c>
      <c r="R41" t="s">
        <v>292</v>
      </c>
      <c r="S41">
        <f>(AVERAGE(P2:P253) - S3)/_xlfn.STDEV.S(P2:P253)</f>
        <v>0.18137470814197762</v>
      </c>
      <c r="U41" t="str">
        <f ca="1">_xlfn.FORMULATEXT(S41)</f>
        <v>=(AVERAGE(P2:P253) - S3)/STDEV.S(P2:P253)</v>
      </c>
    </row>
    <row r="42" spans="1:25" x14ac:dyDescent="0.2">
      <c r="A42" t="s">
        <v>48</v>
      </c>
      <c r="B42">
        <v>-3.3803E-2</v>
      </c>
      <c r="C42">
        <v>-3.2603E-2</v>
      </c>
      <c r="D42">
        <v>-3.3803E-2</v>
      </c>
      <c r="E42">
        <v>-8.4303000000000003E-2</v>
      </c>
      <c r="F42">
        <v>-2.0603E-2</v>
      </c>
      <c r="G42">
        <v>3.1697000000000003E-2</v>
      </c>
      <c r="H42">
        <v>1.1497E-2</v>
      </c>
      <c r="I42" s="2">
        <f>B42-$S$3</f>
        <v>-3.5303000000000001E-2</v>
      </c>
      <c r="J42" s="2">
        <f>C42-$S$3</f>
        <v>-3.4103000000000001E-2</v>
      </c>
      <c r="K42" s="2">
        <f>D42-$S$3</f>
        <v>-3.5303000000000001E-2</v>
      </c>
      <c r="L42" s="2">
        <f>E42-$S$3</f>
        <v>-8.5803000000000004E-2</v>
      </c>
      <c r="M42" s="2">
        <f>F42-$S$3</f>
        <v>-2.2103000000000001E-2</v>
      </c>
      <c r="N42" s="2">
        <f>G42-$S$3</f>
        <v>3.0197000000000002E-2</v>
      </c>
      <c r="O42" s="2">
        <f>H42-$S$3</f>
        <v>9.9970000000000007E-3</v>
      </c>
      <c r="P42" s="9">
        <f t="shared" si="0"/>
        <v>9.0281267451586024E-3</v>
      </c>
      <c r="R42" t="s">
        <v>293</v>
      </c>
      <c r="S42">
        <f>S27/SQRT(S28)</f>
        <v>8.0481506372383826E-2</v>
      </c>
      <c r="U42" t="str">
        <f ca="1">_xlfn.FORMULATEXT(S42)</f>
        <v>=S27/SQRT(S28)</v>
      </c>
    </row>
    <row r="43" spans="1:25" x14ac:dyDescent="0.2">
      <c r="A43" t="s">
        <v>49</v>
      </c>
      <c r="B43">
        <v>5.3083000000000005E-2</v>
      </c>
      <c r="C43">
        <v>2.5583000000000002E-2</v>
      </c>
      <c r="D43">
        <v>-0.103917</v>
      </c>
      <c r="E43">
        <v>4.5783000000000004E-2</v>
      </c>
      <c r="F43">
        <v>-5.4116999999999998E-2</v>
      </c>
      <c r="G43">
        <v>-5.0716999999999998E-2</v>
      </c>
      <c r="H43">
        <v>1.7182999999999997E-2</v>
      </c>
      <c r="I43" s="2">
        <f>B43-$S$3</f>
        <v>5.1583000000000004E-2</v>
      </c>
      <c r="J43" s="2">
        <f>C43-$S$3</f>
        <v>2.4083E-2</v>
      </c>
      <c r="K43" s="2">
        <f>D43-$S$3</f>
        <v>-0.105417</v>
      </c>
      <c r="L43" s="2">
        <f>E43-$S$3</f>
        <v>4.4283000000000003E-2</v>
      </c>
      <c r="M43" s="2">
        <f>F43-$S$3</f>
        <v>-5.5617E-2</v>
      </c>
      <c r="N43" s="2">
        <f>G43-$S$3</f>
        <v>-5.2217E-2</v>
      </c>
      <c r="O43" s="2">
        <f>H43-$S$3</f>
        <v>1.5682999999999996E-2</v>
      </c>
      <c r="P43" s="9">
        <f t="shared" si="0"/>
        <v>-4.4059163007779407E-2</v>
      </c>
    </row>
    <row r="44" spans="1:25" x14ac:dyDescent="0.2">
      <c r="A44" t="s">
        <v>50</v>
      </c>
      <c r="B44">
        <v>-5.4119E-2</v>
      </c>
      <c r="C44">
        <v>-7.4918999999999999E-2</v>
      </c>
      <c r="D44">
        <v>3.1180999999999997E-2</v>
      </c>
      <c r="E44">
        <v>7.5381000000000004E-2</v>
      </c>
      <c r="F44">
        <v>3.7810000000000001E-3</v>
      </c>
      <c r="G44">
        <v>2.5680999999999999E-2</v>
      </c>
      <c r="H44">
        <v>-3.5219E-2</v>
      </c>
      <c r="I44" s="2">
        <f>B44-$S$3</f>
        <v>-5.5619000000000002E-2</v>
      </c>
      <c r="J44" s="2">
        <f>C44-$S$3</f>
        <v>-7.6419000000000001E-2</v>
      </c>
      <c r="K44" s="2">
        <f>D44-$S$3</f>
        <v>2.9680999999999996E-2</v>
      </c>
      <c r="L44" s="2">
        <f>E44-$S$3</f>
        <v>7.3881000000000002E-2</v>
      </c>
      <c r="M44" s="2">
        <f>F44-$S$3</f>
        <v>2.281E-3</v>
      </c>
      <c r="N44" s="2">
        <f>G44-$S$3</f>
        <v>2.4180999999999998E-2</v>
      </c>
      <c r="O44" s="2">
        <f>H44-$S$3</f>
        <v>-3.6719000000000002E-2</v>
      </c>
      <c r="P44" s="9">
        <f t="shared" si="0"/>
        <v>4.5340145468991219E-2</v>
      </c>
      <c r="R44" t="s">
        <v>297</v>
      </c>
      <c r="S44">
        <f>S41-S42</f>
        <v>0.10089320176959379</v>
      </c>
      <c r="U44" t="str">
        <f t="shared" ref="U43:U44" ca="1" si="10">_xlfn.FORMULATEXT(S44)</f>
        <v>=S41-S42</v>
      </c>
    </row>
    <row r="45" spans="1:25" x14ac:dyDescent="0.2">
      <c r="A45" t="s">
        <v>51</v>
      </c>
      <c r="B45">
        <v>-4.2515999999999998E-2</v>
      </c>
      <c r="C45">
        <v>-3.2016000000000003E-2</v>
      </c>
      <c r="D45">
        <v>-2.2315999999999999E-2</v>
      </c>
      <c r="E45">
        <v>1.7284000000000001E-2</v>
      </c>
      <c r="F45">
        <v>-5.1159999999999999E-3</v>
      </c>
      <c r="G45">
        <v>2.3184E-2</v>
      </c>
      <c r="H45">
        <v>1.1839999999999999E-3</v>
      </c>
      <c r="I45" s="2">
        <f>B45-$S$3</f>
        <v>-4.4016E-2</v>
      </c>
      <c r="J45" s="2">
        <f>C45-$S$3</f>
        <v>-3.3516000000000004E-2</v>
      </c>
      <c r="K45" s="2">
        <f>D45-$S$3</f>
        <v>-2.3816E-2</v>
      </c>
      <c r="L45" s="2">
        <f>E45-$S$3</f>
        <v>1.5783999999999999E-2</v>
      </c>
      <c r="M45" s="2">
        <f>F45-$S$3</f>
        <v>-6.6160000000000004E-3</v>
      </c>
      <c r="N45" s="2">
        <f>G45-$S$3</f>
        <v>2.1683999999999998E-2</v>
      </c>
      <c r="O45" s="2">
        <f>H45-$S$3</f>
        <v>-3.1600000000000009E-4</v>
      </c>
      <c r="P45" s="9">
        <f t="shared" si="0"/>
        <v>2.4217970088127389E-2</v>
      </c>
      <c r="R45" t="s">
        <v>298</v>
      </c>
    </row>
    <row r="46" spans="1:25" x14ac:dyDescent="0.2">
      <c r="A46" t="s">
        <v>52</v>
      </c>
      <c r="B46">
        <v>-5.4850000000000003E-3</v>
      </c>
      <c r="C46">
        <v>2.7115E-2</v>
      </c>
      <c r="D46">
        <v>-1.6285000000000001E-2</v>
      </c>
      <c r="E46">
        <v>2.1149999999999997E-3</v>
      </c>
      <c r="F46">
        <v>8.9149999999999993E-3</v>
      </c>
      <c r="G46">
        <v>1.3814999999999999E-2</v>
      </c>
      <c r="H46">
        <v>8.2150000000000001E-3</v>
      </c>
      <c r="I46" s="2">
        <f>B46-$S$3</f>
        <v>-6.9849999999999999E-3</v>
      </c>
      <c r="J46" s="2">
        <f>C46-$S$3</f>
        <v>2.5614999999999999E-2</v>
      </c>
      <c r="K46" s="2">
        <f>D46-$S$3</f>
        <v>-1.7785000000000002E-2</v>
      </c>
      <c r="L46" s="2">
        <f>E46-$S$3</f>
        <v>6.1499999999999966E-4</v>
      </c>
      <c r="M46" s="2">
        <f>F46-$S$3</f>
        <v>7.4149999999999997E-3</v>
      </c>
      <c r="N46" s="2">
        <f>G46-$S$3</f>
        <v>1.2315E-2</v>
      </c>
      <c r="O46" s="2">
        <f>H46-$S$3</f>
        <v>6.7150000000000005E-3</v>
      </c>
      <c r="P46" s="9">
        <f t="shared" si="0"/>
        <v>3.0366593024173704E-3</v>
      </c>
    </row>
    <row r="47" spans="1:25" x14ac:dyDescent="0.2">
      <c r="A47" t="s">
        <v>53</v>
      </c>
      <c r="B47">
        <v>-6.6729000000000011E-2</v>
      </c>
      <c r="C47">
        <v>-9.3629000000000004E-2</v>
      </c>
      <c r="D47">
        <v>0.19367100000000001</v>
      </c>
      <c r="E47">
        <v>9.7099999999999986E-4</v>
      </c>
      <c r="F47">
        <v>1.2371E-2</v>
      </c>
      <c r="G47">
        <v>0.10427099999999999</v>
      </c>
      <c r="H47">
        <v>1.2871E-2</v>
      </c>
      <c r="I47" s="2">
        <f>B47-$S$3</f>
        <v>-6.8229000000000012E-2</v>
      </c>
      <c r="J47" s="2">
        <f>C47-$S$3</f>
        <v>-9.5129000000000005E-2</v>
      </c>
      <c r="K47" s="2">
        <f>D47-$S$3</f>
        <v>0.19217100000000001</v>
      </c>
      <c r="L47" s="2">
        <f>E47-$S$3</f>
        <v>-5.2900000000000017E-4</v>
      </c>
      <c r="M47" s="2">
        <f>F47-$S$3</f>
        <v>1.0871E-2</v>
      </c>
      <c r="N47" s="2">
        <f>G47-$S$3</f>
        <v>0.10277099999999999</v>
      </c>
      <c r="O47" s="2">
        <f>H47-$S$3</f>
        <v>1.1371000000000001E-2</v>
      </c>
      <c r="P47" s="9">
        <f t="shared" si="0"/>
        <v>9.3695057271901749E-2</v>
      </c>
    </row>
    <row r="48" spans="1:25" x14ac:dyDescent="0.2">
      <c r="A48" t="s">
        <v>54</v>
      </c>
      <c r="B48">
        <v>8.6759000000000003E-2</v>
      </c>
      <c r="C48">
        <v>1.2159E-2</v>
      </c>
      <c r="D48">
        <v>6.8058999999999995E-2</v>
      </c>
      <c r="E48">
        <v>5.2958999999999999E-2</v>
      </c>
      <c r="F48">
        <v>-3.6041000000000004E-2</v>
      </c>
      <c r="G48">
        <v>2.4059000000000001E-2</v>
      </c>
      <c r="H48">
        <v>3.7059000000000002E-2</v>
      </c>
      <c r="I48" s="2">
        <f>B48-$S$3</f>
        <v>8.5259000000000001E-2</v>
      </c>
      <c r="J48" s="2">
        <f>C48-$S$3</f>
        <v>1.0659E-2</v>
      </c>
      <c r="K48" s="2">
        <f>D48-$S$3</f>
        <v>6.6558999999999993E-2</v>
      </c>
      <c r="L48" s="2">
        <f>E48-$S$3</f>
        <v>5.1458999999999998E-2</v>
      </c>
      <c r="M48" s="2">
        <f>F48-$S$3</f>
        <v>-3.7541000000000005E-2</v>
      </c>
      <c r="N48" s="2">
        <f>G48-$S$3</f>
        <v>2.2558999999999999E-2</v>
      </c>
      <c r="O48" s="2">
        <f>H48-$S$3</f>
        <v>3.5559E-2</v>
      </c>
      <c r="P48" s="9">
        <f t="shared" si="0"/>
        <v>1.3112205097039928E-2</v>
      </c>
    </row>
    <row r="49" spans="1:16" x14ac:dyDescent="0.2">
      <c r="A49" t="s">
        <v>55</v>
      </c>
      <c r="B49">
        <v>3.0727999999999998E-2</v>
      </c>
      <c r="C49">
        <v>3.6428000000000002E-2</v>
      </c>
      <c r="D49">
        <v>5.2628000000000001E-2</v>
      </c>
      <c r="E49">
        <v>-1.9172000000000002E-2</v>
      </c>
      <c r="F49">
        <v>1.5428000000000001E-2</v>
      </c>
      <c r="G49">
        <v>1.2227999999999999E-2</v>
      </c>
      <c r="H49">
        <v>3.0828000000000001E-2</v>
      </c>
      <c r="I49" s="2">
        <f>B49-$S$3</f>
        <v>2.9227999999999997E-2</v>
      </c>
      <c r="J49" s="2">
        <f>C49-$S$3</f>
        <v>3.4928000000000001E-2</v>
      </c>
      <c r="K49" s="2">
        <f>D49-$S$3</f>
        <v>5.1128E-2</v>
      </c>
      <c r="L49" s="2">
        <f>E49-$S$3</f>
        <v>-2.0672000000000003E-2</v>
      </c>
      <c r="M49" s="2">
        <f>F49-$S$3</f>
        <v>1.3928000000000001E-2</v>
      </c>
      <c r="N49" s="2">
        <f>G49-$S$3</f>
        <v>1.0728E-2</v>
      </c>
      <c r="O49" s="2">
        <f>H49-$S$3</f>
        <v>2.9328E-2</v>
      </c>
      <c r="P49" s="9">
        <f t="shared" si="0"/>
        <v>3.4471990637255038E-3</v>
      </c>
    </row>
    <row r="50" spans="1:16" x14ac:dyDescent="0.2">
      <c r="A50" t="s">
        <v>56</v>
      </c>
      <c r="B50">
        <v>-9.5361000000000001E-2</v>
      </c>
      <c r="C50">
        <v>-8.2761000000000001E-2</v>
      </c>
      <c r="D50">
        <v>5.1389999999999995E-3</v>
      </c>
      <c r="E50">
        <v>-0.114561</v>
      </c>
      <c r="F50">
        <v>-9.6609999999999994E-3</v>
      </c>
      <c r="G50">
        <v>-2.3961E-2</v>
      </c>
      <c r="H50">
        <v>-2.6960999999999999E-2</v>
      </c>
      <c r="I50" s="2">
        <f>B50-$S$3</f>
        <v>-9.6861000000000003E-2</v>
      </c>
      <c r="J50" s="2">
        <f>C50-$S$3</f>
        <v>-8.4261000000000003E-2</v>
      </c>
      <c r="K50" s="2">
        <f>D50-$S$3</f>
        <v>3.6389999999999994E-3</v>
      </c>
      <c r="L50" s="2">
        <f>E50-$S$3</f>
        <v>-0.116061</v>
      </c>
      <c r="M50" s="2">
        <f>F50-$S$3</f>
        <v>-1.1160999999999999E-2</v>
      </c>
      <c r="N50" s="2">
        <f>G50-$S$3</f>
        <v>-2.5461000000000001E-2</v>
      </c>
      <c r="O50" s="2">
        <f>H50-$S$3</f>
        <v>-2.8461E-2</v>
      </c>
      <c r="P50" s="9">
        <f t="shared" si="0"/>
        <v>-1.4714411324971265E-2</v>
      </c>
    </row>
    <row r="51" spans="1:16" x14ac:dyDescent="0.2">
      <c r="A51" t="s">
        <v>57</v>
      </c>
      <c r="B51">
        <v>-4.1140999999999997E-2</v>
      </c>
      <c r="C51">
        <v>-1.9941E-2</v>
      </c>
      <c r="D51">
        <v>1.0859000000000001E-2</v>
      </c>
      <c r="E51">
        <v>9.0589999999999993E-3</v>
      </c>
      <c r="F51">
        <v>-1.6740999999999999E-2</v>
      </c>
      <c r="G51">
        <v>9.5899999999999978E-4</v>
      </c>
      <c r="H51">
        <v>1.7259E-2</v>
      </c>
      <c r="I51" s="2">
        <f>B51-$S$3</f>
        <v>-4.2640999999999998E-2</v>
      </c>
      <c r="J51" s="2">
        <f>C51-$S$3</f>
        <v>-2.1441000000000002E-2</v>
      </c>
      <c r="K51" s="2">
        <f>D51-$S$3</f>
        <v>9.359000000000001E-3</v>
      </c>
      <c r="L51" s="2">
        <f>E51-$S$3</f>
        <v>7.5589999999999997E-3</v>
      </c>
      <c r="M51" s="2">
        <f>F51-$S$3</f>
        <v>-1.8241E-2</v>
      </c>
      <c r="N51" s="2">
        <f>G51-$S$3</f>
        <v>-5.4100000000000025E-4</v>
      </c>
      <c r="O51" s="2">
        <f>H51-$S$3</f>
        <v>1.5758999999999999E-2</v>
      </c>
      <c r="P51" s="9">
        <f t="shared" si="0"/>
        <v>4.2920689021026838E-3</v>
      </c>
    </row>
    <row r="52" spans="1:16" x14ac:dyDescent="0.2">
      <c r="A52" t="s">
        <v>58</v>
      </c>
      <c r="B52">
        <v>-0.106423</v>
      </c>
      <c r="C52">
        <v>-0.17772300000000002</v>
      </c>
      <c r="D52">
        <v>-2.4722999999999998E-2</v>
      </c>
      <c r="E52">
        <v>-1.5223E-2</v>
      </c>
      <c r="F52">
        <v>-2.8323000000000001E-2</v>
      </c>
      <c r="G52">
        <v>-1.7822999999999999E-2</v>
      </c>
      <c r="H52">
        <v>-2.1222999999999999E-2</v>
      </c>
      <c r="I52" s="2">
        <f>B52-$S$3</f>
        <v>-0.10792300000000001</v>
      </c>
      <c r="J52" s="2">
        <f>C52-$S$3</f>
        <v>-0.17922300000000002</v>
      </c>
      <c r="K52" s="2">
        <f>D52-$S$3</f>
        <v>-2.6223E-2</v>
      </c>
      <c r="L52" s="2">
        <f>E52-$S$3</f>
        <v>-1.6723000000000002E-2</v>
      </c>
      <c r="M52" s="2">
        <f>F52-$S$3</f>
        <v>-2.9823000000000002E-2</v>
      </c>
      <c r="N52" s="2">
        <f>G52-$S$3</f>
        <v>-1.9323E-2</v>
      </c>
      <c r="O52" s="2">
        <f>H52-$S$3</f>
        <v>-2.2723E-2</v>
      </c>
      <c r="P52" s="9">
        <f t="shared" si="0"/>
        <v>3.5123276261716727E-2</v>
      </c>
    </row>
    <row r="53" spans="1:16" x14ac:dyDescent="0.2">
      <c r="A53" t="s">
        <v>59</v>
      </c>
      <c r="B53">
        <v>-0.18917199999999998</v>
      </c>
      <c r="C53">
        <v>-9.4272000000000009E-2</v>
      </c>
      <c r="D53">
        <v>1.8227999999999998E-2</v>
      </c>
      <c r="E53">
        <v>1.7927999999999999E-2</v>
      </c>
      <c r="F53">
        <v>-6.1371999999999996E-2</v>
      </c>
      <c r="G53">
        <v>-7.4272000000000005E-2</v>
      </c>
      <c r="H53">
        <v>-2.2172000000000001E-2</v>
      </c>
      <c r="I53" s="2">
        <f>B53-$S$3</f>
        <v>-0.19067199999999998</v>
      </c>
      <c r="J53" s="2">
        <f>C53-$S$3</f>
        <v>-9.577200000000001E-2</v>
      </c>
      <c r="K53" s="2">
        <f>D53-$S$3</f>
        <v>1.6727999999999996E-2</v>
      </c>
      <c r="L53" s="2">
        <f>E53-$S$3</f>
        <v>1.6427999999999998E-2</v>
      </c>
      <c r="M53" s="2">
        <f>F53-$S$3</f>
        <v>-6.2871999999999997E-2</v>
      </c>
      <c r="N53" s="2">
        <f>G53-$S$3</f>
        <v>-7.5772000000000006E-2</v>
      </c>
      <c r="O53" s="2">
        <f>H53-$S$3</f>
        <v>-2.3672000000000002E-2</v>
      </c>
      <c r="P53" s="9">
        <f t="shared" si="0"/>
        <v>-4.1825038819360782E-2</v>
      </c>
    </row>
    <row r="54" spans="1:16" x14ac:dyDescent="0.2">
      <c r="A54" t="s">
        <v>60</v>
      </c>
      <c r="B54">
        <v>9.3105000000000007E-2</v>
      </c>
      <c r="C54">
        <v>0.19850499999999999</v>
      </c>
      <c r="D54">
        <v>-2.0195000000000001E-2</v>
      </c>
      <c r="E54">
        <v>-1.4095E-2</v>
      </c>
      <c r="F54">
        <v>2.7050000000000004E-3</v>
      </c>
      <c r="G54">
        <v>0.15650500000000001</v>
      </c>
      <c r="H54">
        <v>2.7604999999999998E-2</v>
      </c>
      <c r="I54" s="2">
        <f>B54-$S$3</f>
        <v>9.1605000000000006E-2</v>
      </c>
      <c r="J54" s="2">
        <f>C54-$S$3</f>
        <v>0.19700499999999999</v>
      </c>
      <c r="K54" s="2">
        <f>D54-$S$3</f>
        <v>-2.1695000000000002E-2</v>
      </c>
      <c r="L54" s="2">
        <f>E54-$S$3</f>
        <v>-1.5594999999999999E-2</v>
      </c>
      <c r="M54" s="2">
        <f>F54-$S$3</f>
        <v>1.2050000000000003E-3</v>
      </c>
      <c r="N54" s="2">
        <f>G54-$S$3</f>
        <v>0.155005</v>
      </c>
      <c r="O54" s="2">
        <f>H54-$S$3</f>
        <v>2.6104999999999996E-2</v>
      </c>
      <c r="P54" s="9">
        <f t="shared" si="0"/>
        <v>1.7999968235577514E-2</v>
      </c>
    </row>
    <row r="55" spans="1:16" x14ac:dyDescent="0.2">
      <c r="A55" t="s">
        <v>61</v>
      </c>
      <c r="B55">
        <v>2.3837000000000001E-2</v>
      </c>
      <c r="C55">
        <v>7.6036999999999993E-2</v>
      </c>
      <c r="D55">
        <v>1.1036999999999998E-2</v>
      </c>
      <c r="E55">
        <v>-2.5763000000000001E-2</v>
      </c>
      <c r="F55">
        <v>1.8237E-2</v>
      </c>
      <c r="G55">
        <v>1.0936999999999999E-2</v>
      </c>
      <c r="H55">
        <v>-2.3630000000000001E-3</v>
      </c>
      <c r="I55" s="2">
        <f>B55-$S$3</f>
        <v>2.2336999999999999E-2</v>
      </c>
      <c r="J55" s="2">
        <f>C55-$S$3</f>
        <v>7.4536999999999992E-2</v>
      </c>
      <c r="K55" s="2">
        <f>D55-$S$3</f>
        <v>9.5369999999999986E-3</v>
      </c>
      <c r="L55" s="2">
        <f>E55-$S$3</f>
        <v>-2.7263000000000003E-2</v>
      </c>
      <c r="M55" s="2">
        <f>F55-$S$3</f>
        <v>1.6736999999999998E-2</v>
      </c>
      <c r="N55" s="2">
        <f>G55-$S$3</f>
        <v>9.4369999999999992E-3</v>
      </c>
      <c r="O55" s="2">
        <f>H55-$S$3</f>
        <v>-3.8630000000000001E-3</v>
      </c>
      <c r="P55" s="9">
        <f t="shared" si="0"/>
        <v>-1.9632745350682126E-2</v>
      </c>
    </row>
    <row r="56" spans="1:16" x14ac:dyDescent="0.2">
      <c r="A56" t="s">
        <v>62</v>
      </c>
      <c r="B56">
        <v>5.6216999999999996E-2</v>
      </c>
      <c r="C56">
        <v>8.0517000000000005E-2</v>
      </c>
      <c r="D56">
        <v>5.0616999999999995E-2</v>
      </c>
      <c r="E56">
        <v>1.6999999999999654E-5</v>
      </c>
      <c r="F56">
        <v>2.1517000000000001E-2</v>
      </c>
      <c r="G56">
        <v>7.7417E-2</v>
      </c>
      <c r="H56">
        <v>3.3616999999999994E-2</v>
      </c>
      <c r="I56" s="2">
        <f>B56-$S$3</f>
        <v>5.4716999999999995E-2</v>
      </c>
      <c r="J56" s="2">
        <f>C56-$S$3</f>
        <v>7.9017000000000004E-2</v>
      </c>
      <c r="K56" s="2">
        <f>D56-$S$3</f>
        <v>4.9116999999999994E-2</v>
      </c>
      <c r="L56" s="2">
        <f>E56-$S$3</f>
        <v>-1.4830000000000004E-3</v>
      </c>
      <c r="M56" s="2">
        <f>F56-$S$3</f>
        <v>2.0017E-2</v>
      </c>
      <c r="N56" s="2">
        <f>G56-$S$3</f>
        <v>7.5916999999999998E-2</v>
      </c>
      <c r="O56" s="2">
        <f>H56-$S$3</f>
        <v>3.2116999999999993E-2</v>
      </c>
      <c r="P56" s="9">
        <f t="shared" si="0"/>
        <v>2.9299263942847337E-2</v>
      </c>
    </row>
    <row r="57" spans="1:16" x14ac:dyDescent="0.2">
      <c r="A57" t="s">
        <v>63</v>
      </c>
      <c r="B57">
        <v>-7.4620000000000006E-2</v>
      </c>
      <c r="C57">
        <v>-6.1120000000000001E-2</v>
      </c>
      <c r="D57">
        <v>-9.0200000000000002E-3</v>
      </c>
      <c r="E57">
        <v>-4.7320000000000001E-2</v>
      </c>
      <c r="F57">
        <v>-8.9020000000000002E-2</v>
      </c>
      <c r="G57">
        <v>-8.6420000000000011E-2</v>
      </c>
      <c r="H57">
        <v>-1.4120000000000001E-2</v>
      </c>
      <c r="I57" s="2">
        <f>B57-$S$3</f>
        <v>-7.6120000000000007E-2</v>
      </c>
      <c r="J57" s="2">
        <f>C57-$S$3</f>
        <v>-6.2619999999999995E-2</v>
      </c>
      <c r="K57" s="2">
        <f>D57-$S$3</f>
        <v>-1.052E-2</v>
      </c>
      <c r="L57" s="2">
        <f>E57-$S$3</f>
        <v>-4.8820000000000002E-2</v>
      </c>
      <c r="M57" s="2">
        <f>F57-$S$3</f>
        <v>-9.0520000000000003E-2</v>
      </c>
      <c r="N57" s="2">
        <f>G57-$S$3</f>
        <v>-8.7920000000000012E-2</v>
      </c>
      <c r="O57" s="2">
        <f>H57-$S$3</f>
        <v>-1.562E-2</v>
      </c>
      <c r="P57" s="9">
        <f t="shared" si="0"/>
        <v>-7.5376310868128127E-2</v>
      </c>
    </row>
    <row r="58" spans="1:16" x14ac:dyDescent="0.2">
      <c r="A58" t="s">
        <v>64</v>
      </c>
      <c r="B58">
        <v>-1.3847999999999999E-2</v>
      </c>
      <c r="C58">
        <v>-0.107548</v>
      </c>
      <c r="D58">
        <v>3.2520000000000001E-3</v>
      </c>
      <c r="E58">
        <v>-3.4480000000000001E-3</v>
      </c>
      <c r="F58">
        <v>-2.8247999999999999E-2</v>
      </c>
      <c r="G58">
        <v>-3.6748000000000003E-2</v>
      </c>
      <c r="H58">
        <v>4.052E-3</v>
      </c>
      <c r="I58" s="2">
        <f>B58-$S$3</f>
        <v>-1.5347999999999999E-2</v>
      </c>
      <c r="J58" s="2">
        <f>C58-$S$3</f>
        <v>-0.10904800000000001</v>
      </c>
      <c r="K58" s="2">
        <f>D58-$S$3</f>
        <v>1.7520000000000001E-3</v>
      </c>
      <c r="L58" s="2">
        <f>E58-$S$3</f>
        <v>-4.9480000000000001E-3</v>
      </c>
      <c r="M58" s="2">
        <f>F58-$S$3</f>
        <v>-2.9748E-2</v>
      </c>
      <c r="N58" s="2">
        <f>G58-$S$3</f>
        <v>-3.8248000000000004E-2</v>
      </c>
      <c r="O58" s="2">
        <f>H58-$S$3</f>
        <v>2.552E-3</v>
      </c>
      <c r="P58" s="9">
        <f t="shared" si="0"/>
        <v>9.4919405682724438E-3</v>
      </c>
    </row>
    <row r="59" spans="1:16" x14ac:dyDescent="0.2">
      <c r="A59" t="s">
        <v>65</v>
      </c>
      <c r="B59">
        <v>-0.148428</v>
      </c>
      <c r="C59">
        <v>-0.10762799999999999</v>
      </c>
      <c r="D59">
        <v>8.5719999999999998E-3</v>
      </c>
      <c r="E59">
        <v>-2.6428E-2</v>
      </c>
      <c r="F59">
        <v>7.687200000000001E-2</v>
      </c>
      <c r="G59">
        <v>6.9672000000000012E-2</v>
      </c>
      <c r="H59">
        <v>-2.0428000000000002E-2</v>
      </c>
      <c r="I59" s="2">
        <f>B59-$S$3</f>
        <v>-0.14992800000000001</v>
      </c>
      <c r="J59" s="2">
        <f>C59-$S$3</f>
        <v>-0.10912799999999999</v>
      </c>
      <c r="K59" s="2">
        <f>D59-$S$3</f>
        <v>7.0720000000000002E-3</v>
      </c>
      <c r="L59" s="2">
        <f>E59-$S$3</f>
        <v>-2.7928000000000001E-2</v>
      </c>
      <c r="M59" s="2">
        <f>F59-$S$3</f>
        <v>7.5372000000000008E-2</v>
      </c>
      <c r="N59" s="2">
        <f>G59-$S$3</f>
        <v>6.817200000000001E-2</v>
      </c>
      <c r="O59" s="2">
        <f>H59-$S$3</f>
        <v>-2.1928000000000003E-2</v>
      </c>
      <c r="P59" s="9">
        <f t="shared" si="0"/>
        <v>9.5440046764035558E-2</v>
      </c>
    </row>
    <row r="60" spans="1:16" x14ac:dyDescent="0.2">
      <c r="A60" t="s">
        <v>66</v>
      </c>
      <c r="B60">
        <v>-2.5845E-2</v>
      </c>
      <c r="C60">
        <v>-0.18834499999999998</v>
      </c>
      <c r="D60">
        <v>-0.116245</v>
      </c>
      <c r="E60">
        <v>1.1854999999999999E-2</v>
      </c>
      <c r="F60">
        <v>2.3355000000000001E-2</v>
      </c>
      <c r="G60">
        <v>-4.0445000000000002E-2</v>
      </c>
      <c r="H60">
        <v>3.2155000000000003E-2</v>
      </c>
      <c r="I60" s="2">
        <f>B60-$S$3</f>
        <v>-2.7345000000000001E-2</v>
      </c>
      <c r="J60" s="2">
        <f>C60-$S$3</f>
        <v>-0.18984499999999999</v>
      </c>
      <c r="K60" s="2">
        <f>D60-$S$3</f>
        <v>-0.117745</v>
      </c>
      <c r="L60" s="2">
        <f>E60-$S$3</f>
        <v>1.0355E-2</v>
      </c>
      <c r="M60" s="2">
        <f>F60-$S$3</f>
        <v>2.1854999999999999E-2</v>
      </c>
      <c r="N60" s="2">
        <f>G60-$S$3</f>
        <v>-4.1945000000000003E-2</v>
      </c>
      <c r="O60" s="2">
        <f>H60-$S$3</f>
        <v>3.0655000000000002E-2</v>
      </c>
      <c r="P60" s="9">
        <f t="shared" si="0"/>
        <v>7.1678405507901069E-2</v>
      </c>
    </row>
    <row r="61" spans="1:16" x14ac:dyDescent="0.2">
      <c r="A61" t="s">
        <v>67</v>
      </c>
      <c r="B61">
        <v>-5.3560000000000003E-2</v>
      </c>
      <c r="C61">
        <v>-0.11635999999999999</v>
      </c>
      <c r="D61">
        <v>-2.0059999999999998E-2</v>
      </c>
      <c r="E61">
        <v>-6.1360000000000005E-2</v>
      </c>
      <c r="F61">
        <v>-3.6460000000000006E-2</v>
      </c>
      <c r="G61">
        <v>2.4140000000000002E-2</v>
      </c>
      <c r="H61">
        <v>-4.1600000000000005E-3</v>
      </c>
      <c r="I61" s="2">
        <f>B61-$S$3</f>
        <v>-5.5060000000000005E-2</v>
      </c>
      <c r="J61" s="2">
        <f>C61-$S$3</f>
        <v>-0.11785999999999999</v>
      </c>
      <c r="K61" s="2">
        <f>D61-$S$3</f>
        <v>-2.1559999999999999E-2</v>
      </c>
      <c r="L61" s="2">
        <f>E61-$S$3</f>
        <v>-6.2859999999999999E-2</v>
      </c>
      <c r="M61" s="2">
        <f>F61-$S$3</f>
        <v>-3.7960000000000008E-2</v>
      </c>
      <c r="N61" s="2">
        <f>G61-$S$3</f>
        <v>2.264E-2</v>
      </c>
      <c r="O61" s="2">
        <f>H61-$S$3</f>
        <v>-5.6600000000000001E-3</v>
      </c>
      <c r="P61" s="9">
        <f t="shared" si="0"/>
        <v>2.9567632495907235E-2</v>
      </c>
    </row>
    <row r="62" spans="1:16" x14ac:dyDescent="0.2">
      <c r="A62" t="s">
        <v>68</v>
      </c>
      <c r="B62">
        <v>0.120712</v>
      </c>
      <c r="C62">
        <v>0.23541200000000001</v>
      </c>
      <c r="D62">
        <v>7.0211999999999997E-2</v>
      </c>
      <c r="E62">
        <v>6.1211999999999996E-2</v>
      </c>
      <c r="F62">
        <v>-1.8187999999999999E-2</v>
      </c>
      <c r="G62">
        <v>-7.4879999999999999E-3</v>
      </c>
      <c r="H62">
        <v>2.2011999999999997E-2</v>
      </c>
      <c r="I62" s="2">
        <f>B62-$S$3</f>
        <v>0.119212</v>
      </c>
      <c r="J62" s="2">
        <f>C62-$S$3</f>
        <v>0.23391200000000001</v>
      </c>
      <c r="K62" s="2">
        <f>D62-$S$3</f>
        <v>6.8711999999999995E-2</v>
      </c>
      <c r="L62" s="2">
        <f>E62-$S$3</f>
        <v>5.9711999999999994E-2</v>
      </c>
      <c r="M62" s="2">
        <f>F62-$S$3</f>
        <v>-1.9688000000000001E-2</v>
      </c>
      <c r="N62" s="2">
        <f>G62-$S$3</f>
        <v>-8.9879999999999995E-3</v>
      </c>
      <c r="O62" s="2">
        <f>H62-$S$3</f>
        <v>2.0511999999999996E-2</v>
      </c>
      <c r="P62" s="9">
        <f t="shared" si="0"/>
        <v>-8.3561994846246032E-2</v>
      </c>
    </row>
    <row r="63" spans="1:16" x14ac:dyDescent="0.2">
      <c r="A63" t="s">
        <v>69</v>
      </c>
      <c r="B63">
        <v>-7.4422000000000002E-2</v>
      </c>
      <c r="C63">
        <v>-0.14952199999999999</v>
      </c>
      <c r="D63">
        <v>5.9878000000000008E-2</v>
      </c>
      <c r="E63">
        <v>6.1078E-2</v>
      </c>
      <c r="F63">
        <v>-1.9622000000000001E-2</v>
      </c>
      <c r="G63">
        <v>-7.9220000000000002E-3</v>
      </c>
      <c r="H63">
        <v>-2.8220000000000003E-3</v>
      </c>
      <c r="I63" s="2">
        <f>B63-$S$3</f>
        <v>-7.5922000000000003E-2</v>
      </c>
      <c r="J63" s="2">
        <f>C63-$S$3</f>
        <v>-0.15102199999999999</v>
      </c>
      <c r="K63" s="2">
        <f>D63-$S$3</f>
        <v>5.8378000000000006E-2</v>
      </c>
      <c r="L63" s="2">
        <f>E63-$S$3</f>
        <v>5.9577999999999999E-2</v>
      </c>
      <c r="M63" s="2">
        <f>F63-$S$3</f>
        <v>-2.1122000000000002E-2</v>
      </c>
      <c r="N63" s="2">
        <f>G63-$S$3</f>
        <v>-9.4219999999999998E-3</v>
      </c>
      <c r="O63" s="2">
        <f>H63-$S$3</f>
        <v>-4.3220000000000003E-3</v>
      </c>
      <c r="P63" s="9">
        <f t="shared" si="0"/>
        <v>4.969391235708117E-2</v>
      </c>
    </row>
    <row r="64" spans="1:16" x14ac:dyDescent="0.2">
      <c r="A64" t="s">
        <v>70</v>
      </c>
      <c r="B64">
        <v>-4.9420000000000002E-3</v>
      </c>
      <c r="C64">
        <v>4.3658000000000002E-2</v>
      </c>
      <c r="D64">
        <v>-2.3542E-2</v>
      </c>
      <c r="E64">
        <v>7.0579999999999992E-3</v>
      </c>
      <c r="F64">
        <v>4.1658000000000001E-2</v>
      </c>
      <c r="G64">
        <v>-4.7542000000000001E-2</v>
      </c>
      <c r="H64">
        <v>7.4580000000000002E-3</v>
      </c>
      <c r="I64" s="2">
        <f>B64-$S$3</f>
        <v>-6.4419999999999998E-3</v>
      </c>
      <c r="J64" s="2">
        <f>C64-$S$3</f>
        <v>4.2158000000000001E-2</v>
      </c>
      <c r="K64" s="2">
        <f>D64-$S$3</f>
        <v>-2.5042000000000002E-2</v>
      </c>
      <c r="L64" s="2">
        <f>E64-$S$3</f>
        <v>5.5579999999999987E-3</v>
      </c>
      <c r="M64" s="2">
        <f>F64-$S$3</f>
        <v>4.0157999999999999E-2</v>
      </c>
      <c r="N64" s="2">
        <f>G64-$S$3</f>
        <v>-4.9042000000000002E-2</v>
      </c>
      <c r="O64" s="2">
        <f>H64-$S$3</f>
        <v>5.9579999999999998E-3</v>
      </c>
      <c r="P64" s="9">
        <f t="shared" si="0"/>
        <v>-2.1900359108183911E-2</v>
      </c>
    </row>
    <row r="65" spans="1:16" x14ac:dyDescent="0.2">
      <c r="A65" t="s">
        <v>71</v>
      </c>
      <c r="B65">
        <v>-0.11785900000000001</v>
      </c>
      <c r="C65">
        <v>7.2140999999999997E-2</v>
      </c>
      <c r="D65">
        <v>-2.2058999999999999E-2</v>
      </c>
      <c r="E65">
        <v>-2.2158999999999998E-2</v>
      </c>
      <c r="F65">
        <v>-5.0359000000000001E-2</v>
      </c>
      <c r="G65">
        <v>1.7441000000000002E-2</v>
      </c>
      <c r="H65">
        <v>8.6410000000000011E-3</v>
      </c>
      <c r="I65" s="2">
        <f>B65-$S$3</f>
        <v>-0.11935900000000001</v>
      </c>
      <c r="J65" s="2">
        <f>C65-$S$3</f>
        <v>7.0640999999999995E-2</v>
      </c>
      <c r="K65" s="2">
        <f>D65-$S$3</f>
        <v>-2.3559E-2</v>
      </c>
      <c r="L65" s="2">
        <f>E65-$S$3</f>
        <v>-2.3658999999999999E-2</v>
      </c>
      <c r="M65" s="2">
        <f>F65-$S$3</f>
        <v>-5.1859000000000002E-2</v>
      </c>
      <c r="N65" s="2">
        <f>G65-$S$3</f>
        <v>1.5941E-2</v>
      </c>
      <c r="O65" s="2">
        <f>H65-$S$3</f>
        <v>7.1410000000000015E-3</v>
      </c>
      <c r="P65" s="9">
        <f t="shared" si="0"/>
        <v>-4.7077435974005467E-2</v>
      </c>
    </row>
    <row r="66" spans="1:16" x14ac:dyDescent="0.2">
      <c r="A66" t="s">
        <v>72</v>
      </c>
      <c r="B66">
        <v>2.6005E-2</v>
      </c>
      <c r="C66">
        <v>0.18390499999999999</v>
      </c>
      <c r="D66">
        <v>-9.895000000000001E-3</v>
      </c>
      <c r="E66">
        <v>-5.9295E-2</v>
      </c>
      <c r="F66">
        <v>7.5604999999999992E-2</v>
      </c>
      <c r="G66">
        <v>-8.0994999999999998E-2</v>
      </c>
      <c r="H66">
        <v>-3.5095000000000001E-2</v>
      </c>
      <c r="I66" s="2">
        <f>B66-$S$3</f>
        <v>2.4504999999999999E-2</v>
      </c>
      <c r="J66" s="2">
        <f>C66-$S$3</f>
        <v>0.18240499999999998</v>
      </c>
      <c r="K66" s="2">
        <f>D66-$S$3</f>
        <v>-1.1395000000000001E-2</v>
      </c>
      <c r="L66" s="2">
        <f>E66-$S$3</f>
        <v>-6.0795000000000002E-2</v>
      </c>
      <c r="M66" s="2">
        <f>F66-$S$3</f>
        <v>7.410499999999999E-2</v>
      </c>
      <c r="N66" s="2">
        <f>G66-$S$3</f>
        <v>-8.2494999999999999E-2</v>
      </c>
      <c r="O66" s="2">
        <f>H66-$S$3</f>
        <v>-3.6595000000000003E-2</v>
      </c>
      <c r="P66" s="9">
        <f t="shared" si="0"/>
        <v>-9.9399154173241022E-2</v>
      </c>
    </row>
    <row r="67" spans="1:16" x14ac:dyDescent="0.2">
      <c r="A67" t="s">
        <v>73</v>
      </c>
      <c r="B67">
        <v>-3.6069999999999998E-2</v>
      </c>
      <c r="C67">
        <v>0.10223</v>
      </c>
      <c r="D67">
        <v>6.6229999999999997E-2</v>
      </c>
      <c r="E67">
        <v>6.9129999999999997E-2</v>
      </c>
      <c r="F67">
        <v>-9.7700000000000009E-3</v>
      </c>
      <c r="G67">
        <v>-4.9700000000000005E-3</v>
      </c>
      <c r="H67">
        <v>-3.8700000000000006E-3</v>
      </c>
      <c r="I67" s="2">
        <f>B67-$S$3</f>
        <v>-3.7569999999999999E-2</v>
      </c>
      <c r="J67" s="2">
        <f>C67-$S$3</f>
        <v>0.10073</v>
      </c>
      <c r="K67" s="2">
        <f>D67-$S$3</f>
        <v>6.4729999999999996E-2</v>
      </c>
      <c r="L67" s="2">
        <f>E67-$S$3</f>
        <v>6.7629999999999996E-2</v>
      </c>
      <c r="M67" s="2">
        <f>F67-$S$3</f>
        <v>-1.1270000000000001E-2</v>
      </c>
      <c r="N67" s="2">
        <f>G67-$S$3</f>
        <v>-6.4700000000000001E-3</v>
      </c>
      <c r="O67" s="2">
        <f>H67-$S$3</f>
        <v>-5.3700000000000006E-3</v>
      </c>
      <c r="P67" s="9">
        <f t="shared" ref="P67:P130" si="11">SUMPRODUCT(B67:H67,$S$37:$Y$37)</f>
        <v>-3.9440151878581652E-2</v>
      </c>
    </row>
    <row r="68" spans="1:16" x14ac:dyDescent="0.2">
      <c r="A68" t="s">
        <v>74</v>
      </c>
      <c r="B68">
        <v>-3.4276000000000001E-2</v>
      </c>
      <c r="C68">
        <v>7.7923999999999993E-2</v>
      </c>
      <c r="D68">
        <v>8.4223999999999993E-2</v>
      </c>
      <c r="E68">
        <v>1.8224000000000001E-2</v>
      </c>
      <c r="F68">
        <v>-8.0175999999999997E-2</v>
      </c>
      <c r="G68">
        <v>-6.4376000000000003E-2</v>
      </c>
      <c r="H68">
        <v>1.124E-3</v>
      </c>
      <c r="I68" s="2">
        <f>B68-$S$3</f>
        <v>-3.5776000000000002E-2</v>
      </c>
      <c r="J68" s="2">
        <f>C68-$S$3</f>
        <v>7.6423999999999992E-2</v>
      </c>
      <c r="K68" s="2">
        <f>D68-$S$3</f>
        <v>8.2723999999999992E-2</v>
      </c>
      <c r="L68" s="2">
        <f>E68-$S$3</f>
        <v>1.6723999999999999E-2</v>
      </c>
      <c r="M68" s="2">
        <f>F68-$S$3</f>
        <v>-8.1675999999999999E-2</v>
      </c>
      <c r="N68" s="2">
        <f>G68-$S$3</f>
        <v>-6.5876000000000004E-2</v>
      </c>
      <c r="O68" s="2">
        <f>H68-$S$3</f>
        <v>-3.7600000000000003E-4</v>
      </c>
      <c r="P68" s="9">
        <f t="shared" si="11"/>
        <v>-9.9464429623935674E-2</v>
      </c>
    </row>
    <row r="69" spans="1:16" x14ac:dyDescent="0.2">
      <c r="A69" t="s">
        <v>75</v>
      </c>
      <c r="B69">
        <v>0.25061700000000003</v>
      </c>
      <c r="C69">
        <v>-9.1582999999999998E-2</v>
      </c>
      <c r="D69">
        <v>3.3716999999999997E-2</v>
      </c>
      <c r="E69">
        <v>3.5916999999999998E-2</v>
      </c>
      <c r="F69">
        <v>4.4169999999999991E-3</v>
      </c>
      <c r="G69">
        <v>5.2116999999999997E-2</v>
      </c>
      <c r="H69">
        <v>1.7016999999999997E-2</v>
      </c>
      <c r="I69" s="2">
        <f>B69-$S$3</f>
        <v>0.24911700000000003</v>
      </c>
      <c r="J69" s="2">
        <f>C69-$S$3</f>
        <v>-9.3082999999999999E-2</v>
      </c>
      <c r="K69" s="2">
        <f>D69-$S$3</f>
        <v>3.2216999999999996E-2</v>
      </c>
      <c r="L69" s="2">
        <f>E69-$S$3</f>
        <v>3.4416999999999996E-2</v>
      </c>
      <c r="M69" s="2">
        <f>F69-$S$3</f>
        <v>2.916999999999999E-3</v>
      </c>
      <c r="N69" s="2">
        <f>G69-$S$3</f>
        <v>5.0616999999999995E-2</v>
      </c>
      <c r="O69" s="2">
        <f>H69-$S$3</f>
        <v>1.5516999999999998E-2</v>
      </c>
      <c r="P69" s="9">
        <f t="shared" si="11"/>
        <v>8.7428722906887857E-2</v>
      </c>
    </row>
    <row r="70" spans="1:16" x14ac:dyDescent="0.2">
      <c r="A70" t="s">
        <v>76</v>
      </c>
      <c r="B70">
        <v>-3.7547000000000004E-2</v>
      </c>
      <c r="C70">
        <v>0.13575300000000001</v>
      </c>
      <c r="D70">
        <v>4.1853000000000001E-2</v>
      </c>
      <c r="E70">
        <v>5.1352999999999996E-2</v>
      </c>
      <c r="F70">
        <v>9.885300000000001E-2</v>
      </c>
      <c r="G70">
        <v>0.13775300000000001</v>
      </c>
      <c r="H70">
        <v>2.0553000000000002E-2</v>
      </c>
      <c r="I70" s="2">
        <f>B70-$S$3</f>
        <v>-3.9047000000000005E-2</v>
      </c>
      <c r="J70" s="2">
        <f>C70-$S$3</f>
        <v>0.13425300000000001</v>
      </c>
      <c r="K70" s="2">
        <f>D70-$S$3</f>
        <v>4.0353E-2</v>
      </c>
      <c r="L70" s="2">
        <f>E70-$S$3</f>
        <v>4.9852999999999995E-2</v>
      </c>
      <c r="M70" s="2">
        <f>F70-$S$3</f>
        <v>9.7353000000000009E-2</v>
      </c>
      <c r="N70" s="2">
        <f>G70-$S$3</f>
        <v>0.13625300000000001</v>
      </c>
      <c r="O70" s="2">
        <f>H70-$S$3</f>
        <v>1.9053E-2</v>
      </c>
      <c r="P70" s="9">
        <f t="shared" si="11"/>
        <v>7.4100768440912526E-2</v>
      </c>
    </row>
    <row r="71" spans="1:16" x14ac:dyDescent="0.2">
      <c r="A71" t="s">
        <v>77</v>
      </c>
      <c r="B71">
        <v>1.9424E-2</v>
      </c>
      <c r="C71">
        <v>4.5823999999999997E-2</v>
      </c>
      <c r="D71">
        <v>5.8823999999999994E-2</v>
      </c>
      <c r="E71">
        <v>3.3239999999999997E-3</v>
      </c>
      <c r="F71">
        <v>-4.876000000000001E-3</v>
      </c>
      <c r="G71">
        <v>6.7024E-2</v>
      </c>
      <c r="H71">
        <v>2.7424E-2</v>
      </c>
      <c r="I71" s="2">
        <f>B71-$S$3</f>
        <v>1.7923999999999999E-2</v>
      </c>
      <c r="J71" s="2">
        <f>C71-$S$3</f>
        <v>4.4323999999999995E-2</v>
      </c>
      <c r="K71" s="2">
        <f>D71-$S$3</f>
        <v>5.7323999999999993E-2</v>
      </c>
      <c r="L71" s="2">
        <f>E71-$S$3</f>
        <v>1.8239999999999997E-3</v>
      </c>
      <c r="M71" s="2">
        <f>F71-$S$3</f>
        <v>-6.3760000000000015E-3</v>
      </c>
      <c r="N71" s="2">
        <f>G71-$S$3</f>
        <v>6.5523999999999999E-2</v>
      </c>
      <c r="O71" s="2">
        <f>H71-$S$3</f>
        <v>2.5923999999999999E-2</v>
      </c>
      <c r="P71" s="9">
        <f t="shared" si="11"/>
        <v>2.301458606643688E-2</v>
      </c>
    </row>
    <row r="72" spans="1:16" x14ac:dyDescent="0.2">
      <c r="A72" t="s">
        <v>78</v>
      </c>
      <c r="B72">
        <v>-2.2343000000000002E-2</v>
      </c>
      <c r="C72">
        <v>-0.161243</v>
      </c>
      <c r="D72">
        <v>-1.4143000000000001E-2</v>
      </c>
      <c r="E72">
        <v>-2.1543E-2</v>
      </c>
      <c r="F72">
        <v>-6.8742999999999999E-2</v>
      </c>
      <c r="G72">
        <v>-2.0643000000000002E-2</v>
      </c>
      <c r="H72">
        <v>1.2257000000000001E-2</v>
      </c>
      <c r="I72" s="2">
        <f>B72-$S$3</f>
        <v>-2.3843000000000003E-2</v>
      </c>
      <c r="J72" s="2">
        <f>C72-$S$3</f>
        <v>-0.162743</v>
      </c>
      <c r="K72" s="2">
        <f>D72-$S$3</f>
        <v>-1.5643000000000001E-2</v>
      </c>
      <c r="L72" s="2">
        <f>E72-$S$3</f>
        <v>-2.3043000000000001E-2</v>
      </c>
      <c r="M72" s="2">
        <f>F72-$S$3</f>
        <v>-7.0243E-2</v>
      </c>
      <c r="N72" s="2">
        <f>G72-$S$3</f>
        <v>-2.2143000000000003E-2</v>
      </c>
      <c r="O72" s="2">
        <f>H72-$S$3</f>
        <v>1.0757000000000001E-2</v>
      </c>
      <c r="P72" s="9">
        <f t="shared" si="11"/>
        <v>2.0768947829172532E-2</v>
      </c>
    </row>
    <row r="73" spans="1:16" x14ac:dyDescent="0.2">
      <c r="A73" t="s">
        <v>79</v>
      </c>
      <c r="B73">
        <v>-8.0336000000000005E-2</v>
      </c>
      <c r="C73">
        <v>4.6963999999999999E-2</v>
      </c>
      <c r="D73">
        <v>5.0264000000000003E-2</v>
      </c>
      <c r="E73">
        <v>6.1763999999999999E-2</v>
      </c>
      <c r="F73">
        <v>1.3639999999999998E-3</v>
      </c>
      <c r="G73">
        <v>-2.1936000000000001E-2</v>
      </c>
      <c r="H73">
        <v>8.5639999999999987E-3</v>
      </c>
      <c r="I73" s="2">
        <f>B73-$S$3</f>
        <v>-8.1836000000000006E-2</v>
      </c>
      <c r="J73" s="2">
        <f>C73-$S$3</f>
        <v>4.5463999999999997E-2</v>
      </c>
      <c r="K73" s="2">
        <f>D73-$S$3</f>
        <v>4.8764000000000002E-2</v>
      </c>
      <c r="L73" s="2">
        <f>E73-$S$3</f>
        <v>6.0263999999999998E-2</v>
      </c>
      <c r="M73" s="2">
        <f>F73-$S$3</f>
        <v>-1.3600000000000027E-4</v>
      </c>
      <c r="N73" s="2">
        <f>G73-$S$3</f>
        <v>-2.3436000000000002E-2</v>
      </c>
      <c r="O73" s="2">
        <f>H73-$S$3</f>
        <v>7.0639999999999991E-3</v>
      </c>
      <c r="P73" s="9">
        <f t="shared" si="11"/>
        <v>-2.2669984049628583E-2</v>
      </c>
    </row>
    <row r="74" spans="1:16" x14ac:dyDescent="0.2">
      <c r="A74" t="s">
        <v>80</v>
      </c>
      <c r="B74">
        <v>7.8272000000000008E-2</v>
      </c>
      <c r="C74">
        <v>6.4672000000000007E-2</v>
      </c>
      <c r="D74">
        <v>5.9272000000000005E-2</v>
      </c>
      <c r="E74">
        <v>4.1472000000000002E-2</v>
      </c>
      <c r="F74">
        <v>2.8372000000000001E-2</v>
      </c>
      <c r="G74">
        <v>7.1171999999999999E-2</v>
      </c>
      <c r="H74">
        <v>9.7719999999999994E-3</v>
      </c>
      <c r="I74" s="2">
        <f>B74-$S$3</f>
        <v>7.6772000000000007E-2</v>
      </c>
      <c r="J74" s="2">
        <f>C74-$S$3</f>
        <v>6.3172000000000006E-2</v>
      </c>
      <c r="K74" s="2">
        <f>D74-$S$3</f>
        <v>5.7772000000000004E-2</v>
      </c>
      <c r="L74" s="2">
        <f>E74-$S$3</f>
        <v>3.9972000000000001E-2</v>
      </c>
      <c r="M74" s="2">
        <f>F74-$S$3</f>
        <v>2.6872E-2</v>
      </c>
      <c r="N74" s="2">
        <f>G74-$S$3</f>
        <v>6.9671999999999998E-2</v>
      </c>
      <c r="O74" s="2">
        <f>H74-$S$3</f>
        <v>8.2719999999999998E-3</v>
      </c>
      <c r="P74" s="9">
        <f t="shared" si="11"/>
        <v>3.7161446459782706E-2</v>
      </c>
    </row>
    <row r="75" spans="1:16" x14ac:dyDescent="0.2">
      <c r="A75" t="s">
        <v>81</v>
      </c>
      <c r="B75">
        <v>-3.0936999999999999E-2</v>
      </c>
      <c r="C75">
        <v>-2.5836999999999999E-2</v>
      </c>
      <c r="D75">
        <v>-2.5937000000000002E-2</v>
      </c>
      <c r="E75">
        <v>-3.2937000000000001E-2</v>
      </c>
      <c r="F75">
        <v>9.1629999999999993E-3</v>
      </c>
      <c r="G75">
        <v>8.6300000000000005E-4</v>
      </c>
      <c r="H75">
        <v>-2.5637E-2</v>
      </c>
      <c r="I75" s="2">
        <f>B75-$S$3</f>
        <v>-3.2437000000000001E-2</v>
      </c>
      <c r="J75" s="2">
        <f>C75-$S$3</f>
        <v>-2.7337E-2</v>
      </c>
      <c r="K75" s="2">
        <f>D75-$S$3</f>
        <v>-2.7437000000000003E-2</v>
      </c>
      <c r="L75" s="2">
        <f>E75-$S$3</f>
        <v>-3.4437000000000002E-2</v>
      </c>
      <c r="M75" s="2">
        <f>F75-$S$3</f>
        <v>7.6629999999999997E-3</v>
      </c>
      <c r="N75" s="2">
        <f>G75-$S$3</f>
        <v>-6.3699999999999998E-4</v>
      </c>
      <c r="O75" s="2">
        <f>H75-$S$3</f>
        <v>-2.7137000000000001E-2</v>
      </c>
      <c r="P75" s="9">
        <f t="shared" si="11"/>
        <v>2.1102578514993874E-3</v>
      </c>
    </row>
    <row r="76" spans="1:16" x14ac:dyDescent="0.2">
      <c r="A76" t="s">
        <v>82</v>
      </c>
      <c r="B76">
        <v>-6.7570000000000009E-3</v>
      </c>
      <c r="C76">
        <v>-4.3757000000000004E-2</v>
      </c>
      <c r="D76">
        <v>6.7242999999999997E-2</v>
      </c>
      <c r="E76">
        <v>9.6429999999999988E-3</v>
      </c>
      <c r="F76">
        <v>-2.7757E-2</v>
      </c>
      <c r="G76">
        <v>-4.1156999999999999E-2</v>
      </c>
      <c r="H76">
        <v>5.7429999999999998E-3</v>
      </c>
      <c r="I76" s="2">
        <f>B76-$S$3</f>
        <v>-8.2570000000000005E-3</v>
      </c>
      <c r="J76" s="2">
        <f>C76-$S$3</f>
        <v>-4.5257000000000006E-2</v>
      </c>
      <c r="K76" s="2">
        <f>D76-$S$3</f>
        <v>6.5742999999999996E-2</v>
      </c>
      <c r="L76" s="2">
        <f>E76-$S$3</f>
        <v>8.1429999999999992E-3</v>
      </c>
      <c r="M76" s="2">
        <f>F76-$S$3</f>
        <v>-2.9257000000000002E-2</v>
      </c>
      <c r="N76" s="2">
        <f>G76-$S$3</f>
        <v>-4.2657E-2</v>
      </c>
      <c r="O76" s="2">
        <f>H76-$S$3</f>
        <v>4.2430000000000002E-3</v>
      </c>
      <c r="P76" s="9">
        <f t="shared" si="11"/>
        <v>-1.5949447607566176E-2</v>
      </c>
    </row>
    <row r="77" spans="1:16" x14ac:dyDescent="0.2">
      <c r="A77" t="s">
        <v>83</v>
      </c>
      <c r="B77">
        <v>1.4651999999999998E-2</v>
      </c>
      <c r="C77">
        <v>1.4952E-2</v>
      </c>
      <c r="D77">
        <v>-1.3448000000000002E-2</v>
      </c>
      <c r="E77">
        <v>1.3252E-2</v>
      </c>
      <c r="F77">
        <v>1.6351999999999998E-2</v>
      </c>
      <c r="G77">
        <v>-2.4480000000000005E-3</v>
      </c>
      <c r="H77">
        <v>3.8952000000000001E-2</v>
      </c>
      <c r="I77" s="2">
        <f>B77-$S$3</f>
        <v>1.3151999999999999E-2</v>
      </c>
      <c r="J77" s="2">
        <f>C77-$S$3</f>
        <v>1.3452E-2</v>
      </c>
      <c r="K77" s="2">
        <f>D77-$S$3</f>
        <v>-1.4948000000000001E-2</v>
      </c>
      <c r="L77" s="2">
        <f>E77-$S$3</f>
        <v>1.1752E-2</v>
      </c>
      <c r="M77" s="2">
        <f>F77-$S$3</f>
        <v>1.4851999999999999E-2</v>
      </c>
      <c r="N77" s="2">
        <f>G77-$S$3</f>
        <v>-3.9480000000000001E-3</v>
      </c>
      <c r="O77" s="2">
        <f>H77-$S$3</f>
        <v>3.7451999999999999E-2</v>
      </c>
      <c r="P77" s="9">
        <f t="shared" si="11"/>
        <v>1.1970064569879705E-2</v>
      </c>
    </row>
    <row r="78" spans="1:16" x14ac:dyDescent="0.2">
      <c r="A78" t="s">
        <v>84</v>
      </c>
      <c r="B78">
        <v>3.3253999999999999E-2</v>
      </c>
      <c r="C78">
        <v>-3.5646000000000004E-2</v>
      </c>
      <c r="D78">
        <v>6.3654000000000002E-2</v>
      </c>
      <c r="E78">
        <v>0.13605400000000001</v>
      </c>
      <c r="F78">
        <v>-6.0460000000000002E-3</v>
      </c>
      <c r="G78">
        <v>4.9653999999999997E-2</v>
      </c>
      <c r="H78">
        <v>2.8454E-2</v>
      </c>
      <c r="I78" s="2">
        <f>B78-$S$3</f>
        <v>3.1753999999999998E-2</v>
      </c>
      <c r="J78" s="2">
        <f>C78-$S$3</f>
        <v>-3.7146000000000005E-2</v>
      </c>
      <c r="K78" s="2">
        <f>D78-$S$3</f>
        <v>6.2154000000000001E-2</v>
      </c>
      <c r="L78" s="2">
        <f>E78-$S$3</f>
        <v>0.13455400000000001</v>
      </c>
      <c r="M78" s="2">
        <f>F78-$S$3</f>
        <v>-7.5460000000000006E-3</v>
      </c>
      <c r="N78" s="2">
        <f>G78-$S$3</f>
        <v>4.8153999999999995E-2</v>
      </c>
      <c r="O78" s="2">
        <f>H78-$S$3</f>
        <v>2.6953999999999999E-2</v>
      </c>
      <c r="P78" s="9">
        <f t="shared" si="11"/>
        <v>6.7177239772003822E-2</v>
      </c>
    </row>
    <row r="79" spans="1:16" x14ac:dyDescent="0.2">
      <c r="A79" t="s">
        <v>85</v>
      </c>
      <c r="B79">
        <v>0.125582</v>
      </c>
      <c r="C79">
        <v>0.25648200000000004</v>
      </c>
      <c r="D79">
        <v>-1.8000000000000654E-5</v>
      </c>
      <c r="E79">
        <v>-5.8117999999999996E-2</v>
      </c>
      <c r="F79">
        <v>6.781999999999999E-3</v>
      </c>
      <c r="G79">
        <v>1.4782E-2</v>
      </c>
      <c r="H79">
        <v>-2.1718000000000001E-2</v>
      </c>
      <c r="I79" s="2">
        <f>B79-$S$3</f>
        <v>0.124082</v>
      </c>
      <c r="J79" s="2">
        <f>C79-$S$3</f>
        <v>0.25498200000000004</v>
      </c>
      <c r="K79" s="2">
        <f>D79-$S$3</f>
        <v>-1.5180000000000007E-3</v>
      </c>
      <c r="L79" s="2">
        <f>E79-$S$3</f>
        <v>-5.9617999999999997E-2</v>
      </c>
      <c r="M79" s="2">
        <f>F79-$S$3</f>
        <v>5.2819999999999985E-3</v>
      </c>
      <c r="N79" s="2">
        <f>G79-$S$3</f>
        <v>1.3282E-2</v>
      </c>
      <c r="O79" s="2">
        <f>H79-$S$3</f>
        <v>-2.3218000000000003E-2</v>
      </c>
      <c r="P79" s="9">
        <f t="shared" si="11"/>
        <v>-9.683104897697184E-2</v>
      </c>
    </row>
    <row r="80" spans="1:16" x14ac:dyDescent="0.2">
      <c r="A80" t="s">
        <v>86</v>
      </c>
      <c r="B80">
        <v>-0.10056200000000001</v>
      </c>
      <c r="C80">
        <v>-0.14686199999999999</v>
      </c>
      <c r="D80">
        <v>-5.2061999999999997E-2</v>
      </c>
      <c r="E80">
        <v>4.1338E-2</v>
      </c>
      <c r="F80">
        <v>-4.8862000000000003E-2</v>
      </c>
      <c r="G80">
        <v>-5.1562000000000004E-2</v>
      </c>
      <c r="H80">
        <v>-3.5962000000000001E-2</v>
      </c>
      <c r="I80" s="2">
        <f>B80-$S$3</f>
        <v>-0.10206200000000001</v>
      </c>
      <c r="J80" s="2">
        <f>C80-$S$3</f>
        <v>-0.14836199999999999</v>
      </c>
      <c r="K80" s="2">
        <f>D80-$S$3</f>
        <v>-5.3561999999999999E-2</v>
      </c>
      <c r="L80" s="2">
        <f>E80-$S$3</f>
        <v>3.9837999999999998E-2</v>
      </c>
      <c r="M80" s="2">
        <f>F80-$S$3</f>
        <v>-5.0362000000000004E-2</v>
      </c>
      <c r="N80" s="2">
        <f>G80-$S$3</f>
        <v>-5.3062000000000005E-2</v>
      </c>
      <c r="O80" s="2">
        <f>H80-$S$3</f>
        <v>-3.7462000000000002E-2</v>
      </c>
      <c r="P80" s="9">
        <f t="shared" si="11"/>
        <v>2.8280109400643308E-3</v>
      </c>
    </row>
    <row r="81" spans="1:16" x14ac:dyDescent="0.2">
      <c r="A81" t="s">
        <v>87</v>
      </c>
      <c r="B81">
        <v>-8.6504999999999999E-2</v>
      </c>
      <c r="C81">
        <v>-4.7905000000000003E-2</v>
      </c>
      <c r="D81">
        <v>1.3895000000000001E-2</v>
      </c>
      <c r="E81">
        <v>-2.1604999999999999E-2</v>
      </c>
      <c r="F81">
        <v>-4.9904999999999998E-2</v>
      </c>
      <c r="G81">
        <v>8.6794999999999997E-2</v>
      </c>
      <c r="H81">
        <v>8.6949999999999996E-3</v>
      </c>
      <c r="I81" s="2">
        <f>B81-$S$3</f>
        <v>-8.8005E-2</v>
      </c>
      <c r="J81" s="2">
        <f>C81-$S$3</f>
        <v>-4.9405000000000004E-2</v>
      </c>
      <c r="K81" s="2">
        <f>D81-$S$3</f>
        <v>1.2395000000000002E-2</v>
      </c>
      <c r="L81" s="2">
        <f>E81-$S$3</f>
        <v>-2.3105000000000001E-2</v>
      </c>
      <c r="M81" s="2">
        <f>F81-$S$3</f>
        <v>-5.1404999999999999E-2</v>
      </c>
      <c r="N81" s="2">
        <f>G81-$S$3</f>
        <v>8.5294999999999996E-2</v>
      </c>
      <c r="O81" s="2">
        <f>H81-$S$3</f>
        <v>7.195E-3</v>
      </c>
      <c r="P81" s="9">
        <f t="shared" si="11"/>
        <v>3.8225468641094745E-2</v>
      </c>
    </row>
    <row r="82" spans="1:16" x14ac:dyDescent="0.2">
      <c r="A82" t="s">
        <v>88</v>
      </c>
      <c r="B82">
        <v>8.3752999999999994E-2</v>
      </c>
      <c r="C82">
        <v>0.190553</v>
      </c>
      <c r="D82">
        <v>5.7852999999999995E-2</v>
      </c>
      <c r="E82">
        <v>5.3952999999999994E-2</v>
      </c>
      <c r="F82">
        <v>-2.8470000000000001E-3</v>
      </c>
      <c r="G82">
        <v>-3.9147000000000001E-2</v>
      </c>
      <c r="H82">
        <v>3.2452999999999996E-2</v>
      </c>
      <c r="I82" s="2">
        <f>B82-$S$3</f>
        <v>8.2252999999999993E-2</v>
      </c>
      <c r="J82" s="2">
        <f>C82-$S$3</f>
        <v>0.189053</v>
      </c>
      <c r="K82" s="2">
        <f>D82-$S$3</f>
        <v>5.6352999999999993E-2</v>
      </c>
      <c r="L82" s="2">
        <f>E82-$S$3</f>
        <v>5.2452999999999993E-2</v>
      </c>
      <c r="M82" s="2">
        <f>F82-$S$3</f>
        <v>-4.3470000000000002E-3</v>
      </c>
      <c r="N82" s="2">
        <f>G82-$S$3</f>
        <v>-4.0647000000000003E-2</v>
      </c>
      <c r="O82" s="2">
        <f>H82-$S$3</f>
        <v>3.0952999999999994E-2</v>
      </c>
      <c r="P82" s="9">
        <f t="shared" si="11"/>
        <v>-7.7151817417821969E-2</v>
      </c>
    </row>
    <row r="83" spans="1:16" x14ac:dyDescent="0.2">
      <c r="A83" t="s">
        <v>89</v>
      </c>
      <c r="B83">
        <v>4.1588E-2</v>
      </c>
      <c r="C83">
        <v>6.4587999999999993E-2</v>
      </c>
      <c r="D83">
        <v>-7.2119999999999997E-3</v>
      </c>
      <c r="E83">
        <v>4.7087999999999998E-2</v>
      </c>
      <c r="F83">
        <v>3.2488000000000003E-2</v>
      </c>
      <c r="G83">
        <v>-3.8011999999999997E-2</v>
      </c>
      <c r="H83">
        <v>1.1588000000000001E-2</v>
      </c>
      <c r="I83" s="2">
        <f>B83-$S$3</f>
        <v>4.0087999999999999E-2</v>
      </c>
      <c r="J83" s="2">
        <f>C83-$S$3</f>
        <v>6.3087999999999991E-2</v>
      </c>
      <c r="K83" s="2">
        <f>D83-$S$3</f>
        <v>-8.7119999999999993E-3</v>
      </c>
      <c r="L83" s="2">
        <f>E83-$S$3</f>
        <v>4.5587999999999997E-2</v>
      </c>
      <c r="M83" s="2">
        <f>F83-$S$3</f>
        <v>3.0988000000000002E-2</v>
      </c>
      <c r="N83" s="2">
        <f>G83-$S$3</f>
        <v>-3.9511999999999999E-2</v>
      </c>
      <c r="O83" s="2">
        <f>H83-$S$3</f>
        <v>1.0088000000000001E-2</v>
      </c>
      <c r="P83" s="9">
        <f t="shared" si="11"/>
        <v>-1.9289120185494963E-2</v>
      </c>
    </row>
    <row r="84" spans="1:16" x14ac:dyDescent="0.2">
      <c r="A84" t="s">
        <v>90</v>
      </c>
      <c r="B84">
        <v>-0.156695</v>
      </c>
      <c r="C84">
        <v>-0.236095</v>
      </c>
      <c r="D84">
        <v>-8.9094999999999994E-2</v>
      </c>
      <c r="E84">
        <v>-6.5494999999999998E-2</v>
      </c>
      <c r="F84">
        <v>5.6104999999999995E-2</v>
      </c>
      <c r="G84">
        <v>-2.3494999999999999E-2</v>
      </c>
      <c r="H84">
        <v>-4.7395E-2</v>
      </c>
      <c r="I84" s="2">
        <f>B84-$S$3</f>
        <v>-0.158195</v>
      </c>
      <c r="J84" s="2">
        <f>C84-$S$3</f>
        <v>-0.237595</v>
      </c>
      <c r="K84" s="2">
        <f>D84-$S$3</f>
        <v>-9.0594999999999995E-2</v>
      </c>
      <c r="L84" s="2">
        <f>E84-$S$3</f>
        <v>-6.6994999999999999E-2</v>
      </c>
      <c r="M84" s="2">
        <f>F84-$S$3</f>
        <v>5.4604999999999994E-2</v>
      </c>
      <c r="N84" s="2">
        <f>G84-$S$3</f>
        <v>-2.4995E-2</v>
      </c>
      <c r="O84" s="2">
        <f>H84-$S$3</f>
        <v>-4.8895000000000001E-2</v>
      </c>
      <c r="P84" s="9">
        <f t="shared" si="11"/>
        <v>7.5175308105298988E-2</v>
      </c>
    </row>
    <row r="85" spans="1:16" x14ac:dyDescent="0.2">
      <c r="A85" t="s">
        <v>91</v>
      </c>
      <c r="B85">
        <v>-0.106821</v>
      </c>
      <c r="C85">
        <v>-0.168521</v>
      </c>
      <c r="D85">
        <v>8.4778999999999993E-2</v>
      </c>
      <c r="E85">
        <v>8.1790000000000005E-3</v>
      </c>
      <c r="F85">
        <v>-6.1209999999999997E-3</v>
      </c>
      <c r="G85">
        <v>-0.16912099999999999</v>
      </c>
      <c r="H85">
        <v>-1.1521E-2</v>
      </c>
      <c r="I85" s="2">
        <f>B85-$S$3</f>
        <v>-0.108321</v>
      </c>
      <c r="J85" s="2">
        <f>C85-$S$3</f>
        <v>-0.17002100000000001</v>
      </c>
      <c r="K85" s="2">
        <f>D85-$S$3</f>
        <v>8.3278999999999992E-2</v>
      </c>
      <c r="L85" s="2">
        <f>E85-$S$3</f>
        <v>6.6790000000000009E-3</v>
      </c>
      <c r="M85" s="2">
        <f>F85-$S$3</f>
        <v>-7.6209999999999993E-3</v>
      </c>
      <c r="N85" s="2">
        <f>G85-$S$3</f>
        <v>-0.17062099999999999</v>
      </c>
      <c r="O85" s="2">
        <f>H85-$S$3</f>
        <v>-1.3021E-2</v>
      </c>
      <c r="P85" s="9">
        <f t="shared" si="11"/>
        <v>-3.7251977023890326E-2</v>
      </c>
    </row>
    <row r="86" spans="1:16" x14ac:dyDescent="0.2">
      <c r="A86" t="s">
        <v>92</v>
      </c>
      <c r="B86">
        <v>-1.583E-2</v>
      </c>
      <c r="C86">
        <v>0.13097</v>
      </c>
      <c r="D86">
        <v>-6.6830000000000001E-2</v>
      </c>
      <c r="E86">
        <v>-0.10453</v>
      </c>
      <c r="F86">
        <v>6.5070000000000003E-2</v>
      </c>
      <c r="G86">
        <v>0.10596999999999999</v>
      </c>
      <c r="H86">
        <v>-6.3629999999999992E-2</v>
      </c>
      <c r="I86" s="2">
        <f>B86-$S$3</f>
        <v>-1.7330000000000002E-2</v>
      </c>
      <c r="J86" s="2">
        <f>C86-$S$3</f>
        <v>0.12947</v>
      </c>
      <c r="K86" s="2">
        <f>D86-$S$3</f>
        <v>-6.8330000000000002E-2</v>
      </c>
      <c r="L86" s="2">
        <f>E86-$S$3</f>
        <v>-0.10603</v>
      </c>
      <c r="M86" s="2">
        <f>F86-$S$3</f>
        <v>6.3570000000000002E-2</v>
      </c>
      <c r="N86" s="2">
        <f>G86-$S$3</f>
        <v>0.10446999999999999</v>
      </c>
      <c r="O86" s="2">
        <f>H86-$S$3</f>
        <v>-6.5129999999999993E-2</v>
      </c>
      <c r="P86" s="9">
        <f t="shared" si="11"/>
        <v>3.0752862688496925E-3</v>
      </c>
    </row>
    <row r="87" spans="1:16" x14ac:dyDescent="0.2">
      <c r="A87" t="s">
        <v>93</v>
      </c>
      <c r="B87">
        <v>-1.7925E-2</v>
      </c>
      <c r="C87">
        <v>-0.168325</v>
      </c>
      <c r="D87">
        <v>-9.6425000000000011E-2</v>
      </c>
      <c r="E87">
        <v>-6.5925000000000011E-2</v>
      </c>
      <c r="F87">
        <v>-2.4025000000000001E-2</v>
      </c>
      <c r="G87">
        <v>-4.9525E-2</v>
      </c>
      <c r="H87">
        <v>-3.6124999999999997E-2</v>
      </c>
      <c r="I87" s="2">
        <f>B87-$S$3</f>
        <v>-1.9425000000000001E-2</v>
      </c>
      <c r="J87" s="2">
        <f>C87-$S$3</f>
        <v>-0.169825</v>
      </c>
      <c r="K87" s="2">
        <f>D87-$S$3</f>
        <v>-9.7925000000000012E-2</v>
      </c>
      <c r="L87" s="2">
        <f>E87-$S$3</f>
        <v>-6.7425000000000013E-2</v>
      </c>
      <c r="M87" s="2">
        <f>F87-$S$3</f>
        <v>-2.5525000000000003E-2</v>
      </c>
      <c r="N87" s="2">
        <f>G87-$S$3</f>
        <v>-5.1025000000000001E-2</v>
      </c>
      <c r="O87" s="2">
        <f>H87-$S$3</f>
        <v>-3.7624999999999999E-2</v>
      </c>
      <c r="P87" s="9">
        <f t="shared" si="11"/>
        <v>1.0469716722489773E-2</v>
      </c>
    </row>
    <row r="88" spans="1:16" x14ac:dyDescent="0.2">
      <c r="A88" t="s">
        <v>94</v>
      </c>
      <c r="B88">
        <v>-0.12586900000000001</v>
      </c>
      <c r="C88">
        <v>-0.18356900000000001</v>
      </c>
      <c r="D88">
        <v>9.7730999999999998E-2</v>
      </c>
      <c r="E88">
        <v>1.7309999999999997E-3</v>
      </c>
      <c r="F88">
        <v>6.5431000000000003E-2</v>
      </c>
      <c r="G88">
        <v>-3.8569000000000006E-2</v>
      </c>
      <c r="H88">
        <v>-7.869000000000001E-3</v>
      </c>
      <c r="I88" s="2">
        <f>B88-$S$3</f>
        <v>-0.12736900000000001</v>
      </c>
      <c r="J88" s="2">
        <f>C88-$S$3</f>
        <v>-0.18506900000000001</v>
      </c>
      <c r="K88" s="2">
        <f>D88-$S$3</f>
        <v>9.6230999999999997E-2</v>
      </c>
      <c r="L88" s="2">
        <f>E88-$S$3</f>
        <v>2.3099999999999965E-4</v>
      </c>
      <c r="M88" s="2">
        <f>F88-$S$3</f>
        <v>6.3931000000000002E-2</v>
      </c>
      <c r="N88" s="2">
        <f>G88-$S$3</f>
        <v>-4.0069000000000007E-2</v>
      </c>
      <c r="O88" s="2">
        <f>H88-$S$3</f>
        <v>-9.3690000000000006E-3</v>
      </c>
      <c r="P88" s="9">
        <f t="shared" si="11"/>
        <v>6.8199933897689274E-2</v>
      </c>
    </row>
    <row r="89" spans="1:16" x14ac:dyDescent="0.2">
      <c r="A89" t="s">
        <v>95</v>
      </c>
      <c r="B89">
        <v>0.443075</v>
      </c>
      <c r="C89">
        <v>0.216775</v>
      </c>
      <c r="D89">
        <v>2.0074999999999999E-2</v>
      </c>
      <c r="E89">
        <v>7.1175000000000002E-2</v>
      </c>
      <c r="F89">
        <v>9.9574999999999997E-2</v>
      </c>
      <c r="G89">
        <v>4.7275000000000005E-2</v>
      </c>
      <c r="H89">
        <v>4.6475000000000002E-2</v>
      </c>
      <c r="I89" s="2">
        <f>B89-$S$3</f>
        <v>0.441575</v>
      </c>
      <c r="J89" s="2">
        <f>C89-$S$3</f>
        <v>0.21527499999999999</v>
      </c>
      <c r="K89" s="2">
        <f>D89-$S$3</f>
        <v>1.8574999999999998E-2</v>
      </c>
      <c r="L89" s="2">
        <f>E89-$S$3</f>
        <v>6.9675000000000001E-2</v>
      </c>
      <c r="M89" s="2">
        <f>F89-$S$3</f>
        <v>9.8074999999999996E-2</v>
      </c>
      <c r="N89" s="2">
        <f>G89-$S$3</f>
        <v>4.5775000000000003E-2</v>
      </c>
      <c r="O89" s="2">
        <f>H89-$S$3</f>
        <v>4.4975000000000001E-2</v>
      </c>
      <c r="P89" s="9">
        <f t="shared" si="11"/>
        <v>2.7995196310052286E-2</v>
      </c>
    </row>
    <row r="90" spans="1:16" x14ac:dyDescent="0.2">
      <c r="A90" t="s">
        <v>96</v>
      </c>
      <c r="B90">
        <v>-0.17774600000000002</v>
      </c>
      <c r="C90">
        <v>-0.25474600000000003</v>
      </c>
      <c r="D90">
        <v>2.9754000000000003E-2</v>
      </c>
      <c r="E90">
        <v>-1.2459999999999999E-3</v>
      </c>
      <c r="F90">
        <v>-9.4600000000000001E-4</v>
      </c>
      <c r="G90">
        <v>5.9540000000000001E-3</v>
      </c>
      <c r="H90">
        <v>9.7539999999999988E-3</v>
      </c>
      <c r="I90" s="2">
        <f>B90-$S$3</f>
        <v>-0.17924600000000002</v>
      </c>
      <c r="J90" s="2">
        <f>C90-$S$3</f>
        <v>-0.25624600000000003</v>
      </c>
      <c r="K90" s="2">
        <f>D90-$S$3</f>
        <v>2.8254000000000001E-2</v>
      </c>
      <c r="L90" s="2">
        <f>E90-$S$3</f>
        <v>-2.7460000000000002E-3</v>
      </c>
      <c r="M90" s="2">
        <f>F90-$S$3</f>
        <v>-2.4460000000000003E-3</v>
      </c>
      <c r="N90" s="2">
        <f>G90-$S$3</f>
        <v>4.4539999999999996E-3</v>
      </c>
      <c r="O90" s="2">
        <f>H90-$S$3</f>
        <v>8.2539999999999992E-3</v>
      </c>
      <c r="P90" s="9">
        <f t="shared" si="11"/>
        <v>9.4171784350185236E-2</v>
      </c>
    </row>
    <row r="91" spans="1:16" x14ac:dyDescent="0.2">
      <c r="A91" t="s">
        <v>97</v>
      </c>
      <c r="B91">
        <v>-0.29435</v>
      </c>
      <c r="C91">
        <v>-0.32924999999999999</v>
      </c>
      <c r="D91">
        <v>-0.15734999999999999</v>
      </c>
      <c r="E91">
        <v>-8.1549999999999997E-2</v>
      </c>
      <c r="F91">
        <v>-2.8450000000000003E-2</v>
      </c>
      <c r="G91">
        <v>-0.13045000000000001</v>
      </c>
      <c r="H91">
        <v>-8.7749999999999995E-2</v>
      </c>
      <c r="I91" s="2">
        <f>B91-$S$3</f>
        <v>-0.29585</v>
      </c>
      <c r="J91" s="2">
        <f>C91-$S$3</f>
        <v>-0.33074999999999999</v>
      </c>
      <c r="K91" s="2">
        <f>D91-$S$3</f>
        <v>-0.15884999999999999</v>
      </c>
      <c r="L91" s="2">
        <f>E91-$S$3</f>
        <v>-8.3049999999999999E-2</v>
      </c>
      <c r="M91" s="2">
        <f>F91-$S$3</f>
        <v>-2.9950000000000004E-2</v>
      </c>
      <c r="N91" s="2">
        <f>G91-$S$3</f>
        <v>-0.13195000000000001</v>
      </c>
      <c r="O91" s="2">
        <f>H91-$S$3</f>
        <v>-8.9249999999999996E-2</v>
      </c>
      <c r="P91" s="9">
        <f t="shared" si="11"/>
        <v>1.1775247919599413E-4</v>
      </c>
    </row>
    <row r="92" spans="1:16" x14ac:dyDescent="0.2">
      <c r="A92" t="s">
        <v>98</v>
      </c>
      <c r="B92">
        <v>-3.5399999999999997E-3</v>
      </c>
      <c r="C92">
        <v>-3.884E-2</v>
      </c>
      <c r="D92">
        <v>-7.5839999999999991E-2</v>
      </c>
      <c r="E92">
        <v>-2.8140000000000002E-2</v>
      </c>
      <c r="F92">
        <v>4.1660000000000003E-2</v>
      </c>
      <c r="G92">
        <v>-2.8539999999999999E-2</v>
      </c>
      <c r="H92">
        <v>-1.1340000000000001E-2</v>
      </c>
      <c r="I92" s="2">
        <f>B92-$S$3</f>
        <v>-5.0399999999999993E-3</v>
      </c>
      <c r="J92" s="2">
        <f>C92-$S$3</f>
        <v>-4.0340000000000001E-2</v>
      </c>
      <c r="K92" s="2">
        <f>D92-$S$3</f>
        <v>-7.7339999999999992E-2</v>
      </c>
      <c r="L92" s="2">
        <f>E92-$S$3</f>
        <v>-2.9640000000000003E-2</v>
      </c>
      <c r="M92" s="2">
        <f>F92-$S$3</f>
        <v>4.0160000000000001E-2</v>
      </c>
      <c r="N92" s="2">
        <f>G92-$S$3</f>
        <v>-3.0040000000000001E-2</v>
      </c>
      <c r="O92" s="2">
        <f>H92-$S$3</f>
        <v>-1.2840000000000001E-2</v>
      </c>
      <c r="P92" s="9">
        <f t="shared" si="11"/>
        <v>1.1562581559253564E-2</v>
      </c>
    </row>
    <row r="93" spans="1:16" x14ac:dyDescent="0.2">
      <c r="A93" t="s">
        <v>99</v>
      </c>
      <c r="B93">
        <v>-7.2082000000000007E-2</v>
      </c>
      <c r="C93">
        <v>-9.7982E-2</v>
      </c>
      <c r="D93">
        <v>3.7018000000000002E-2</v>
      </c>
      <c r="E93">
        <v>3.0418000000000001E-2</v>
      </c>
      <c r="F93">
        <v>1.0518E-2</v>
      </c>
      <c r="G93">
        <v>0.17471799999999998</v>
      </c>
      <c r="H93">
        <v>1.0918000000000001E-2</v>
      </c>
      <c r="I93" s="2">
        <f>B93-$S$3</f>
        <v>-7.3582000000000009E-2</v>
      </c>
      <c r="J93" s="2">
        <f>C93-$S$3</f>
        <v>-9.9482000000000001E-2</v>
      </c>
      <c r="K93" s="2">
        <f>D93-$S$3</f>
        <v>3.5518000000000001E-2</v>
      </c>
      <c r="L93" s="2">
        <f>E93-$S$3</f>
        <v>2.8917999999999999E-2</v>
      </c>
      <c r="M93" s="2">
        <f>F93-$S$3</f>
        <v>9.018E-3</v>
      </c>
      <c r="N93" s="2">
        <f>G93-$S$3</f>
        <v>0.17321799999999998</v>
      </c>
      <c r="O93" s="2">
        <f>H93-$S$3</f>
        <v>9.418000000000001E-3</v>
      </c>
      <c r="P93" s="9">
        <f t="shared" si="11"/>
        <v>0.14013945913826598</v>
      </c>
    </row>
    <row r="94" spans="1:16" x14ac:dyDescent="0.2">
      <c r="A94" t="s">
        <v>100</v>
      </c>
      <c r="B94">
        <v>0.16436999999999999</v>
      </c>
      <c r="C94">
        <v>-5.6529999999999997E-2</v>
      </c>
      <c r="D94">
        <v>-0.12873000000000001</v>
      </c>
      <c r="E94">
        <v>-8.7830000000000005E-2</v>
      </c>
      <c r="F94">
        <v>1.2369999999999999E-2</v>
      </c>
      <c r="G94">
        <v>-7.6429999999999998E-2</v>
      </c>
      <c r="H94">
        <v>-9.2330000000000009E-2</v>
      </c>
      <c r="I94" s="2">
        <f>B94-$S$3</f>
        <v>0.16286999999999999</v>
      </c>
      <c r="J94" s="2">
        <f>C94-$S$3</f>
        <v>-5.8029999999999998E-2</v>
      </c>
      <c r="K94" s="2">
        <f>D94-$S$3</f>
        <v>-0.13023000000000001</v>
      </c>
      <c r="L94" s="2">
        <f>E94-$S$3</f>
        <v>-8.9330000000000007E-2</v>
      </c>
      <c r="M94" s="2">
        <f>F94-$S$3</f>
        <v>1.0869999999999999E-2</v>
      </c>
      <c r="N94" s="2">
        <f>G94-$S$3</f>
        <v>-7.7929999999999999E-2</v>
      </c>
      <c r="O94" s="2">
        <f>H94-$S$3</f>
        <v>-9.3830000000000011E-2</v>
      </c>
      <c r="P94" s="9">
        <f t="shared" si="11"/>
        <v>-3.865586384263036E-2</v>
      </c>
    </row>
    <row r="95" spans="1:16" x14ac:dyDescent="0.2">
      <c r="A95" t="s">
        <v>101</v>
      </c>
      <c r="B95">
        <v>-0.579592</v>
      </c>
      <c r="C95">
        <v>-0.38809199999999999</v>
      </c>
      <c r="D95">
        <v>-2.6492000000000002E-2</v>
      </c>
      <c r="E95">
        <v>-6.0892000000000002E-2</v>
      </c>
      <c r="F95">
        <v>-6.8891999999999995E-2</v>
      </c>
      <c r="G95">
        <v>-0.182892</v>
      </c>
      <c r="H95">
        <v>-0.17019199999999998</v>
      </c>
      <c r="I95" s="2">
        <f>B95-$S$3</f>
        <v>-0.58109199999999994</v>
      </c>
      <c r="J95" s="2">
        <f>C95-$S$3</f>
        <v>-0.38959199999999999</v>
      </c>
      <c r="K95" s="2">
        <f>D95-$S$3</f>
        <v>-2.7992000000000003E-2</v>
      </c>
      <c r="L95" s="2">
        <f>E95-$S$3</f>
        <v>-6.2392000000000003E-2</v>
      </c>
      <c r="M95" s="2">
        <f>F95-$S$3</f>
        <v>-7.0391999999999996E-2</v>
      </c>
      <c r="N95" s="2">
        <f>G95-$S$3</f>
        <v>-0.184392</v>
      </c>
      <c r="O95" s="2">
        <f>H95-$S$3</f>
        <v>-0.17169199999999998</v>
      </c>
      <c r="P95" s="9">
        <f t="shared" si="11"/>
        <v>-5.548575919490923E-2</v>
      </c>
    </row>
    <row r="96" spans="1:16" x14ac:dyDescent="0.2">
      <c r="A96" t="s">
        <v>102</v>
      </c>
      <c r="B96">
        <v>0.228072</v>
      </c>
      <c r="C96">
        <v>-9.5228000000000007E-2</v>
      </c>
      <c r="D96">
        <v>6.6671999999999995E-2</v>
      </c>
      <c r="E96">
        <v>0.100172</v>
      </c>
      <c r="F96">
        <v>1.072E-3</v>
      </c>
      <c r="G96">
        <v>-0.154228</v>
      </c>
      <c r="H96">
        <v>-7.5028000000000011E-2</v>
      </c>
      <c r="I96" s="2">
        <f>B96-$S$3</f>
        <v>0.226572</v>
      </c>
      <c r="J96" s="2">
        <f>C96-$S$3</f>
        <v>-9.6728000000000008E-2</v>
      </c>
      <c r="K96" s="2">
        <f>D96-$S$3</f>
        <v>6.5171999999999994E-2</v>
      </c>
      <c r="L96" s="2">
        <f>E96-$S$3</f>
        <v>9.8671999999999996E-2</v>
      </c>
      <c r="M96" s="2">
        <f>F96-$S$3</f>
        <v>-4.28E-4</v>
      </c>
      <c r="N96" s="2">
        <f>G96-$S$3</f>
        <v>-0.15572800000000001</v>
      </c>
      <c r="O96" s="2">
        <f>H96-$S$3</f>
        <v>-7.6528000000000013E-2</v>
      </c>
      <c r="P96" s="9">
        <f t="shared" si="11"/>
        <v>-3.6909949494149406E-2</v>
      </c>
    </row>
    <row r="97" spans="1:16" x14ac:dyDescent="0.2">
      <c r="A97" t="s">
        <v>103</v>
      </c>
      <c r="B97">
        <v>-0.148729</v>
      </c>
      <c r="C97">
        <v>-0.38932899999999998</v>
      </c>
      <c r="D97">
        <v>-2.1289999999999998E-3</v>
      </c>
      <c r="E97">
        <v>3.8270999999999999E-2</v>
      </c>
      <c r="F97">
        <v>7.5709999999999996E-3</v>
      </c>
      <c r="G97">
        <v>2.2771E-2</v>
      </c>
      <c r="H97">
        <v>7.7709999999999993E-3</v>
      </c>
      <c r="I97" s="2">
        <f>B97-$S$3</f>
        <v>-0.150229</v>
      </c>
      <c r="J97" s="2">
        <f>C97-$S$3</f>
        <v>-0.39082899999999998</v>
      </c>
      <c r="K97" s="2">
        <f>D97-$S$3</f>
        <v>-3.6289999999999998E-3</v>
      </c>
      <c r="L97" s="2">
        <f>E97-$S$3</f>
        <v>3.6770999999999998E-2</v>
      </c>
      <c r="M97" s="2">
        <f>F97-$S$3</f>
        <v>6.071E-3</v>
      </c>
      <c r="N97" s="2">
        <f>G97-$S$3</f>
        <v>2.1270999999999998E-2</v>
      </c>
      <c r="O97" s="2">
        <f>H97-$S$3</f>
        <v>6.2709999999999988E-3</v>
      </c>
      <c r="P97" s="9">
        <f t="shared" si="11"/>
        <v>0.16728906316564288</v>
      </c>
    </row>
    <row r="98" spans="1:16" x14ac:dyDescent="0.2">
      <c r="A98" t="s">
        <v>104</v>
      </c>
      <c r="B98">
        <v>-0.183423</v>
      </c>
      <c r="C98">
        <v>-5.9423000000000004E-2</v>
      </c>
      <c r="D98">
        <v>-0.123123</v>
      </c>
      <c r="E98">
        <v>-0.106223</v>
      </c>
      <c r="F98">
        <v>-0.159523</v>
      </c>
      <c r="G98">
        <v>-9.6422999999999995E-2</v>
      </c>
      <c r="H98">
        <v>-8.5722999999999994E-2</v>
      </c>
      <c r="I98" s="2">
        <f>B98-$S$3</f>
        <v>-0.184923</v>
      </c>
      <c r="J98" s="2">
        <f>C98-$S$3</f>
        <v>-6.0923000000000005E-2</v>
      </c>
      <c r="K98" s="2">
        <f>D98-$S$3</f>
        <v>-0.124623</v>
      </c>
      <c r="L98" s="2">
        <f>E98-$S$3</f>
        <v>-0.107723</v>
      </c>
      <c r="M98" s="2">
        <f>F98-$S$3</f>
        <v>-0.161023</v>
      </c>
      <c r="N98" s="2">
        <f>G98-$S$3</f>
        <v>-9.7922999999999996E-2</v>
      </c>
      <c r="O98" s="2">
        <f>H98-$S$3</f>
        <v>-8.7222999999999995E-2</v>
      </c>
      <c r="P98" s="9">
        <f t="shared" si="11"/>
        <v>-0.14055247785316727</v>
      </c>
    </row>
    <row r="99" spans="1:16" x14ac:dyDescent="0.2">
      <c r="A99" t="s">
        <v>105</v>
      </c>
      <c r="B99">
        <v>6.9353000000000012E-2</v>
      </c>
      <c r="C99">
        <v>-0.25264700000000001</v>
      </c>
      <c r="D99">
        <v>-3.4647000000000004E-2</v>
      </c>
      <c r="E99">
        <v>-4.5047000000000004E-2</v>
      </c>
      <c r="F99">
        <v>4.4852999999999997E-2</v>
      </c>
      <c r="G99">
        <v>-8.7846999999999995E-2</v>
      </c>
      <c r="H99">
        <v>-0.11004699999999999</v>
      </c>
      <c r="I99" s="2">
        <f>B99-$S$3</f>
        <v>6.7853000000000011E-2</v>
      </c>
      <c r="J99" s="2">
        <f>C99-$S$3</f>
        <v>-0.25414700000000001</v>
      </c>
      <c r="K99" s="2">
        <f>D99-$S$3</f>
        <v>-3.6147000000000006E-2</v>
      </c>
      <c r="L99" s="2">
        <f>E99-$S$3</f>
        <v>-4.6547000000000005E-2</v>
      </c>
      <c r="M99" s="2">
        <f>F99-$S$3</f>
        <v>4.3352999999999996E-2</v>
      </c>
      <c r="N99" s="2">
        <f>G99-$S$3</f>
        <v>-8.9346999999999996E-2</v>
      </c>
      <c r="O99" s="2">
        <f>H99-$S$3</f>
        <v>-0.11154699999999999</v>
      </c>
      <c r="P99" s="9">
        <f t="shared" si="11"/>
        <v>4.1181555627766403E-2</v>
      </c>
    </row>
    <row r="100" spans="1:16" x14ac:dyDescent="0.2">
      <c r="A100" t="s">
        <v>106</v>
      </c>
      <c r="B100">
        <v>0.31484099999999998</v>
      </c>
      <c r="C100">
        <v>-0.137959</v>
      </c>
      <c r="D100">
        <v>6.0040999999999997E-2</v>
      </c>
      <c r="E100">
        <v>5.8341000000000004E-2</v>
      </c>
      <c r="F100">
        <v>6.4040999999999987E-2</v>
      </c>
      <c r="G100">
        <v>0.214641</v>
      </c>
      <c r="H100">
        <v>8.5240999999999997E-2</v>
      </c>
      <c r="I100" s="2">
        <f>B100-$S$3</f>
        <v>0.31334099999999998</v>
      </c>
      <c r="J100" s="2">
        <f>C100-$S$3</f>
        <v>-0.139459</v>
      </c>
      <c r="K100" s="2">
        <f>D100-$S$3</f>
        <v>5.8540999999999996E-2</v>
      </c>
      <c r="L100" s="2">
        <f>E100-$S$3</f>
        <v>5.6841000000000003E-2</v>
      </c>
      <c r="M100" s="2">
        <f>F100-$S$3</f>
        <v>6.2540999999999985E-2</v>
      </c>
      <c r="N100" s="2">
        <f>G100-$S$3</f>
        <v>0.213141</v>
      </c>
      <c r="O100" s="2">
        <f>H100-$S$3</f>
        <v>8.3740999999999996E-2</v>
      </c>
      <c r="P100" s="9">
        <f t="shared" si="11"/>
        <v>0.24081655081270001</v>
      </c>
    </row>
    <row r="101" spans="1:16" x14ac:dyDescent="0.2">
      <c r="A101" t="s">
        <v>107</v>
      </c>
      <c r="B101">
        <v>1.2736750000000001</v>
      </c>
      <c r="C101">
        <v>-1.0425E-2</v>
      </c>
      <c r="D101">
        <v>3.2875000000000001E-2</v>
      </c>
      <c r="E101">
        <v>1.9074999999999998E-2</v>
      </c>
      <c r="F101">
        <v>-3.2724999999999997E-2</v>
      </c>
      <c r="G101">
        <v>0.19967500000000002</v>
      </c>
      <c r="H101">
        <v>9.3774999999999997E-2</v>
      </c>
      <c r="I101" s="2">
        <f>B101-$S$3</f>
        <v>1.2721750000000001</v>
      </c>
      <c r="J101" s="2">
        <f>C101-$S$3</f>
        <v>-1.1925E-2</v>
      </c>
      <c r="K101" s="2">
        <f>D101-$S$3</f>
        <v>3.1375E-2</v>
      </c>
      <c r="L101" s="2">
        <f>E101-$S$3</f>
        <v>1.7574999999999997E-2</v>
      </c>
      <c r="M101" s="2">
        <f>F101-$S$3</f>
        <v>-3.4224999999999998E-2</v>
      </c>
      <c r="N101" s="2">
        <f>G101-$S$3</f>
        <v>0.19817500000000002</v>
      </c>
      <c r="O101" s="2">
        <f>H101-$S$3</f>
        <v>9.2274999999999996E-2</v>
      </c>
      <c r="P101" s="9">
        <f t="shared" si="11"/>
        <v>0.1869113778577686</v>
      </c>
    </row>
    <row r="102" spans="1:16" x14ac:dyDescent="0.2">
      <c r="A102" t="s">
        <v>108</v>
      </c>
      <c r="B102">
        <v>-3.8517000000000003E-2</v>
      </c>
      <c r="C102">
        <v>-0.6094170000000001</v>
      </c>
      <c r="D102">
        <v>-3.2417000000000001E-2</v>
      </c>
      <c r="E102">
        <v>-3.5617000000000003E-2</v>
      </c>
      <c r="F102">
        <v>-7.7169999999999999E-3</v>
      </c>
      <c r="G102">
        <v>-4.3917000000000005E-2</v>
      </c>
      <c r="H102">
        <v>5.3082999999999998E-2</v>
      </c>
      <c r="I102" s="2">
        <f>B102-$S$3</f>
        <v>-4.0017000000000004E-2</v>
      </c>
      <c r="J102" s="2">
        <f>C102-$S$3</f>
        <v>-0.61091700000000004</v>
      </c>
      <c r="K102" s="2">
        <f>D102-$S$3</f>
        <v>-3.3917000000000003E-2</v>
      </c>
      <c r="L102" s="2">
        <f>E102-$S$3</f>
        <v>-3.7117000000000004E-2</v>
      </c>
      <c r="M102" s="2">
        <f>F102-$S$3</f>
        <v>-9.2169999999999995E-3</v>
      </c>
      <c r="N102" s="2">
        <f>G102-$S$3</f>
        <v>-4.5417000000000006E-2</v>
      </c>
      <c r="O102" s="2">
        <f>H102-$S$3</f>
        <v>5.1582999999999997E-2</v>
      </c>
      <c r="P102" s="9">
        <f t="shared" si="11"/>
        <v>0.21485373432355376</v>
      </c>
    </row>
    <row r="103" spans="1:16" x14ac:dyDescent="0.2">
      <c r="A103" t="s">
        <v>109</v>
      </c>
      <c r="B103">
        <v>5.5625000000000001E-2</v>
      </c>
      <c r="C103">
        <v>5.0125000000000003E-2</v>
      </c>
      <c r="D103">
        <v>1.9250000000000001E-3</v>
      </c>
      <c r="E103">
        <v>5.0125000000000003E-2</v>
      </c>
      <c r="F103">
        <v>-2.6175E-2</v>
      </c>
      <c r="G103">
        <v>4.2249999999999996E-3</v>
      </c>
      <c r="H103">
        <v>1.25E-4</v>
      </c>
      <c r="I103" s="2">
        <f>B103-$S$3</f>
        <v>5.4125E-2</v>
      </c>
      <c r="J103" s="2">
        <f>C103-$S$3</f>
        <v>4.8625000000000002E-2</v>
      </c>
      <c r="K103" s="2">
        <f>D103-$S$3</f>
        <v>4.2500000000000003E-4</v>
      </c>
      <c r="L103" s="2">
        <f>E103-$S$3</f>
        <v>4.8625000000000002E-2</v>
      </c>
      <c r="M103" s="2">
        <f>F103-$S$3</f>
        <v>-2.7675000000000002E-2</v>
      </c>
      <c r="N103" s="2">
        <f>G103-$S$3</f>
        <v>2.7249999999999996E-3</v>
      </c>
      <c r="O103" s="2">
        <f>H103-$S$3</f>
        <v>-1.3749999999999999E-3</v>
      </c>
      <c r="P103" s="9">
        <f t="shared" si="11"/>
        <v>-1.7333660991518566E-2</v>
      </c>
    </row>
    <row r="104" spans="1:16" x14ac:dyDescent="0.2">
      <c r="A104" t="s">
        <v>110</v>
      </c>
      <c r="B104">
        <v>0.31788100000000002</v>
      </c>
      <c r="C104">
        <v>6.0281000000000001E-2</v>
      </c>
      <c r="D104">
        <v>7.4281E-2</v>
      </c>
      <c r="E104">
        <v>6.0281000000000001E-2</v>
      </c>
      <c r="F104">
        <v>2.9581E-2</v>
      </c>
      <c r="G104">
        <v>0.104981</v>
      </c>
      <c r="H104">
        <v>7.3981000000000005E-2</v>
      </c>
      <c r="I104" s="2">
        <f>B104-$S$3</f>
        <v>0.31638100000000002</v>
      </c>
      <c r="J104" s="2">
        <f>C104-$S$3</f>
        <v>5.8781E-2</v>
      </c>
      <c r="K104" s="2">
        <f>D104-$S$3</f>
        <v>7.2780999999999998E-2</v>
      </c>
      <c r="L104" s="2">
        <f>E104-$S$3</f>
        <v>5.8781E-2</v>
      </c>
      <c r="M104" s="2">
        <f>F104-$S$3</f>
        <v>2.8080999999999998E-2</v>
      </c>
      <c r="N104" s="2">
        <f>G104-$S$3</f>
        <v>0.103481</v>
      </c>
      <c r="O104" s="2">
        <f>H104-$S$3</f>
        <v>7.2481000000000004E-2</v>
      </c>
      <c r="P104" s="9">
        <f t="shared" si="11"/>
        <v>8.7382323390064243E-2</v>
      </c>
    </row>
    <row r="105" spans="1:16" x14ac:dyDescent="0.2">
      <c r="A105" t="s">
        <v>111</v>
      </c>
      <c r="B105">
        <v>-5.0116000000000001E-2</v>
      </c>
      <c r="C105">
        <v>-3.2215999999999995E-2</v>
      </c>
      <c r="D105">
        <v>-7.0159999999999997E-3</v>
      </c>
      <c r="E105">
        <v>-3.2215999999999995E-2</v>
      </c>
      <c r="F105">
        <v>2.5283999999999997E-2</v>
      </c>
      <c r="G105">
        <v>8.1484000000000001E-2</v>
      </c>
      <c r="H105">
        <v>3.3484E-2</v>
      </c>
      <c r="I105" s="2">
        <f>B105-$S$3</f>
        <v>-5.1616000000000002E-2</v>
      </c>
      <c r="J105" s="2">
        <f>C105-$S$3</f>
        <v>-3.3715999999999996E-2</v>
      </c>
      <c r="K105" s="2">
        <f>D105-$S$3</f>
        <v>-8.5159999999999993E-3</v>
      </c>
      <c r="L105" s="2">
        <f>E105-$S$3</f>
        <v>-3.3715999999999996E-2</v>
      </c>
      <c r="M105" s="2">
        <f>F105-$S$3</f>
        <v>2.3783999999999996E-2</v>
      </c>
      <c r="N105" s="2">
        <f>G105-$S$3</f>
        <v>7.9984E-2</v>
      </c>
      <c r="O105" s="2">
        <f>H105-$S$3</f>
        <v>3.1983999999999999E-2</v>
      </c>
      <c r="P105" s="9">
        <f t="shared" si="11"/>
        <v>6.7450359922416186E-2</v>
      </c>
    </row>
    <row r="106" spans="1:16" x14ac:dyDescent="0.2">
      <c r="A106" t="s">
        <v>112</v>
      </c>
      <c r="B106">
        <v>-5.1379000000000001E-2</v>
      </c>
      <c r="C106">
        <v>-2.4878999999999998E-2</v>
      </c>
      <c r="D106">
        <v>3.6821E-2</v>
      </c>
      <c r="E106">
        <v>-2.4878999999999998E-2</v>
      </c>
      <c r="F106">
        <v>-3.5079000000000006E-2</v>
      </c>
      <c r="G106">
        <v>-6.8789999999999997E-3</v>
      </c>
      <c r="H106">
        <v>3.5621E-2</v>
      </c>
      <c r="I106" s="2">
        <f>B106-$S$3</f>
        <v>-5.2879000000000002E-2</v>
      </c>
      <c r="J106" s="2">
        <f>C106-$S$3</f>
        <v>-2.6379E-2</v>
      </c>
      <c r="K106" s="2">
        <f>D106-$S$3</f>
        <v>3.5320999999999998E-2</v>
      </c>
      <c r="L106" s="2">
        <f>E106-$S$3</f>
        <v>-2.6379E-2</v>
      </c>
      <c r="M106" s="2">
        <f>F106-$S$3</f>
        <v>-3.6579000000000007E-2</v>
      </c>
      <c r="N106" s="2">
        <f>G106-$S$3</f>
        <v>-8.3789999999999993E-3</v>
      </c>
      <c r="O106" s="2">
        <f>H106-$S$3</f>
        <v>3.4120999999999999E-2</v>
      </c>
      <c r="P106" s="9">
        <f t="shared" si="11"/>
        <v>-8.1744142297845695E-3</v>
      </c>
    </row>
    <row r="107" spans="1:16" x14ac:dyDescent="0.2">
      <c r="A107" t="s">
        <v>113</v>
      </c>
      <c r="B107">
        <v>-2.9139999999999999E-2</v>
      </c>
      <c r="C107">
        <v>-6.7400000000000003E-3</v>
      </c>
      <c r="D107">
        <v>-3.474E-2</v>
      </c>
      <c r="E107">
        <v>-6.7400000000000003E-3</v>
      </c>
      <c r="F107">
        <v>1.196E-2</v>
      </c>
      <c r="G107">
        <v>3.746E-2</v>
      </c>
      <c r="H107">
        <v>-1.984E-2</v>
      </c>
      <c r="I107" s="2">
        <f>B107-$S$3</f>
        <v>-3.0640000000000001E-2</v>
      </c>
      <c r="J107" s="2">
        <f>C107-$S$3</f>
        <v>-8.2400000000000008E-3</v>
      </c>
      <c r="K107" s="2">
        <f>D107-$S$3</f>
        <v>-3.6240000000000001E-2</v>
      </c>
      <c r="L107" s="2">
        <f>E107-$S$3</f>
        <v>-8.2400000000000008E-3</v>
      </c>
      <c r="M107" s="2">
        <f>F107-$S$3</f>
        <v>1.0460000000000001E-2</v>
      </c>
      <c r="N107" s="2">
        <f>G107-$S$3</f>
        <v>3.5959999999999999E-2</v>
      </c>
      <c r="O107" s="2">
        <f>H107-$S$3</f>
        <v>-2.1340000000000001E-2</v>
      </c>
      <c r="P107" s="9">
        <f t="shared" si="11"/>
        <v>2.1567826384276397E-2</v>
      </c>
    </row>
    <row r="108" spans="1:16" x14ac:dyDescent="0.2">
      <c r="A108" t="s">
        <v>114</v>
      </c>
      <c r="B108">
        <v>0.26999600000000001</v>
      </c>
      <c r="C108">
        <v>9.7996E-2</v>
      </c>
      <c r="D108">
        <v>4.9496000000000005E-2</v>
      </c>
      <c r="E108">
        <v>6.3196000000000002E-2</v>
      </c>
      <c r="F108">
        <v>9.7996E-2</v>
      </c>
      <c r="G108">
        <v>-3.5203999999999999E-2</v>
      </c>
      <c r="H108">
        <v>5.7396000000000003E-2</v>
      </c>
      <c r="I108" s="2">
        <f>B108-$S$3</f>
        <v>0.26849600000000001</v>
      </c>
      <c r="J108" s="2">
        <f>C108-$S$3</f>
        <v>9.6495999999999998E-2</v>
      </c>
      <c r="K108" s="2">
        <f>D108-$S$3</f>
        <v>4.7996000000000004E-2</v>
      </c>
      <c r="L108" s="2">
        <f>E108-$S$3</f>
        <v>6.1696000000000001E-2</v>
      </c>
      <c r="M108" s="2">
        <f>F108-$S$3</f>
        <v>9.6495999999999998E-2</v>
      </c>
      <c r="N108" s="2">
        <f>G108-$S$3</f>
        <v>-3.6704000000000001E-2</v>
      </c>
      <c r="O108" s="2">
        <f>H108-$S$3</f>
        <v>5.5896000000000001E-2</v>
      </c>
      <c r="P108" s="9">
        <f t="shared" si="11"/>
        <v>2.0620549606466341E-2</v>
      </c>
    </row>
    <row r="109" spans="1:16" x14ac:dyDescent="0.2">
      <c r="A109" t="s">
        <v>115</v>
      </c>
      <c r="B109">
        <v>0.12483799999999999</v>
      </c>
      <c r="C109">
        <v>-1.5262E-2</v>
      </c>
      <c r="D109">
        <v>4.0438000000000002E-2</v>
      </c>
      <c r="E109">
        <v>5.3038000000000002E-2</v>
      </c>
      <c r="F109">
        <v>-1.5262E-2</v>
      </c>
      <c r="G109">
        <v>3.8837999999999998E-2</v>
      </c>
      <c r="H109">
        <v>1.7738E-2</v>
      </c>
      <c r="I109" s="2">
        <f>B109-$S$3</f>
        <v>0.12333799999999999</v>
      </c>
      <c r="J109" s="2">
        <f>C109-$S$3</f>
        <v>-1.6761999999999999E-2</v>
      </c>
      <c r="K109" s="2">
        <f>D109-$S$3</f>
        <v>3.8938E-2</v>
      </c>
      <c r="L109" s="2">
        <f>E109-$S$3</f>
        <v>5.1538E-2</v>
      </c>
      <c r="M109" s="2">
        <f>F109-$S$3</f>
        <v>-1.6761999999999999E-2</v>
      </c>
      <c r="N109" s="2">
        <f>G109-$S$3</f>
        <v>3.7337999999999996E-2</v>
      </c>
      <c r="O109" s="2">
        <f>H109-$S$3</f>
        <v>1.6237999999999999E-2</v>
      </c>
      <c r="P109" s="9">
        <f t="shared" si="11"/>
        <v>3.8664368822237012E-2</v>
      </c>
    </row>
    <row r="110" spans="1:16" x14ac:dyDescent="0.2">
      <c r="A110" t="s">
        <v>116</v>
      </c>
      <c r="B110">
        <v>8.3972000000000005E-2</v>
      </c>
      <c r="C110">
        <v>-4.28E-4</v>
      </c>
      <c r="D110">
        <v>-8.1528000000000003E-2</v>
      </c>
      <c r="E110">
        <v>-9.8827999999999999E-2</v>
      </c>
      <c r="F110">
        <v>-4.28E-4</v>
      </c>
      <c r="G110">
        <v>5.9971999999999998E-2</v>
      </c>
      <c r="H110">
        <v>-3.7027999999999998E-2</v>
      </c>
      <c r="I110" s="2">
        <f>B110-$S$3</f>
        <v>8.2472000000000004E-2</v>
      </c>
      <c r="J110" s="2">
        <f>C110-$S$3</f>
        <v>-1.928E-3</v>
      </c>
      <c r="K110" s="2">
        <f>D110-$S$3</f>
        <v>-8.3028000000000005E-2</v>
      </c>
      <c r="L110" s="2">
        <f>E110-$S$3</f>
        <v>-0.100328</v>
      </c>
      <c r="M110" s="2">
        <f>F110-$S$3</f>
        <v>-1.928E-3</v>
      </c>
      <c r="N110" s="2">
        <f>G110-$S$3</f>
        <v>5.8471999999999996E-2</v>
      </c>
      <c r="O110" s="2">
        <f>H110-$S$3</f>
        <v>-3.8528E-2</v>
      </c>
      <c r="P110" s="9">
        <f t="shared" si="11"/>
        <v>1.3846299409435311E-2</v>
      </c>
    </row>
    <row r="111" spans="1:16" x14ac:dyDescent="0.2">
      <c r="A111" t="s">
        <v>117</v>
      </c>
      <c r="B111">
        <v>8.2990000000000008E-2</v>
      </c>
      <c r="C111">
        <v>1.1990000000000001E-2</v>
      </c>
      <c r="D111">
        <v>-2.171E-2</v>
      </c>
      <c r="E111">
        <v>-1.6709999999999999E-2</v>
      </c>
      <c r="F111">
        <v>1.1990000000000001E-2</v>
      </c>
      <c r="G111">
        <v>8.2900000000000005E-3</v>
      </c>
      <c r="H111">
        <v>2.8490000000000001E-2</v>
      </c>
      <c r="I111" s="2">
        <f>B111-$S$3</f>
        <v>8.1490000000000007E-2</v>
      </c>
      <c r="J111" s="2">
        <f>C111-$S$3</f>
        <v>1.0490000000000001E-2</v>
      </c>
      <c r="K111" s="2">
        <f>D111-$S$3</f>
        <v>-2.3210000000000001E-2</v>
      </c>
      <c r="L111" s="2">
        <f>E111-$S$3</f>
        <v>-1.821E-2</v>
      </c>
      <c r="M111" s="2">
        <f>F111-$S$3</f>
        <v>1.0490000000000001E-2</v>
      </c>
      <c r="N111" s="2">
        <f>G111-$S$3</f>
        <v>6.7900000000000009E-3</v>
      </c>
      <c r="O111" s="2">
        <f>H111-$S$3</f>
        <v>2.699E-2</v>
      </c>
      <c r="P111" s="9">
        <f t="shared" si="11"/>
        <v>1.3443097858530408E-2</v>
      </c>
    </row>
    <row r="112" spans="1:16" x14ac:dyDescent="0.2">
      <c r="A112" t="s">
        <v>118</v>
      </c>
      <c r="B112">
        <v>7.0632E-2</v>
      </c>
      <c r="C112">
        <v>3.4032E-2</v>
      </c>
      <c r="D112">
        <v>4.1432000000000004E-2</v>
      </c>
      <c r="E112">
        <v>7.2132000000000002E-2</v>
      </c>
      <c r="F112">
        <v>3.4032E-2</v>
      </c>
      <c r="G112">
        <v>2.0932000000000003E-2</v>
      </c>
      <c r="H112">
        <v>5.8731999999999999E-2</v>
      </c>
      <c r="I112" s="2">
        <f>B112-$S$3</f>
        <v>6.9131999999999999E-2</v>
      </c>
      <c r="J112" s="2">
        <f>C112-$S$3</f>
        <v>3.2531999999999998E-2</v>
      </c>
      <c r="K112" s="2">
        <f>D112-$S$3</f>
        <v>3.9932000000000002E-2</v>
      </c>
      <c r="L112" s="2">
        <f>E112-$S$3</f>
        <v>7.0632E-2</v>
      </c>
      <c r="M112" s="2">
        <f>F112-$S$3</f>
        <v>3.2531999999999998E-2</v>
      </c>
      <c r="N112" s="2">
        <f>G112-$S$3</f>
        <v>1.9432000000000001E-2</v>
      </c>
      <c r="O112" s="2">
        <f>H112-$S$3</f>
        <v>5.7231999999999998E-2</v>
      </c>
      <c r="P112" s="9">
        <f t="shared" si="11"/>
        <v>4.0527129780310353E-2</v>
      </c>
    </row>
    <row r="113" spans="1:16" x14ac:dyDescent="0.2">
      <c r="A113" t="s">
        <v>119</v>
      </c>
      <c r="B113">
        <v>3.5688999999999999E-2</v>
      </c>
      <c r="C113">
        <v>8.1088999999999994E-2</v>
      </c>
      <c r="D113">
        <v>2.4889000000000001E-2</v>
      </c>
      <c r="E113">
        <v>-5.3810999999999998E-2</v>
      </c>
      <c r="F113">
        <v>-3.5410999999999998E-2</v>
      </c>
      <c r="G113">
        <v>8.1088999999999994E-2</v>
      </c>
      <c r="H113">
        <v>1.4689000000000001E-2</v>
      </c>
      <c r="I113" s="2">
        <f>B113-$S$3</f>
        <v>3.4188999999999997E-2</v>
      </c>
      <c r="J113" s="2">
        <f>C113-$S$3</f>
        <v>7.9588999999999993E-2</v>
      </c>
      <c r="K113" s="2">
        <f>D113-$S$3</f>
        <v>2.3389E-2</v>
      </c>
      <c r="L113" s="2">
        <f>E113-$S$3</f>
        <v>-5.5310999999999999E-2</v>
      </c>
      <c r="M113" s="2">
        <f>F113-$S$3</f>
        <v>-3.6910999999999999E-2</v>
      </c>
      <c r="N113" s="2">
        <f>G113-$S$3</f>
        <v>7.9588999999999993E-2</v>
      </c>
      <c r="O113" s="2">
        <f>H113-$S$3</f>
        <v>1.3189000000000001E-2</v>
      </c>
      <c r="P113" s="9">
        <f t="shared" si="11"/>
        <v>-6.7077428853548017E-3</v>
      </c>
    </row>
    <row r="114" spans="1:16" x14ac:dyDescent="0.2">
      <c r="A114" t="s">
        <v>120</v>
      </c>
      <c r="B114">
        <v>-9.9211999999999995E-2</v>
      </c>
      <c r="C114">
        <v>-3.8212000000000003E-2</v>
      </c>
      <c r="D114">
        <v>-6.7612000000000005E-2</v>
      </c>
      <c r="E114">
        <v>-4.7912000000000003E-2</v>
      </c>
      <c r="F114">
        <v>-5.2111999999999999E-2</v>
      </c>
      <c r="G114">
        <v>-3.8212000000000003E-2</v>
      </c>
      <c r="H114">
        <v>-8.2112000000000004E-2</v>
      </c>
      <c r="I114" s="2">
        <f>B114-$S$3</f>
        <v>-0.100712</v>
      </c>
      <c r="J114" s="2">
        <f>C114-$S$3</f>
        <v>-3.9712000000000004E-2</v>
      </c>
      <c r="K114" s="2">
        <f>D114-$S$3</f>
        <v>-6.9112000000000007E-2</v>
      </c>
      <c r="L114" s="2">
        <f>E114-$S$3</f>
        <v>-4.9412000000000005E-2</v>
      </c>
      <c r="M114" s="2">
        <f>F114-$S$3</f>
        <v>-5.3612E-2</v>
      </c>
      <c r="N114" s="2">
        <f>G114-$S$3</f>
        <v>-3.9712000000000004E-2</v>
      </c>
      <c r="O114" s="2">
        <f>H114-$S$3</f>
        <v>-8.3612000000000006E-2</v>
      </c>
      <c r="P114" s="9">
        <f t="shared" si="11"/>
        <v>-5.8278009824891973E-2</v>
      </c>
    </row>
    <row r="115" spans="1:16" x14ac:dyDescent="0.2">
      <c r="A115" t="s">
        <v>121</v>
      </c>
      <c r="B115">
        <v>-0.14082699999999998</v>
      </c>
      <c r="C115">
        <v>-9.8427000000000001E-2</v>
      </c>
      <c r="D115">
        <v>-4.627E-3</v>
      </c>
      <c r="E115">
        <v>1.8073000000000002E-2</v>
      </c>
      <c r="F115">
        <v>-4.9327000000000003E-2</v>
      </c>
      <c r="G115">
        <v>-9.8427000000000001E-2</v>
      </c>
      <c r="H115">
        <v>-5.4027000000000006E-2</v>
      </c>
      <c r="I115" s="2">
        <f>B115-$S$3</f>
        <v>-0.14232699999999998</v>
      </c>
      <c r="J115" s="2">
        <f>C115-$S$3</f>
        <v>-9.9927000000000002E-2</v>
      </c>
      <c r="K115" s="2">
        <f>D115-$S$3</f>
        <v>-6.1270000000000005E-3</v>
      </c>
      <c r="L115" s="2">
        <f>E115-$S$3</f>
        <v>1.6573000000000001E-2</v>
      </c>
      <c r="M115" s="2">
        <f>F115-$S$3</f>
        <v>-5.0827000000000004E-2</v>
      </c>
      <c r="N115" s="2">
        <f>G115-$S$3</f>
        <v>-9.9927000000000002E-2</v>
      </c>
      <c r="O115" s="2">
        <f>H115-$S$3</f>
        <v>-5.5527000000000007E-2</v>
      </c>
      <c r="P115" s="9">
        <f t="shared" si="11"/>
        <v>-5.2556477422202125E-2</v>
      </c>
    </row>
    <row r="116" spans="1:16" x14ac:dyDescent="0.2">
      <c r="A116" t="s">
        <v>122</v>
      </c>
      <c r="B116">
        <v>0.26675800000000005</v>
      </c>
      <c r="C116">
        <v>4.3557999999999999E-2</v>
      </c>
      <c r="D116">
        <v>9.0757999999999991E-2</v>
      </c>
      <c r="E116">
        <v>0.125058</v>
      </c>
      <c r="F116">
        <v>6.4757999999999996E-2</v>
      </c>
      <c r="G116">
        <v>4.3557999999999999E-2</v>
      </c>
      <c r="H116">
        <v>6.8657999999999997E-2</v>
      </c>
      <c r="I116" s="2">
        <f>B116-$S$3</f>
        <v>0.26525800000000005</v>
      </c>
      <c r="J116" s="2">
        <f>C116-$S$3</f>
        <v>4.2057999999999998E-2</v>
      </c>
      <c r="K116" s="2">
        <f>D116-$S$3</f>
        <v>8.925799999999999E-2</v>
      </c>
      <c r="L116" s="2">
        <f>E116-$S$3</f>
        <v>0.123558</v>
      </c>
      <c r="M116" s="2">
        <f>F116-$S$3</f>
        <v>6.3257999999999995E-2</v>
      </c>
      <c r="N116" s="2">
        <f>G116-$S$3</f>
        <v>4.2057999999999998E-2</v>
      </c>
      <c r="O116" s="2">
        <f>H116-$S$3</f>
        <v>6.7157999999999995E-2</v>
      </c>
      <c r="P116" s="9">
        <f t="shared" si="11"/>
        <v>8.1914363049036959E-2</v>
      </c>
    </row>
    <row r="117" spans="1:16" x14ac:dyDescent="0.2">
      <c r="A117" t="s">
        <v>123</v>
      </c>
      <c r="B117">
        <v>-0.116426</v>
      </c>
      <c r="C117">
        <v>1.5739999999999999E-3</v>
      </c>
      <c r="D117">
        <v>4.1874000000000001E-2</v>
      </c>
      <c r="E117">
        <v>1.6073999999999998E-2</v>
      </c>
      <c r="F117">
        <v>-1.4825999999999999E-2</v>
      </c>
      <c r="G117">
        <v>1.5739999999999999E-3</v>
      </c>
      <c r="H117">
        <v>-4.7525999999999999E-2</v>
      </c>
      <c r="I117" s="2">
        <f>B117-$S$3</f>
        <v>-0.117926</v>
      </c>
      <c r="J117" s="2">
        <f>C117-$S$3</f>
        <v>7.3999999999999847E-5</v>
      </c>
      <c r="K117" s="2">
        <f>D117-$S$3</f>
        <v>4.0374E-2</v>
      </c>
      <c r="L117" s="2">
        <f>E117-$S$3</f>
        <v>1.4573999999999998E-2</v>
      </c>
      <c r="M117" s="2">
        <f>F117-$S$3</f>
        <v>-1.6326E-2</v>
      </c>
      <c r="N117" s="2">
        <f>G117-$S$3</f>
        <v>7.3999999999999847E-5</v>
      </c>
      <c r="O117" s="2">
        <f>H117-$S$3</f>
        <v>-4.9026E-2</v>
      </c>
      <c r="P117" s="9">
        <f t="shared" si="11"/>
        <v>-2.1191915611436844E-2</v>
      </c>
    </row>
    <row r="118" spans="1:16" x14ac:dyDescent="0.2">
      <c r="A118" t="s">
        <v>124</v>
      </c>
      <c r="B118">
        <v>8.4474999999999995E-2</v>
      </c>
      <c r="C118">
        <v>3.6775000000000002E-2</v>
      </c>
      <c r="D118">
        <v>5.7974999999999999E-2</v>
      </c>
      <c r="E118">
        <v>0.103475</v>
      </c>
      <c r="F118">
        <v>6.7275000000000001E-2</v>
      </c>
      <c r="G118">
        <v>4.4475000000000001E-2</v>
      </c>
      <c r="H118">
        <v>8.7474999999999997E-2</v>
      </c>
      <c r="I118" s="2">
        <f>B118-$S$3</f>
        <v>8.2974999999999993E-2</v>
      </c>
      <c r="J118" s="2">
        <f>C118-$S$3</f>
        <v>3.5275000000000001E-2</v>
      </c>
      <c r="K118" s="2">
        <f>D118-$S$3</f>
        <v>5.6474999999999997E-2</v>
      </c>
      <c r="L118" s="2">
        <f>E118-$S$3</f>
        <v>0.101975</v>
      </c>
      <c r="M118" s="2">
        <f>F118-$S$3</f>
        <v>6.5775E-2</v>
      </c>
      <c r="N118" s="2">
        <f>G118-$S$3</f>
        <v>4.2974999999999999E-2</v>
      </c>
      <c r="O118" s="2">
        <f>H118-$S$3</f>
        <v>8.5974999999999996E-2</v>
      </c>
      <c r="P118" s="9">
        <f t="shared" si="11"/>
        <v>7.8390681235741555E-2</v>
      </c>
    </row>
    <row r="119" spans="1:16" x14ac:dyDescent="0.2">
      <c r="A119" t="s">
        <v>125</v>
      </c>
      <c r="B119">
        <v>0.15428800000000001</v>
      </c>
      <c r="C119">
        <v>-3.4812000000000003E-2</v>
      </c>
      <c r="D119">
        <v>1.1688E-2</v>
      </c>
      <c r="E119">
        <v>1.1088000000000001E-2</v>
      </c>
      <c r="F119">
        <v>1.1988E-2</v>
      </c>
      <c r="G119">
        <v>-2.8212000000000001E-2</v>
      </c>
      <c r="H119">
        <v>3.6788000000000001E-2</v>
      </c>
      <c r="I119" s="2">
        <f>B119-$S$3</f>
        <v>0.15278800000000001</v>
      </c>
      <c r="J119" s="2">
        <f>C119-$S$3</f>
        <v>-3.6312000000000004E-2</v>
      </c>
      <c r="K119" s="2">
        <f>D119-$S$3</f>
        <v>1.0188000000000001E-2</v>
      </c>
      <c r="L119" s="2">
        <f>E119-$S$3</f>
        <v>9.588000000000001E-3</v>
      </c>
      <c r="M119" s="2">
        <f>F119-$S$3</f>
        <v>1.0488000000000001E-2</v>
      </c>
      <c r="N119" s="2">
        <f>G119-$S$3</f>
        <v>-2.9712000000000002E-2</v>
      </c>
      <c r="O119" s="2">
        <f>H119-$S$3</f>
        <v>3.5288E-2</v>
      </c>
      <c r="P119" s="9">
        <f t="shared" si="11"/>
        <v>2.1198916753473081E-2</v>
      </c>
    </row>
    <row r="120" spans="1:16" x14ac:dyDescent="0.2">
      <c r="A120" t="s">
        <v>126</v>
      </c>
      <c r="B120">
        <v>0.12798599999999999</v>
      </c>
      <c r="C120">
        <v>1.8599999999999997E-4</v>
      </c>
      <c r="D120">
        <v>-2.5714000000000001E-2</v>
      </c>
      <c r="E120">
        <v>-1.4614E-2</v>
      </c>
      <c r="F120">
        <v>-1.614E-3</v>
      </c>
      <c r="G120">
        <v>0.101086</v>
      </c>
      <c r="H120">
        <v>-2.4139999999999999E-3</v>
      </c>
      <c r="I120" s="2">
        <f>B120-$S$3</f>
        <v>0.12648599999999999</v>
      </c>
      <c r="J120" s="2">
        <f>C120-$S$3</f>
        <v>-1.3140000000000001E-3</v>
      </c>
      <c r="K120" s="2">
        <f>D120-$S$3</f>
        <v>-2.7214000000000002E-2</v>
      </c>
      <c r="L120" s="2">
        <f>E120-$S$3</f>
        <v>-1.6114E-2</v>
      </c>
      <c r="M120" s="2">
        <f>F120-$S$3</f>
        <v>-3.114E-3</v>
      </c>
      <c r="N120" s="2">
        <f>G120-$S$3</f>
        <v>9.9585999999999994E-2</v>
      </c>
      <c r="O120" s="2">
        <f>H120-$S$3</f>
        <v>-3.9139999999999999E-3</v>
      </c>
      <c r="P120" s="9">
        <f t="shared" si="11"/>
        <v>5.8081511383904466E-2</v>
      </c>
    </row>
    <row r="121" spans="1:16" x14ac:dyDescent="0.2">
      <c r="A121" t="s">
        <v>127</v>
      </c>
      <c r="B121">
        <v>5.3159999999999999E-2</v>
      </c>
      <c r="C121">
        <v>7.7659999999999993E-2</v>
      </c>
      <c r="D121">
        <v>5.706E-2</v>
      </c>
      <c r="E121">
        <v>0.11766</v>
      </c>
      <c r="F121">
        <v>2.4599999999999999E-3</v>
      </c>
      <c r="G121">
        <v>5.586E-2</v>
      </c>
      <c r="H121">
        <v>6.5159999999999996E-2</v>
      </c>
      <c r="I121" s="2">
        <f>B121-$S$3</f>
        <v>5.1659999999999998E-2</v>
      </c>
      <c r="J121" s="2">
        <f>C121-$S$3</f>
        <v>7.6159999999999992E-2</v>
      </c>
      <c r="K121" s="2">
        <f>D121-$S$3</f>
        <v>5.5559999999999998E-2</v>
      </c>
      <c r="L121" s="2">
        <f>E121-$S$3</f>
        <v>0.11616</v>
      </c>
      <c r="M121" s="2">
        <f>F121-$S$3</f>
        <v>9.5999999999999992E-4</v>
      </c>
      <c r="N121" s="2">
        <f>G121-$S$3</f>
        <v>5.4359999999999999E-2</v>
      </c>
      <c r="O121" s="2">
        <f>H121-$S$3</f>
        <v>6.3659999999999994E-2</v>
      </c>
      <c r="P121" s="9">
        <f t="shared" si="11"/>
        <v>3.675479697052067E-2</v>
      </c>
    </row>
    <row r="122" spans="1:16" x14ac:dyDescent="0.2">
      <c r="A122" t="s">
        <v>128</v>
      </c>
      <c r="B122">
        <v>-5.0065999999999999E-2</v>
      </c>
      <c r="C122">
        <v>-1.0066E-2</v>
      </c>
      <c r="D122">
        <v>-4.9565999999999999E-2</v>
      </c>
      <c r="E122">
        <v>8.8339999999999998E-3</v>
      </c>
      <c r="F122">
        <v>3.9634000000000003E-2</v>
      </c>
      <c r="G122">
        <v>-8.8165999999999994E-2</v>
      </c>
      <c r="H122">
        <v>2.2533999999999998E-2</v>
      </c>
      <c r="I122" s="2">
        <f>B122-$S$3</f>
        <v>-5.1566000000000001E-2</v>
      </c>
      <c r="J122" s="2">
        <f>C122-$S$3</f>
        <v>-1.1566E-2</v>
      </c>
      <c r="K122" s="2">
        <f>D122-$S$3</f>
        <v>-5.1066E-2</v>
      </c>
      <c r="L122" s="2">
        <f>E122-$S$3</f>
        <v>7.3340000000000002E-3</v>
      </c>
      <c r="M122" s="2">
        <f>F122-$S$3</f>
        <v>3.8134000000000001E-2</v>
      </c>
      <c r="N122" s="2">
        <f>G122-$S$3</f>
        <v>-8.9665999999999996E-2</v>
      </c>
      <c r="O122" s="2">
        <f>H122-$S$3</f>
        <v>2.1033999999999997E-2</v>
      </c>
      <c r="P122" s="9">
        <f t="shared" si="11"/>
        <v>-2.1857457503861675E-2</v>
      </c>
    </row>
    <row r="123" spans="1:16" x14ac:dyDescent="0.2">
      <c r="A123" t="s">
        <v>129</v>
      </c>
      <c r="B123">
        <v>-5.6521999999999996E-2</v>
      </c>
      <c r="C123">
        <v>-8.1222000000000003E-2</v>
      </c>
      <c r="D123">
        <v>3.1077999999999998E-2</v>
      </c>
      <c r="E123">
        <v>3.6378000000000001E-2</v>
      </c>
      <c r="F123">
        <v>-7.3022000000000004E-2</v>
      </c>
      <c r="G123">
        <v>-3.7221999999999998E-2</v>
      </c>
      <c r="H123">
        <v>3.1878000000000004E-2</v>
      </c>
      <c r="I123" s="2">
        <f>B123-$S$3</f>
        <v>-5.8021999999999997E-2</v>
      </c>
      <c r="J123" s="2">
        <f>C123-$S$3</f>
        <v>-8.2722000000000004E-2</v>
      </c>
      <c r="K123" s="2">
        <f>D123-$S$3</f>
        <v>2.9577999999999997E-2</v>
      </c>
      <c r="L123" s="2">
        <f>E123-$S$3</f>
        <v>3.4877999999999999E-2</v>
      </c>
      <c r="M123" s="2">
        <f>F123-$S$3</f>
        <v>-7.4522000000000005E-2</v>
      </c>
      <c r="N123" s="2">
        <f>G123-$S$3</f>
        <v>-3.8721999999999999E-2</v>
      </c>
      <c r="O123" s="2">
        <f>H123-$S$3</f>
        <v>3.0378000000000002E-2</v>
      </c>
      <c r="P123" s="9">
        <f t="shared" si="11"/>
        <v>-9.8636759001638763E-3</v>
      </c>
    </row>
    <row r="124" spans="1:16" x14ac:dyDescent="0.2">
      <c r="A124" t="s">
        <v>130</v>
      </c>
      <c r="B124">
        <v>-9.3669999999999986E-3</v>
      </c>
      <c r="C124">
        <v>-7.4666999999999997E-2</v>
      </c>
      <c r="D124">
        <v>7.8533000000000006E-2</v>
      </c>
      <c r="E124">
        <v>4.3833000000000004E-2</v>
      </c>
      <c r="F124">
        <v>8.2330000000000007E-3</v>
      </c>
      <c r="G124">
        <v>-4.8367E-2</v>
      </c>
      <c r="H124">
        <v>-1.067E-3</v>
      </c>
      <c r="I124" s="2">
        <f>B124-$S$3</f>
        <v>-1.0866999999999998E-2</v>
      </c>
      <c r="J124" s="2">
        <f>C124-$S$3</f>
        <v>-7.6166999999999999E-2</v>
      </c>
      <c r="K124" s="2">
        <f>D124-$S$3</f>
        <v>7.7033000000000004E-2</v>
      </c>
      <c r="L124" s="2">
        <f>E124-$S$3</f>
        <v>4.2333000000000003E-2</v>
      </c>
      <c r="M124" s="2">
        <f>F124-$S$3</f>
        <v>6.7330000000000011E-3</v>
      </c>
      <c r="N124" s="2">
        <f>G124-$S$3</f>
        <v>-4.9867000000000002E-2</v>
      </c>
      <c r="O124" s="2">
        <f>H124-$S$3</f>
        <v>-2.5669999999999998E-3</v>
      </c>
      <c r="P124" s="9">
        <f t="shared" si="11"/>
        <v>1.1046807867590285E-2</v>
      </c>
    </row>
    <row r="125" spans="1:16" x14ac:dyDescent="0.2">
      <c r="A125" t="s">
        <v>131</v>
      </c>
      <c r="B125">
        <v>3.7547000000000004E-2</v>
      </c>
      <c r="C125">
        <v>3.4147000000000004E-2</v>
      </c>
      <c r="D125">
        <v>3.0946999999999999E-2</v>
      </c>
      <c r="E125">
        <v>-7.1530000000000005E-3</v>
      </c>
      <c r="F125">
        <v>5.6247000000000005E-2</v>
      </c>
      <c r="G125">
        <v>-1.8253000000000002E-2</v>
      </c>
      <c r="H125">
        <v>2.8447E-2</v>
      </c>
      <c r="I125" s="2">
        <f>B125-$S$3</f>
        <v>3.6047000000000003E-2</v>
      </c>
      <c r="J125" s="2">
        <f>C125-$S$3</f>
        <v>3.2647000000000002E-2</v>
      </c>
      <c r="K125" s="2">
        <f>D125-$S$3</f>
        <v>2.9446999999999997E-2</v>
      </c>
      <c r="L125" s="2">
        <f>E125-$S$3</f>
        <v>-8.653000000000001E-3</v>
      </c>
      <c r="M125" s="2">
        <f>F125-$S$3</f>
        <v>5.4747000000000004E-2</v>
      </c>
      <c r="N125" s="2">
        <f>G125-$S$3</f>
        <v>-1.9753000000000003E-2</v>
      </c>
      <c r="O125" s="2">
        <f>H125-$S$3</f>
        <v>2.6946999999999999E-2</v>
      </c>
      <c r="P125" s="9">
        <f t="shared" si="11"/>
        <v>7.3687129593825503E-3</v>
      </c>
    </row>
    <row r="126" spans="1:16" x14ac:dyDescent="0.2">
      <c r="A126" t="s">
        <v>132</v>
      </c>
      <c r="B126">
        <v>-3.5612999999999999E-2</v>
      </c>
      <c r="C126">
        <v>-8.7130000000000003E-3</v>
      </c>
      <c r="D126">
        <v>1.4086999999999999E-2</v>
      </c>
      <c r="E126">
        <v>-2.2512999999999998E-2</v>
      </c>
      <c r="F126">
        <v>1.0986999999999999E-2</v>
      </c>
      <c r="G126">
        <v>1.3786999999999999E-2</v>
      </c>
      <c r="H126">
        <v>-1.3513000000000001E-2</v>
      </c>
      <c r="I126" s="2">
        <f>B126-$S$3</f>
        <v>-3.7113E-2</v>
      </c>
      <c r="J126" s="2">
        <f>C126-$S$3</f>
        <v>-1.0213E-2</v>
      </c>
      <c r="K126" s="2">
        <f>D126-$S$3</f>
        <v>1.2586999999999999E-2</v>
      </c>
      <c r="L126" s="2">
        <f>E126-$S$3</f>
        <v>-2.4013E-2</v>
      </c>
      <c r="M126" s="2">
        <f>F126-$S$3</f>
        <v>9.4869999999999989E-3</v>
      </c>
      <c r="N126" s="2">
        <f>G126-$S$3</f>
        <v>1.2286999999999999E-2</v>
      </c>
      <c r="O126" s="2">
        <f>H126-$S$3</f>
        <v>-1.5013E-2</v>
      </c>
      <c r="P126" s="9">
        <f t="shared" si="11"/>
        <v>6.6308910826911524E-3</v>
      </c>
    </row>
    <row r="127" spans="1:16" x14ac:dyDescent="0.2">
      <c r="A127" t="s">
        <v>133</v>
      </c>
      <c r="B127">
        <v>-7.5734999999999997E-2</v>
      </c>
      <c r="C127">
        <v>-4.5635000000000002E-2</v>
      </c>
      <c r="D127">
        <v>-4.8349999999999999E-3</v>
      </c>
      <c r="E127">
        <v>8.0649999999999993E-3</v>
      </c>
      <c r="F127">
        <v>-3.7734999999999998E-2</v>
      </c>
      <c r="G127">
        <v>-5.2935000000000003E-2</v>
      </c>
      <c r="H127">
        <v>-1.8335000000000001E-2</v>
      </c>
      <c r="I127" s="2">
        <f>B127-$S$3</f>
        <v>-7.7234999999999998E-2</v>
      </c>
      <c r="J127" s="2">
        <f>C127-$S$3</f>
        <v>-4.7135000000000003E-2</v>
      </c>
      <c r="K127" s="2">
        <f>D127-$S$3</f>
        <v>-6.3350000000000004E-3</v>
      </c>
      <c r="L127" s="2">
        <f>E127-$S$3</f>
        <v>6.5649999999999997E-3</v>
      </c>
      <c r="M127" s="2">
        <f>F127-$S$3</f>
        <v>-3.9234999999999999E-2</v>
      </c>
      <c r="N127" s="2">
        <f>G127-$S$3</f>
        <v>-5.4435000000000004E-2</v>
      </c>
      <c r="O127" s="2">
        <f>H127-$S$3</f>
        <v>-1.9835000000000002E-2</v>
      </c>
      <c r="P127" s="9">
        <f t="shared" si="11"/>
        <v>-3.3605457812374562E-2</v>
      </c>
    </row>
    <row r="128" spans="1:16" x14ac:dyDescent="0.2">
      <c r="A128" t="s">
        <v>134</v>
      </c>
      <c r="B128">
        <v>-0.11457199999999999</v>
      </c>
      <c r="C128">
        <v>-8.8272000000000003E-2</v>
      </c>
      <c r="D128">
        <v>-5.5571999999999996E-2</v>
      </c>
      <c r="E128">
        <v>-3.9772000000000002E-2</v>
      </c>
      <c r="F128">
        <v>-8.0719999999999993E-3</v>
      </c>
      <c r="G128">
        <v>9.7628000000000006E-2</v>
      </c>
      <c r="H128">
        <v>-2.1471999999999998E-2</v>
      </c>
      <c r="I128" s="2">
        <f>B128-$S$3</f>
        <v>-0.11607199999999999</v>
      </c>
      <c r="J128" s="2">
        <f>C128-$S$3</f>
        <v>-8.9772000000000005E-2</v>
      </c>
      <c r="K128" s="2">
        <f>D128-$S$3</f>
        <v>-5.7071999999999998E-2</v>
      </c>
      <c r="L128" s="2">
        <f>E128-$S$3</f>
        <v>-4.1272000000000003E-2</v>
      </c>
      <c r="M128" s="2">
        <f>F128-$S$3</f>
        <v>-9.5719999999999989E-3</v>
      </c>
      <c r="N128" s="2">
        <f>G128-$S$3</f>
        <v>9.6128000000000005E-2</v>
      </c>
      <c r="O128" s="2">
        <f>H128-$S$3</f>
        <v>-2.2971999999999999E-2</v>
      </c>
      <c r="P128" s="9">
        <f t="shared" si="11"/>
        <v>6.7673890359116973E-2</v>
      </c>
    </row>
    <row r="129" spans="1:16" x14ac:dyDescent="0.2">
      <c r="A129" t="s">
        <v>135</v>
      </c>
      <c r="B129">
        <v>-8.9383000000000004E-2</v>
      </c>
      <c r="C129">
        <v>-0.13198299999999999</v>
      </c>
      <c r="D129">
        <v>-2.6783000000000001E-2</v>
      </c>
      <c r="E129">
        <v>2.4716999999999999E-2</v>
      </c>
      <c r="F129">
        <v>1.6617E-2</v>
      </c>
      <c r="G129">
        <v>9.5169999999999994E-3</v>
      </c>
      <c r="H129">
        <v>-5.6883000000000003E-2</v>
      </c>
      <c r="I129" s="2">
        <f>B129-$S$3</f>
        <v>-9.0883000000000005E-2</v>
      </c>
      <c r="J129" s="2">
        <f>C129-$S$3</f>
        <v>-0.13348299999999999</v>
      </c>
      <c r="K129" s="2">
        <f>D129-$S$3</f>
        <v>-2.8283000000000003E-2</v>
      </c>
      <c r="L129" s="2">
        <f>E129-$S$3</f>
        <v>2.3216999999999998E-2</v>
      </c>
      <c r="M129" s="2">
        <f>F129-$S$3</f>
        <v>1.5117E-2</v>
      </c>
      <c r="N129" s="2">
        <f>G129-$S$3</f>
        <v>8.0169999999999998E-3</v>
      </c>
      <c r="O129" s="2">
        <f>H129-$S$3</f>
        <v>-5.8383000000000004E-2</v>
      </c>
      <c r="P129" s="9">
        <f t="shared" si="11"/>
        <v>5.0415974466648465E-2</v>
      </c>
    </row>
    <row r="130" spans="1:16" x14ac:dyDescent="0.2">
      <c r="A130" t="s">
        <v>136</v>
      </c>
      <c r="B130">
        <v>-0.13039899999999999</v>
      </c>
      <c r="C130">
        <v>-0.16019900000000001</v>
      </c>
      <c r="D130">
        <v>1.4009999999999999E-3</v>
      </c>
      <c r="E130">
        <v>1.7601000000000002E-2</v>
      </c>
      <c r="F130">
        <v>-2.4298999999999998E-2</v>
      </c>
      <c r="G130">
        <v>-5.0899E-2</v>
      </c>
      <c r="H130">
        <v>-7.1799000000000002E-2</v>
      </c>
      <c r="I130" s="2">
        <f>B130-$S$3</f>
        <v>-0.13189899999999999</v>
      </c>
      <c r="J130" s="2">
        <f>C130-$S$3</f>
        <v>-0.16169900000000001</v>
      </c>
      <c r="K130" s="2">
        <f>D130-$S$3</f>
        <v>-9.900000000000013E-5</v>
      </c>
      <c r="L130" s="2">
        <f>E130-$S$3</f>
        <v>1.6101000000000001E-2</v>
      </c>
      <c r="M130" s="2">
        <f>F130-$S$3</f>
        <v>-2.5798999999999999E-2</v>
      </c>
      <c r="N130" s="2">
        <f>G130-$S$3</f>
        <v>-5.2399000000000001E-2</v>
      </c>
      <c r="O130" s="2">
        <f>H130-$S$3</f>
        <v>-7.3299000000000003E-2</v>
      </c>
      <c r="P130" s="9">
        <f t="shared" si="11"/>
        <v>4.0226036286845068E-3</v>
      </c>
    </row>
    <row r="131" spans="1:16" x14ac:dyDescent="0.2">
      <c r="A131" t="s">
        <v>137</v>
      </c>
      <c r="B131">
        <v>0.20788600000000002</v>
      </c>
      <c r="C131">
        <v>0.28098600000000001</v>
      </c>
      <c r="D131">
        <v>4.3285999999999998E-2</v>
      </c>
      <c r="E131">
        <v>1.8886E-2</v>
      </c>
      <c r="F131">
        <v>9.2885999999999996E-2</v>
      </c>
      <c r="G131">
        <v>0.116386</v>
      </c>
      <c r="H131">
        <v>0.107686</v>
      </c>
      <c r="I131" s="2">
        <f>B131-$S$3</f>
        <v>0.20638600000000001</v>
      </c>
      <c r="J131" s="2">
        <f>C131-$S$3</f>
        <v>0.27948600000000001</v>
      </c>
      <c r="K131" s="2">
        <f>D131-$S$3</f>
        <v>4.1785999999999997E-2</v>
      </c>
      <c r="L131" s="2">
        <f>E131-$S$3</f>
        <v>1.7385999999999999E-2</v>
      </c>
      <c r="M131" s="2">
        <f>F131-$S$3</f>
        <v>9.1385999999999995E-2</v>
      </c>
      <c r="N131" s="2">
        <f>G131-$S$3</f>
        <v>0.114886</v>
      </c>
      <c r="O131" s="2">
        <f>H131-$S$3</f>
        <v>0.106186</v>
      </c>
      <c r="P131" s="9">
        <f t="shared" ref="P131:P194" si="12">SUMPRODUCT(B131:H131,$S$37:$Y$37)</f>
        <v>3.0812336436677829E-2</v>
      </c>
    </row>
    <row r="132" spans="1:16" x14ac:dyDescent="0.2">
      <c r="A132" t="s">
        <v>138</v>
      </c>
      <c r="B132">
        <v>-9.2504000000000003E-2</v>
      </c>
      <c r="C132">
        <v>-0.17640400000000001</v>
      </c>
      <c r="D132">
        <v>-1.1304E-2</v>
      </c>
      <c r="E132">
        <v>2.0295999999999998E-2</v>
      </c>
      <c r="F132">
        <v>3.8396E-2</v>
      </c>
      <c r="G132">
        <v>-3.2003999999999998E-2</v>
      </c>
      <c r="H132">
        <v>-5.104E-3</v>
      </c>
      <c r="I132" s="2">
        <f>B132-$S$3</f>
        <v>-9.4004000000000004E-2</v>
      </c>
      <c r="J132" s="2">
        <f>C132-$S$3</f>
        <v>-0.17790400000000001</v>
      </c>
      <c r="K132" s="2">
        <f>D132-$S$3</f>
        <v>-1.2803999999999999E-2</v>
      </c>
      <c r="L132" s="2">
        <f>E132-$S$3</f>
        <v>1.8795999999999997E-2</v>
      </c>
      <c r="M132" s="2">
        <f>F132-$S$3</f>
        <v>3.6895999999999998E-2</v>
      </c>
      <c r="N132" s="2">
        <f>G132-$S$3</f>
        <v>-3.3503999999999999E-2</v>
      </c>
      <c r="O132" s="2">
        <f>H132-$S$3</f>
        <v>-6.6040000000000005E-3</v>
      </c>
      <c r="P132" s="9">
        <f t="shared" si="12"/>
        <v>6.5163955441035745E-2</v>
      </c>
    </row>
    <row r="133" spans="1:16" x14ac:dyDescent="0.2">
      <c r="A133" t="s">
        <v>139</v>
      </c>
      <c r="B133">
        <v>1.5100000000000001E-2</v>
      </c>
      <c r="C133">
        <v>-4.7899999999999998E-2</v>
      </c>
      <c r="D133">
        <v>4.3499999999999997E-2</v>
      </c>
      <c r="E133">
        <v>6.3299999999999995E-2</v>
      </c>
      <c r="F133">
        <v>2.0899999999999998E-2</v>
      </c>
      <c r="G133">
        <v>-2.81E-2</v>
      </c>
      <c r="H133">
        <v>8.5000000000000006E-3</v>
      </c>
      <c r="I133" s="2">
        <f>B133-$S$3</f>
        <v>1.3600000000000001E-2</v>
      </c>
      <c r="J133" s="2">
        <f>C133-$S$3</f>
        <v>-4.9399999999999999E-2</v>
      </c>
      <c r="K133" s="2">
        <f>D133-$S$3</f>
        <v>4.1999999999999996E-2</v>
      </c>
      <c r="L133" s="2">
        <f>E133-$S$3</f>
        <v>6.1799999999999994E-2</v>
      </c>
      <c r="M133" s="2">
        <f>F133-$S$3</f>
        <v>1.9399999999999997E-2</v>
      </c>
      <c r="N133" s="2">
        <f>G133-$S$3</f>
        <v>-2.9600000000000001E-2</v>
      </c>
      <c r="O133" s="2">
        <f>H133-$S$3</f>
        <v>7.000000000000001E-3</v>
      </c>
      <c r="P133" s="9">
        <f t="shared" si="12"/>
        <v>2.4355953182375635E-2</v>
      </c>
    </row>
    <row r="134" spans="1:16" x14ac:dyDescent="0.2">
      <c r="A134" t="s">
        <v>140</v>
      </c>
      <c r="B134">
        <v>0.159002</v>
      </c>
      <c r="C134">
        <v>0.185002</v>
      </c>
      <c r="D134">
        <v>-1.2997999999999999E-2</v>
      </c>
      <c r="E134">
        <v>-4.9097999999999996E-2</v>
      </c>
      <c r="F134">
        <v>2.6801999999999999E-2</v>
      </c>
      <c r="G134">
        <v>-7.9979999999999999E-3</v>
      </c>
      <c r="H134">
        <v>4.3602000000000002E-2</v>
      </c>
      <c r="I134" s="2">
        <f>B134-$S$3</f>
        <v>0.157502</v>
      </c>
      <c r="J134" s="2">
        <f>C134-$S$3</f>
        <v>0.183502</v>
      </c>
      <c r="K134" s="2">
        <f>D134-$S$3</f>
        <v>-1.4497999999999999E-2</v>
      </c>
      <c r="L134" s="2">
        <f>E134-$S$3</f>
        <v>-5.0597999999999997E-2</v>
      </c>
      <c r="M134" s="2">
        <f>F134-$S$3</f>
        <v>2.5301999999999998E-2</v>
      </c>
      <c r="N134" s="2">
        <f>G134-$S$3</f>
        <v>-9.4979999999999995E-3</v>
      </c>
      <c r="O134" s="2">
        <f>H134-$S$3</f>
        <v>4.2102000000000001E-2</v>
      </c>
      <c r="P134" s="9">
        <f t="shared" si="12"/>
        <v>-5.440576248322597E-2</v>
      </c>
    </row>
    <row r="135" spans="1:16" x14ac:dyDescent="0.2">
      <c r="A135" t="s">
        <v>141</v>
      </c>
      <c r="B135">
        <v>-3.2310000000000004E-3</v>
      </c>
      <c r="C135">
        <v>8.3268999999999996E-2</v>
      </c>
      <c r="D135">
        <v>4.0068999999999994E-2</v>
      </c>
      <c r="E135">
        <v>1.1869000000000001E-2</v>
      </c>
      <c r="F135">
        <v>-3.7231E-2</v>
      </c>
      <c r="G135">
        <v>0.122069</v>
      </c>
      <c r="H135">
        <v>4.0568999999999994E-2</v>
      </c>
      <c r="I135" s="2">
        <f>B135-$S$3</f>
        <v>-4.7310000000000008E-3</v>
      </c>
      <c r="J135" s="2">
        <f>C135-$S$3</f>
        <v>8.1768999999999994E-2</v>
      </c>
      <c r="K135" s="2">
        <f>D135-$S$3</f>
        <v>3.8568999999999992E-2</v>
      </c>
      <c r="L135" s="2">
        <f>E135-$S$3</f>
        <v>1.0369000000000001E-2</v>
      </c>
      <c r="M135" s="2">
        <f>F135-$S$3</f>
        <v>-3.8731000000000002E-2</v>
      </c>
      <c r="N135" s="2">
        <f>G135-$S$3</f>
        <v>0.120569</v>
      </c>
      <c r="O135" s="2">
        <f>H135-$S$3</f>
        <v>3.9068999999999993E-2</v>
      </c>
      <c r="P135" s="9">
        <f t="shared" si="12"/>
        <v>2.8207155997888766E-2</v>
      </c>
    </row>
    <row r="136" spans="1:16" x14ac:dyDescent="0.2">
      <c r="A136" t="s">
        <v>142</v>
      </c>
      <c r="B136">
        <v>7.6540000000000002E-3</v>
      </c>
      <c r="C136">
        <v>-1.4246E-2</v>
      </c>
      <c r="D136">
        <v>2.0853999999999998E-2</v>
      </c>
      <c r="E136">
        <v>3.0539999999999999E-3</v>
      </c>
      <c r="F136">
        <v>4.2754E-2</v>
      </c>
      <c r="G136">
        <v>2.7854E-2</v>
      </c>
      <c r="H136">
        <v>3.1254000000000004E-2</v>
      </c>
      <c r="I136" s="2">
        <f>B136-$S$3</f>
        <v>6.1539999999999997E-3</v>
      </c>
      <c r="J136" s="2">
        <f>C136-$S$3</f>
        <v>-1.5746E-2</v>
      </c>
      <c r="K136" s="2">
        <f>D136-$S$3</f>
        <v>1.9353999999999996E-2</v>
      </c>
      <c r="L136" s="2">
        <f>E136-$S$3</f>
        <v>1.5539999999999998E-3</v>
      </c>
      <c r="M136" s="2">
        <f>F136-$S$3</f>
        <v>4.1253999999999999E-2</v>
      </c>
      <c r="N136" s="2">
        <f>G136-$S$3</f>
        <v>2.6353999999999999E-2</v>
      </c>
      <c r="O136" s="2">
        <f>H136-$S$3</f>
        <v>2.9754000000000003E-2</v>
      </c>
      <c r="P136" s="9">
        <f t="shared" si="12"/>
        <v>4.6407596731043624E-2</v>
      </c>
    </row>
    <row r="137" spans="1:16" x14ac:dyDescent="0.2">
      <c r="A137" t="s">
        <v>143</v>
      </c>
      <c r="B137">
        <v>-9.1829000000000008E-2</v>
      </c>
      <c r="C137">
        <v>-0.103329</v>
      </c>
      <c r="D137">
        <v>6.8770999999999999E-2</v>
      </c>
      <c r="E137">
        <v>7.0271E-2</v>
      </c>
      <c r="F137">
        <v>-3.7429000000000004E-2</v>
      </c>
      <c r="G137">
        <v>-5.7290000000000006E-3</v>
      </c>
      <c r="H137">
        <v>-7.5290000000000001E-3</v>
      </c>
      <c r="I137" s="2">
        <f>B137-$S$3</f>
        <v>-9.3329000000000009E-2</v>
      </c>
      <c r="J137" s="2">
        <f>C137-$S$3</f>
        <v>-0.10482900000000001</v>
      </c>
      <c r="K137" s="2">
        <f>D137-$S$3</f>
        <v>6.7270999999999997E-2</v>
      </c>
      <c r="L137" s="2">
        <f>E137-$S$3</f>
        <v>6.8770999999999999E-2</v>
      </c>
      <c r="M137" s="2">
        <f>F137-$S$3</f>
        <v>-3.8929000000000005E-2</v>
      </c>
      <c r="N137" s="2">
        <f>G137-$S$3</f>
        <v>-7.229000000000001E-3</v>
      </c>
      <c r="O137" s="2">
        <f>H137-$S$3</f>
        <v>-9.0290000000000006E-3</v>
      </c>
      <c r="P137" s="9">
        <f t="shared" si="12"/>
        <v>2.4716592101960724E-2</v>
      </c>
    </row>
    <row r="138" spans="1:16" x14ac:dyDescent="0.2">
      <c r="A138" t="s">
        <v>144</v>
      </c>
      <c r="B138">
        <v>-6.3864999999999991E-2</v>
      </c>
      <c r="C138">
        <v>-3.4865E-2</v>
      </c>
      <c r="D138">
        <v>3.8234999999999998E-2</v>
      </c>
      <c r="E138">
        <v>3.1134999999999999E-2</v>
      </c>
      <c r="F138">
        <v>0.124735</v>
      </c>
      <c r="G138">
        <v>4.8349999999999999E-3</v>
      </c>
      <c r="H138">
        <v>-6.2765000000000001E-2</v>
      </c>
      <c r="I138" s="2">
        <f>B138-$S$3</f>
        <v>-6.5364999999999993E-2</v>
      </c>
      <c r="J138" s="2">
        <f>C138-$S$3</f>
        <v>-3.6365000000000001E-2</v>
      </c>
      <c r="K138" s="2">
        <f>D138-$S$3</f>
        <v>3.6734999999999997E-2</v>
      </c>
      <c r="L138" s="2">
        <f>E138-$S$3</f>
        <v>2.9634999999999998E-2</v>
      </c>
      <c r="M138" s="2">
        <f>F138-$S$3</f>
        <v>0.123235</v>
      </c>
      <c r="N138" s="2">
        <f>G138-$S$3</f>
        <v>3.3349999999999999E-3</v>
      </c>
      <c r="O138" s="2">
        <f>H138-$S$3</f>
        <v>-6.4265000000000003E-2</v>
      </c>
      <c r="P138" s="9">
        <f t="shared" si="12"/>
        <v>5.5647057761370203E-2</v>
      </c>
    </row>
    <row r="139" spans="1:16" x14ac:dyDescent="0.2">
      <c r="A139" t="s">
        <v>145</v>
      </c>
      <c r="B139">
        <v>-9.192199999999999E-2</v>
      </c>
      <c r="C139">
        <v>-0.11172199999999999</v>
      </c>
      <c r="D139">
        <v>4.3577999999999999E-2</v>
      </c>
      <c r="E139">
        <v>6.7178000000000002E-2</v>
      </c>
      <c r="F139">
        <v>5.9277999999999997E-2</v>
      </c>
      <c r="G139">
        <v>4.7779999999999993E-3</v>
      </c>
      <c r="H139">
        <v>3.9578000000000002E-2</v>
      </c>
      <c r="I139" s="2">
        <f>B139-$S$3</f>
        <v>-9.3421999999999991E-2</v>
      </c>
      <c r="J139" s="2">
        <f>C139-$S$3</f>
        <v>-0.11322199999999999</v>
      </c>
      <c r="K139" s="2">
        <f>D139-$S$3</f>
        <v>4.2077999999999997E-2</v>
      </c>
      <c r="L139" s="2">
        <f>E139-$S$3</f>
        <v>6.5678E-2</v>
      </c>
      <c r="M139" s="2">
        <f>F139-$S$3</f>
        <v>5.7777999999999996E-2</v>
      </c>
      <c r="N139" s="2">
        <f>G139-$S$3</f>
        <v>3.2779999999999992E-3</v>
      </c>
      <c r="O139" s="2">
        <f>H139-$S$3</f>
        <v>3.8078000000000001E-2</v>
      </c>
      <c r="P139" s="9">
        <f t="shared" si="12"/>
        <v>8.560066252691223E-2</v>
      </c>
    </row>
    <row r="140" spans="1:16" x14ac:dyDescent="0.2">
      <c r="A140" t="s">
        <v>146</v>
      </c>
      <c r="B140">
        <v>-3.6531999999999995E-2</v>
      </c>
      <c r="C140">
        <v>-5.3200000000000003E-4</v>
      </c>
      <c r="D140">
        <v>7.6567999999999997E-2</v>
      </c>
      <c r="E140">
        <v>2.7167999999999998E-2</v>
      </c>
      <c r="F140">
        <v>6.7567999999999989E-2</v>
      </c>
      <c r="G140">
        <v>4.2268E-2</v>
      </c>
      <c r="H140">
        <v>1.2567999999999999E-2</v>
      </c>
      <c r="I140" s="2">
        <f>B140-$S$3</f>
        <v>-3.8031999999999996E-2</v>
      </c>
      <c r="J140" s="2">
        <f>C140-$S$3</f>
        <v>-2.032E-3</v>
      </c>
      <c r="K140" s="2">
        <f>D140-$S$3</f>
        <v>7.5067999999999996E-2</v>
      </c>
      <c r="L140" s="2">
        <f>E140-$S$3</f>
        <v>2.5667999999999996E-2</v>
      </c>
      <c r="M140" s="2">
        <f>F140-$S$3</f>
        <v>6.6067999999999988E-2</v>
      </c>
      <c r="N140" s="2">
        <f>G140-$S$3</f>
        <v>4.0767999999999999E-2</v>
      </c>
      <c r="O140" s="2">
        <f>H140-$S$3</f>
        <v>1.1068E-2</v>
      </c>
      <c r="P140" s="9">
        <f t="shared" si="12"/>
        <v>5.5603467399952533E-2</v>
      </c>
    </row>
    <row r="141" spans="1:16" x14ac:dyDescent="0.2">
      <c r="A141" t="s">
        <v>147</v>
      </c>
      <c r="B141">
        <v>1.635E-2</v>
      </c>
      <c r="C141">
        <v>8.3150000000000002E-2</v>
      </c>
      <c r="D141">
        <v>-3.3849999999999998E-2</v>
      </c>
      <c r="E141">
        <v>-4.8750000000000002E-2</v>
      </c>
      <c r="F141">
        <v>-1.9450000000000002E-2</v>
      </c>
      <c r="G141">
        <v>6.275E-2</v>
      </c>
      <c r="H141">
        <v>1.975E-2</v>
      </c>
      <c r="I141" s="2">
        <f>B141-$S$3</f>
        <v>1.485E-2</v>
      </c>
      <c r="J141" s="2">
        <f>C141-$S$3</f>
        <v>8.165E-2</v>
      </c>
      <c r="K141" s="2">
        <f>D141-$S$3</f>
        <v>-3.5349999999999999E-2</v>
      </c>
      <c r="L141" s="2">
        <f>E141-$S$3</f>
        <v>-5.0250000000000003E-2</v>
      </c>
      <c r="M141" s="2">
        <f>F141-$S$3</f>
        <v>-2.0950000000000003E-2</v>
      </c>
      <c r="N141" s="2">
        <f>G141-$S$3</f>
        <v>6.1249999999999999E-2</v>
      </c>
      <c r="O141" s="2">
        <f>H141-$S$3</f>
        <v>1.8249999999999999E-2</v>
      </c>
      <c r="P141" s="9">
        <f t="shared" si="12"/>
        <v>-8.4050032233440493E-3</v>
      </c>
    </row>
    <row r="142" spans="1:16" x14ac:dyDescent="0.2">
      <c r="A142" t="s">
        <v>148</v>
      </c>
      <c r="B142">
        <v>5.5633000000000002E-2</v>
      </c>
      <c r="C142">
        <v>6.5533000000000008E-2</v>
      </c>
      <c r="D142">
        <v>2.8832999999999998E-2</v>
      </c>
      <c r="E142">
        <v>6.1133E-2</v>
      </c>
      <c r="F142">
        <v>1.6433E-2</v>
      </c>
      <c r="G142">
        <v>-9.7669999999999996E-3</v>
      </c>
      <c r="H142">
        <v>2.4132999999999998E-2</v>
      </c>
      <c r="I142" s="2">
        <f>B142-$S$3</f>
        <v>5.4133000000000001E-2</v>
      </c>
      <c r="J142" s="2">
        <f>C142-$S$3</f>
        <v>6.4033000000000007E-2</v>
      </c>
      <c r="K142" s="2">
        <f>D142-$S$3</f>
        <v>2.7332999999999996E-2</v>
      </c>
      <c r="L142" s="2">
        <f>E142-$S$3</f>
        <v>5.9632999999999999E-2</v>
      </c>
      <c r="M142" s="2">
        <f>F142-$S$3</f>
        <v>1.4933E-2</v>
      </c>
      <c r="N142" s="2">
        <f>G142-$S$3</f>
        <v>-1.1266999999999999E-2</v>
      </c>
      <c r="O142" s="2">
        <f>H142-$S$3</f>
        <v>2.2632999999999997E-2</v>
      </c>
      <c r="P142" s="9">
        <f t="shared" si="12"/>
        <v>-6.057254166732441E-3</v>
      </c>
    </row>
    <row r="143" spans="1:16" x14ac:dyDescent="0.2">
      <c r="A143" t="s">
        <v>149</v>
      </c>
      <c r="B143">
        <v>0.13686299999999998</v>
      </c>
      <c r="C143">
        <v>0.120863</v>
      </c>
      <c r="D143">
        <v>-7.1836999999999998E-2</v>
      </c>
      <c r="E143">
        <v>-9.7370000000000009E-3</v>
      </c>
      <c r="F143">
        <v>1.6463000000000002E-2</v>
      </c>
      <c r="G143">
        <v>4.3630000000000006E-3</v>
      </c>
      <c r="H143">
        <v>-1.9837E-2</v>
      </c>
      <c r="I143" s="2">
        <f>B143-$S$3</f>
        <v>0.13536299999999998</v>
      </c>
      <c r="J143" s="2">
        <f>C143-$S$3</f>
        <v>0.119363</v>
      </c>
      <c r="K143" s="2">
        <f>D143-$S$3</f>
        <v>-7.3336999999999999E-2</v>
      </c>
      <c r="L143" s="2">
        <f>E143-$S$3</f>
        <v>-1.1237E-2</v>
      </c>
      <c r="M143" s="2">
        <f>F143-$S$3</f>
        <v>1.4963000000000002E-2</v>
      </c>
      <c r="N143" s="2">
        <f>G143-$S$3</f>
        <v>2.8630000000000005E-3</v>
      </c>
      <c r="O143" s="2">
        <f>H143-$S$3</f>
        <v>-2.1337000000000002E-2</v>
      </c>
      <c r="P143" s="9">
        <f t="shared" si="12"/>
        <v>-3.5282041521960766E-2</v>
      </c>
    </row>
    <row r="144" spans="1:16" x14ac:dyDescent="0.2">
      <c r="A144" t="s">
        <v>150</v>
      </c>
      <c r="B144">
        <v>2.5915000000000001E-2</v>
      </c>
      <c r="C144">
        <v>1.4815E-2</v>
      </c>
      <c r="D144">
        <v>-1.3384999999999999E-2</v>
      </c>
      <c r="E144">
        <v>-1.1684999999999999E-2</v>
      </c>
      <c r="F144">
        <v>-4.0085000000000003E-2</v>
      </c>
      <c r="G144">
        <v>-4.1850000000000004E-3</v>
      </c>
      <c r="H144">
        <v>2.715E-3</v>
      </c>
      <c r="I144" s="2">
        <f>B144-$S$3</f>
        <v>2.4414999999999999E-2</v>
      </c>
      <c r="J144" s="2">
        <f>C144-$S$3</f>
        <v>1.3315E-2</v>
      </c>
      <c r="K144" s="2">
        <f>D144-$S$3</f>
        <v>-1.4884999999999999E-2</v>
      </c>
      <c r="L144" s="2">
        <f>E144-$S$3</f>
        <v>-1.3184999999999999E-2</v>
      </c>
      <c r="M144" s="2">
        <f>F144-$S$3</f>
        <v>-4.1585000000000004E-2</v>
      </c>
      <c r="N144" s="2">
        <f>G144-$S$3</f>
        <v>-5.6850000000000008E-3</v>
      </c>
      <c r="O144" s="2">
        <f>H144-$S$3</f>
        <v>1.2149999999999999E-3</v>
      </c>
      <c r="P144" s="9">
        <f t="shared" si="12"/>
        <v>-2.4709667069760844E-2</v>
      </c>
    </row>
    <row r="145" spans="1:16" x14ac:dyDescent="0.2">
      <c r="A145" t="s">
        <v>151</v>
      </c>
      <c r="B145">
        <v>0.13089700000000001</v>
      </c>
      <c r="C145">
        <v>0.113897</v>
      </c>
      <c r="D145">
        <v>-1.2403000000000001E-2</v>
      </c>
      <c r="E145">
        <v>-1.9403E-2</v>
      </c>
      <c r="F145">
        <v>-4.7502999999999997E-2</v>
      </c>
      <c r="G145">
        <v>-6.2803000000000012E-2</v>
      </c>
      <c r="H145">
        <v>6.9970000000000006E-3</v>
      </c>
      <c r="I145" s="2">
        <f>B145-$S$3</f>
        <v>0.12939700000000001</v>
      </c>
      <c r="J145" s="2">
        <f>C145-$S$3</f>
        <v>0.112397</v>
      </c>
      <c r="K145" s="2">
        <f>D145-$S$3</f>
        <v>-1.3903E-2</v>
      </c>
      <c r="L145" s="2">
        <f>E145-$S$3</f>
        <v>-2.0903000000000001E-2</v>
      </c>
      <c r="M145" s="2">
        <f>F145-$S$3</f>
        <v>-4.9002999999999998E-2</v>
      </c>
      <c r="N145" s="2">
        <f>G145-$S$3</f>
        <v>-6.4303000000000013E-2</v>
      </c>
      <c r="O145" s="2">
        <f>H145-$S$3</f>
        <v>5.4970000000000001E-3</v>
      </c>
      <c r="P145" s="9">
        <f t="shared" si="12"/>
        <v>-9.3045751951720657E-2</v>
      </c>
    </row>
    <row r="146" spans="1:16" x14ac:dyDescent="0.2">
      <c r="A146" t="s">
        <v>152</v>
      </c>
      <c r="B146">
        <v>7.2779999999999997E-3</v>
      </c>
      <c r="C146">
        <v>-2.5722000000000002E-2</v>
      </c>
      <c r="D146">
        <v>4.5578E-2</v>
      </c>
      <c r="E146">
        <v>1.9878E-2</v>
      </c>
      <c r="F146">
        <v>2.5177999999999999E-2</v>
      </c>
      <c r="G146">
        <v>2.0978E-2</v>
      </c>
      <c r="H146">
        <v>5.0377999999999999E-2</v>
      </c>
      <c r="I146" s="2">
        <f>B146-$S$3</f>
        <v>5.7780000000000001E-3</v>
      </c>
      <c r="J146" s="2">
        <f>C146-$S$3</f>
        <v>-2.7222000000000003E-2</v>
      </c>
      <c r="K146" s="2">
        <f>D146-$S$3</f>
        <v>4.4077999999999999E-2</v>
      </c>
      <c r="L146" s="2">
        <f>E146-$S$3</f>
        <v>1.8377999999999999E-2</v>
      </c>
      <c r="M146" s="2">
        <f>F146-$S$3</f>
        <v>2.3677999999999998E-2</v>
      </c>
      <c r="N146" s="2">
        <f>G146-$S$3</f>
        <v>1.9477999999999999E-2</v>
      </c>
      <c r="O146" s="2">
        <f>H146-$S$3</f>
        <v>4.8877999999999998E-2</v>
      </c>
      <c r="P146" s="9">
        <f t="shared" si="12"/>
        <v>4.6280832524903857E-2</v>
      </c>
    </row>
    <row r="147" spans="1:16" x14ac:dyDescent="0.2">
      <c r="A147" t="s">
        <v>153</v>
      </c>
      <c r="B147">
        <v>-2.6353999999999999E-2</v>
      </c>
      <c r="C147">
        <v>-3.3554E-2</v>
      </c>
      <c r="D147">
        <v>3.2146000000000001E-2</v>
      </c>
      <c r="E147">
        <v>6.6946000000000006E-2</v>
      </c>
      <c r="F147">
        <v>1.1846000000000001E-2</v>
      </c>
      <c r="G147">
        <v>4.8246000000000004E-2</v>
      </c>
      <c r="H147">
        <v>1.1046E-2</v>
      </c>
      <c r="I147" s="2">
        <f>B147-$S$3</f>
        <v>-2.7854E-2</v>
      </c>
      <c r="J147" s="2">
        <f>C147-$S$3</f>
        <v>-3.5054000000000002E-2</v>
      </c>
      <c r="K147" s="2">
        <f>D147-$S$3</f>
        <v>3.0646E-2</v>
      </c>
      <c r="L147" s="2">
        <f>E147-$S$3</f>
        <v>6.5446000000000004E-2</v>
      </c>
      <c r="M147" s="2">
        <f>F147-$S$3</f>
        <v>1.0346000000000001E-2</v>
      </c>
      <c r="N147" s="2">
        <f>G147-$S$3</f>
        <v>4.6746000000000003E-2</v>
      </c>
      <c r="O147" s="2">
        <f>H147-$S$3</f>
        <v>9.5460000000000007E-3</v>
      </c>
      <c r="P147" s="9">
        <f t="shared" si="12"/>
        <v>5.5593617819975467E-2</v>
      </c>
    </row>
    <row r="148" spans="1:16" x14ac:dyDescent="0.2">
      <c r="A148" t="s">
        <v>154</v>
      </c>
      <c r="B148">
        <v>4.2758999999999998E-2</v>
      </c>
      <c r="C148">
        <v>2.4659E-2</v>
      </c>
      <c r="D148">
        <v>2.1659000000000001E-2</v>
      </c>
      <c r="E148">
        <v>5.6259000000000003E-2</v>
      </c>
      <c r="F148">
        <v>6.3959000000000002E-2</v>
      </c>
      <c r="G148">
        <v>8.7159E-2</v>
      </c>
      <c r="H148">
        <v>3.5958999999999998E-2</v>
      </c>
      <c r="I148" s="2">
        <f>B148-$S$3</f>
        <v>4.1258999999999997E-2</v>
      </c>
      <c r="J148" s="2">
        <f>C148-$S$3</f>
        <v>2.3158999999999999E-2</v>
      </c>
      <c r="K148" s="2">
        <f>D148-$S$3</f>
        <v>2.0159E-2</v>
      </c>
      <c r="L148" s="2">
        <f>E148-$S$3</f>
        <v>5.4759000000000002E-2</v>
      </c>
      <c r="M148" s="2">
        <f>F148-$S$3</f>
        <v>6.2459000000000001E-2</v>
      </c>
      <c r="N148" s="2">
        <f>G148-$S$3</f>
        <v>8.5658999999999999E-2</v>
      </c>
      <c r="O148" s="2">
        <f>H148-$S$3</f>
        <v>3.4458999999999997E-2</v>
      </c>
      <c r="P148" s="9">
        <f t="shared" si="12"/>
        <v>8.3904108363020549E-2</v>
      </c>
    </row>
    <row r="149" spans="1:16" x14ac:dyDescent="0.2">
      <c r="A149" t="s">
        <v>155</v>
      </c>
      <c r="B149">
        <v>4.2562999999999997E-2</v>
      </c>
      <c r="C149">
        <v>0.10856300000000001</v>
      </c>
      <c r="D149">
        <v>3.3162999999999998E-2</v>
      </c>
      <c r="E149">
        <v>0.108263</v>
      </c>
      <c r="F149">
        <v>3.8563E-2</v>
      </c>
      <c r="G149">
        <v>3.0763000000000002E-2</v>
      </c>
      <c r="H149">
        <v>1.8063000000000003E-2</v>
      </c>
      <c r="I149" s="2">
        <f>B149-$S$3</f>
        <v>4.1062999999999995E-2</v>
      </c>
      <c r="J149" s="2">
        <f>C149-$S$3</f>
        <v>0.10706300000000001</v>
      </c>
      <c r="K149" s="2">
        <f>D149-$S$3</f>
        <v>3.1662999999999997E-2</v>
      </c>
      <c r="L149" s="2">
        <f>E149-$S$3</f>
        <v>0.106763</v>
      </c>
      <c r="M149" s="2">
        <f>F149-$S$3</f>
        <v>3.7062999999999999E-2</v>
      </c>
      <c r="N149" s="2">
        <f>G149-$S$3</f>
        <v>2.9263000000000001E-2</v>
      </c>
      <c r="O149" s="2">
        <f>H149-$S$3</f>
        <v>1.6563000000000001E-2</v>
      </c>
      <c r="P149" s="9">
        <f t="shared" si="12"/>
        <v>1.4073510647128664E-2</v>
      </c>
    </row>
    <row r="150" spans="1:16" x14ac:dyDescent="0.2">
      <c r="A150" t="s">
        <v>156</v>
      </c>
      <c r="B150">
        <v>0.15218799999999999</v>
      </c>
      <c r="C150">
        <v>9.8888000000000004E-2</v>
      </c>
      <c r="D150">
        <v>-6.5911999999999998E-2</v>
      </c>
      <c r="E150">
        <v>-0.100712</v>
      </c>
      <c r="F150">
        <v>-3.1312E-2</v>
      </c>
      <c r="G150">
        <v>-9.9120000000000007E-3</v>
      </c>
      <c r="H150">
        <v>2.0787999999999997E-2</v>
      </c>
      <c r="I150" s="2">
        <f>B150-$S$3</f>
        <v>0.15068799999999999</v>
      </c>
      <c r="J150" s="2">
        <f>C150-$S$3</f>
        <v>9.7388000000000002E-2</v>
      </c>
      <c r="K150" s="2">
        <f>D150-$S$3</f>
        <v>-6.7412E-2</v>
      </c>
      <c r="L150" s="2">
        <f>E150-$S$3</f>
        <v>-0.102212</v>
      </c>
      <c r="M150" s="2">
        <f>F150-$S$3</f>
        <v>-3.2812000000000001E-2</v>
      </c>
      <c r="N150" s="2">
        <f>G150-$S$3</f>
        <v>-1.1412E-2</v>
      </c>
      <c r="O150" s="2">
        <f>H150-$S$3</f>
        <v>1.9287999999999996E-2</v>
      </c>
      <c r="P150" s="9">
        <f t="shared" si="12"/>
        <v>-5.9529191465939435E-2</v>
      </c>
    </row>
    <row r="151" spans="1:16" x14ac:dyDescent="0.2">
      <c r="A151" t="s">
        <v>157</v>
      </c>
      <c r="B151">
        <v>-1.3413000000000001E-2</v>
      </c>
      <c r="C151">
        <v>-1.7113E-2</v>
      </c>
      <c r="D151">
        <v>1.1686999999999999E-2</v>
      </c>
      <c r="E151">
        <v>3.8386999999999998E-2</v>
      </c>
      <c r="F151">
        <v>-4.7130000000000002E-3</v>
      </c>
      <c r="G151">
        <v>-9.2130000000000007E-3</v>
      </c>
      <c r="H151">
        <v>-1.5013E-2</v>
      </c>
      <c r="I151" s="2">
        <f>B151-$S$3</f>
        <v>-1.4913000000000001E-2</v>
      </c>
      <c r="J151" s="2">
        <f>C151-$S$3</f>
        <v>-1.8613000000000001E-2</v>
      </c>
      <c r="K151" s="2">
        <f>D151-$S$3</f>
        <v>1.0187E-2</v>
      </c>
      <c r="L151" s="2">
        <f>E151-$S$3</f>
        <v>3.6886999999999996E-2</v>
      </c>
      <c r="M151" s="2">
        <f>F151-$S$3</f>
        <v>-6.2129999999999998E-3</v>
      </c>
      <c r="N151" s="2">
        <f>G151-$S$3</f>
        <v>-1.0713E-2</v>
      </c>
      <c r="O151" s="2">
        <f>H151-$S$3</f>
        <v>-1.6513E-2</v>
      </c>
      <c r="P151" s="9">
        <f t="shared" si="12"/>
        <v>1.5104778353327206E-3</v>
      </c>
    </row>
    <row r="152" spans="1:16" x14ac:dyDescent="0.2">
      <c r="A152" t="s">
        <v>158</v>
      </c>
      <c r="B152">
        <v>9.7591000000000011E-2</v>
      </c>
      <c r="C152">
        <v>7.6891000000000001E-2</v>
      </c>
      <c r="D152">
        <v>8.8909999999999996E-3</v>
      </c>
      <c r="E152">
        <v>-7.2090000000000001E-3</v>
      </c>
      <c r="F152">
        <v>4.6290999999999999E-2</v>
      </c>
      <c r="G152">
        <v>3.4691E-2</v>
      </c>
      <c r="H152">
        <v>4.9491E-2</v>
      </c>
      <c r="I152" s="2">
        <f>B152-$S$3</f>
        <v>9.609100000000001E-2</v>
      </c>
      <c r="J152" s="2">
        <f>C152-$S$3</f>
        <v>7.5391E-2</v>
      </c>
      <c r="K152" s="2">
        <f>D152-$S$3</f>
        <v>7.391E-3</v>
      </c>
      <c r="L152" s="2">
        <f>E152-$S$3</f>
        <v>-8.7089999999999997E-3</v>
      </c>
      <c r="M152" s="2">
        <f>F152-$S$3</f>
        <v>4.4790999999999997E-2</v>
      </c>
      <c r="N152" s="2">
        <f>G152-$S$3</f>
        <v>3.3190999999999998E-2</v>
      </c>
      <c r="O152" s="2">
        <f>H152-$S$3</f>
        <v>4.7990999999999999E-2</v>
      </c>
      <c r="P152" s="9">
        <f t="shared" si="12"/>
        <v>2.3561531140932433E-2</v>
      </c>
    </row>
    <row r="153" spans="1:16" x14ac:dyDescent="0.2">
      <c r="A153" t="s">
        <v>159</v>
      </c>
      <c r="B153">
        <v>-4.0909000000000001E-2</v>
      </c>
      <c r="C153">
        <v>-4.9909000000000002E-2</v>
      </c>
      <c r="D153">
        <v>-4.0809000000000005E-2</v>
      </c>
      <c r="E153">
        <v>-4.2409000000000002E-2</v>
      </c>
      <c r="F153">
        <v>-5.8009000000000005E-2</v>
      </c>
      <c r="G153">
        <v>-0.105809</v>
      </c>
      <c r="H153">
        <v>-3.1309000000000003E-2</v>
      </c>
      <c r="I153" s="2">
        <f>B153-$S$3</f>
        <v>-4.2409000000000002E-2</v>
      </c>
      <c r="J153" s="2">
        <f>C153-$S$3</f>
        <v>-5.1409000000000003E-2</v>
      </c>
      <c r="K153" s="2">
        <f>D153-$S$3</f>
        <v>-4.2309000000000006E-2</v>
      </c>
      <c r="L153" s="2">
        <f>E153-$S$3</f>
        <v>-4.3909000000000004E-2</v>
      </c>
      <c r="M153" s="2">
        <f>F153-$S$3</f>
        <v>-5.9509000000000006E-2</v>
      </c>
      <c r="N153" s="2">
        <f>G153-$S$3</f>
        <v>-0.107309</v>
      </c>
      <c r="O153" s="2">
        <f>H153-$S$3</f>
        <v>-3.2809000000000005E-2</v>
      </c>
      <c r="P153" s="9">
        <f t="shared" si="12"/>
        <v>-7.7842874067584653E-2</v>
      </c>
    </row>
    <row r="154" spans="1:16" x14ac:dyDescent="0.2">
      <c r="A154" t="s">
        <v>160</v>
      </c>
      <c r="B154">
        <v>4.1992000000000002E-2</v>
      </c>
      <c r="C154">
        <v>5.5492E-2</v>
      </c>
      <c r="D154">
        <v>-3.0799999999999995E-4</v>
      </c>
      <c r="E154">
        <v>-1.4907999999999999E-2</v>
      </c>
      <c r="F154">
        <v>1.3392000000000001E-2</v>
      </c>
      <c r="G154">
        <v>1.0592000000000001E-2</v>
      </c>
      <c r="H154">
        <v>2.9791999999999999E-2</v>
      </c>
      <c r="I154" s="2">
        <f>B154-$S$3</f>
        <v>4.0492E-2</v>
      </c>
      <c r="J154" s="2">
        <f>C154-$S$3</f>
        <v>5.3991999999999998E-2</v>
      </c>
      <c r="K154" s="2">
        <f>D154-$S$3</f>
        <v>-1.8079999999999999E-3</v>
      </c>
      <c r="L154" s="2">
        <f>E154-$S$3</f>
        <v>-1.6407999999999999E-2</v>
      </c>
      <c r="M154" s="2">
        <f>F154-$S$3</f>
        <v>1.1892000000000002E-2</v>
      </c>
      <c r="N154" s="2">
        <f>G154-$S$3</f>
        <v>9.0920000000000011E-3</v>
      </c>
      <c r="O154" s="2">
        <f>H154-$S$3</f>
        <v>2.8291999999999998E-2</v>
      </c>
      <c r="P154" s="9">
        <f t="shared" si="12"/>
        <v>-3.5560956201164135E-3</v>
      </c>
    </row>
    <row r="155" spans="1:16" x14ac:dyDescent="0.2">
      <c r="A155" t="s">
        <v>161</v>
      </c>
      <c r="B155">
        <v>2.0083E-2</v>
      </c>
      <c r="C155">
        <v>2.7182999999999999E-2</v>
      </c>
      <c r="D155">
        <v>8.4883E-2</v>
      </c>
      <c r="E155">
        <v>9.4583E-2</v>
      </c>
      <c r="F155">
        <v>3.7682999999999994E-2</v>
      </c>
      <c r="G155">
        <v>1.2683E-2</v>
      </c>
      <c r="H155">
        <v>4.4582999999999998E-2</v>
      </c>
      <c r="I155" s="2">
        <f>B155-$S$3</f>
        <v>1.8582999999999999E-2</v>
      </c>
      <c r="J155" s="2">
        <f>C155-$S$3</f>
        <v>2.5682999999999997E-2</v>
      </c>
      <c r="K155" s="2">
        <f>D155-$S$3</f>
        <v>8.3382999999999999E-2</v>
      </c>
      <c r="L155" s="2">
        <f>E155-$S$3</f>
        <v>9.3082999999999999E-2</v>
      </c>
      <c r="M155" s="2">
        <f>F155-$S$3</f>
        <v>3.6182999999999993E-2</v>
      </c>
      <c r="N155" s="2">
        <f>G155-$S$3</f>
        <v>1.1183E-2</v>
      </c>
      <c r="O155" s="2">
        <f>H155-$S$3</f>
        <v>4.3082999999999996E-2</v>
      </c>
      <c r="P155" s="9">
        <f t="shared" si="12"/>
        <v>3.7170888708094089E-2</v>
      </c>
    </row>
    <row r="156" spans="1:16" x14ac:dyDescent="0.2">
      <c r="A156" t="s">
        <v>162</v>
      </c>
      <c r="B156">
        <v>-1.8319999999999999E-3</v>
      </c>
      <c r="C156">
        <v>4.8168000000000002E-2</v>
      </c>
      <c r="D156">
        <v>-2.7332000000000002E-2</v>
      </c>
      <c r="E156">
        <v>-1.7632000000000002E-2</v>
      </c>
      <c r="F156">
        <v>5.5468000000000003E-2</v>
      </c>
      <c r="G156">
        <v>-6.9319999999999998E-3</v>
      </c>
      <c r="H156">
        <v>2.7968E-2</v>
      </c>
      <c r="I156" s="2">
        <f>B156-$S$3</f>
        <v>-3.3319999999999999E-3</v>
      </c>
      <c r="J156" s="2">
        <f>C156-$S$3</f>
        <v>4.6668000000000001E-2</v>
      </c>
      <c r="K156" s="2">
        <f>D156-$S$3</f>
        <v>-2.8832000000000003E-2</v>
      </c>
      <c r="L156" s="2">
        <f>E156-$S$3</f>
        <v>-1.9132000000000003E-2</v>
      </c>
      <c r="M156" s="2">
        <f>F156-$S$3</f>
        <v>5.3968000000000002E-2</v>
      </c>
      <c r="N156" s="2">
        <f>G156-$S$3</f>
        <v>-8.4320000000000003E-3</v>
      </c>
      <c r="O156" s="2">
        <f>H156-$S$3</f>
        <v>2.6467999999999998E-2</v>
      </c>
      <c r="P156" s="9">
        <f t="shared" si="12"/>
        <v>5.1485271700865516E-3</v>
      </c>
    </row>
    <row r="157" spans="1:16" x14ac:dyDescent="0.2">
      <c r="A157" t="s">
        <v>163</v>
      </c>
      <c r="B157">
        <v>-9.6623000000000001E-2</v>
      </c>
      <c r="C157">
        <v>5.5277E-2</v>
      </c>
      <c r="D157">
        <v>-1.423E-3</v>
      </c>
      <c r="E157">
        <v>-9.7230000000000007E-3</v>
      </c>
      <c r="F157">
        <v>-2.2922999999999999E-2</v>
      </c>
      <c r="G157">
        <v>-1.0323000000000001E-2</v>
      </c>
      <c r="H157">
        <v>2.3577000000000001E-2</v>
      </c>
      <c r="I157" s="2">
        <f>B157-$S$3</f>
        <v>-9.8123000000000002E-2</v>
      </c>
      <c r="J157" s="2">
        <f>C157-$S$3</f>
        <v>5.3776999999999998E-2</v>
      </c>
      <c r="K157" s="2">
        <f>D157-$S$3</f>
        <v>-2.9230000000000003E-3</v>
      </c>
      <c r="L157" s="2">
        <f>E157-$S$3</f>
        <v>-1.1223E-2</v>
      </c>
      <c r="M157" s="2">
        <f>F157-$S$3</f>
        <v>-2.4423E-2</v>
      </c>
      <c r="N157" s="2">
        <f>G157-$S$3</f>
        <v>-1.1823E-2</v>
      </c>
      <c r="O157" s="2">
        <f>H157-$S$3</f>
        <v>2.2076999999999999E-2</v>
      </c>
      <c r="P157" s="9">
        <f t="shared" si="12"/>
        <v>-3.7809902090472483E-2</v>
      </c>
    </row>
    <row r="158" spans="1:16" x14ac:dyDescent="0.2">
      <c r="A158" t="s">
        <v>164</v>
      </c>
      <c r="B158">
        <v>-2.2512000000000001E-2</v>
      </c>
      <c r="C158">
        <v>-0.117212</v>
      </c>
      <c r="D158">
        <v>-3.9612000000000001E-2</v>
      </c>
      <c r="E158">
        <v>-1.2112E-2</v>
      </c>
      <c r="F158">
        <v>-5.1011999999999995E-2</v>
      </c>
      <c r="G158">
        <v>-0.104812</v>
      </c>
      <c r="H158">
        <v>-3.5611999999999998E-2</v>
      </c>
      <c r="I158" s="2">
        <f>B158-$S$3</f>
        <v>-2.4012000000000002E-2</v>
      </c>
      <c r="J158" s="2">
        <f>C158-$S$3</f>
        <v>-0.118712</v>
      </c>
      <c r="K158" s="2">
        <f>D158-$S$3</f>
        <v>-4.1112000000000003E-2</v>
      </c>
      <c r="L158" s="2">
        <f>E158-$S$3</f>
        <v>-1.3611999999999999E-2</v>
      </c>
      <c r="M158" s="2">
        <f>F158-$S$3</f>
        <v>-5.2511999999999996E-2</v>
      </c>
      <c r="N158" s="2">
        <f>G158-$S$3</f>
        <v>-0.106312</v>
      </c>
      <c r="O158" s="2">
        <f>H158-$S$3</f>
        <v>-3.7111999999999999E-2</v>
      </c>
      <c r="P158" s="9">
        <f t="shared" si="12"/>
        <v>-4.3347275709634023E-2</v>
      </c>
    </row>
    <row r="159" spans="1:16" x14ac:dyDescent="0.2">
      <c r="A159" t="s">
        <v>165</v>
      </c>
      <c r="B159">
        <v>2.8655E-2</v>
      </c>
      <c r="C159">
        <v>3.2550000000000001E-3</v>
      </c>
      <c r="D159">
        <v>-4.1745000000000004E-2</v>
      </c>
      <c r="E159">
        <v>-9.2449999999999997E-3</v>
      </c>
      <c r="F159">
        <v>2.5499999999999996E-4</v>
      </c>
      <c r="G159">
        <v>0.112555</v>
      </c>
      <c r="H159">
        <v>4.3054999999999996E-2</v>
      </c>
      <c r="I159" s="2">
        <f>B159-$S$3</f>
        <v>2.7154999999999999E-2</v>
      </c>
      <c r="J159" s="2">
        <f>C159-$S$3</f>
        <v>1.755E-3</v>
      </c>
      <c r="K159" s="2">
        <f>D159-$S$3</f>
        <v>-4.3245000000000006E-2</v>
      </c>
      <c r="L159" s="2">
        <f>E159-$S$3</f>
        <v>-1.0744999999999999E-2</v>
      </c>
      <c r="M159" s="2">
        <f>F159-$S$3</f>
        <v>-1.245E-3</v>
      </c>
      <c r="N159" s="2">
        <f>G159-$S$3</f>
        <v>0.111055</v>
      </c>
      <c r="O159" s="2">
        <f>H159-$S$3</f>
        <v>4.1554999999999995E-2</v>
      </c>
      <c r="P159" s="9">
        <f t="shared" si="12"/>
        <v>7.0547028958332897E-2</v>
      </c>
    </row>
    <row r="160" spans="1:16" x14ac:dyDescent="0.2">
      <c r="A160" t="s">
        <v>166</v>
      </c>
      <c r="B160">
        <v>1.3571999999999999E-2</v>
      </c>
      <c r="C160">
        <v>-4.0828000000000003E-2</v>
      </c>
      <c r="D160">
        <v>9.8271999999999998E-2</v>
      </c>
      <c r="E160">
        <v>-2.2800000000000001E-4</v>
      </c>
      <c r="F160">
        <v>2.9672E-2</v>
      </c>
      <c r="G160">
        <v>-3.2528000000000001E-2</v>
      </c>
      <c r="H160">
        <v>6.8719999999999996E-3</v>
      </c>
      <c r="I160" s="2">
        <f>B160-$S$3</f>
        <v>1.2071999999999999E-2</v>
      </c>
      <c r="J160" s="2">
        <f>C160-$S$3</f>
        <v>-4.2328000000000005E-2</v>
      </c>
      <c r="K160" s="2">
        <f>D160-$S$3</f>
        <v>9.6771999999999997E-2</v>
      </c>
      <c r="L160" s="2">
        <f>E160-$S$3</f>
        <v>-1.7279999999999999E-3</v>
      </c>
      <c r="M160" s="2">
        <f>F160-$S$3</f>
        <v>2.8171999999999999E-2</v>
      </c>
      <c r="N160" s="2">
        <f>G160-$S$3</f>
        <v>-3.4028000000000003E-2</v>
      </c>
      <c r="O160" s="2">
        <f>H160-$S$3</f>
        <v>5.372E-3</v>
      </c>
      <c r="P160" s="9">
        <f t="shared" si="12"/>
        <v>1.0987904175647222E-2</v>
      </c>
    </row>
    <row r="161" spans="1:16" x14ac:dyDescent="0.2">
      <c r="A161" t="s">
        <v>167</v>
      </c>
      <c r="B161">
        <v>4.3284999999999997E-2</v>
      </c>
      <c r="C161">
        <v>1.6849999999999999E-3</v>
      </c>
      <c r="D161">
        <v>3.1184999999999997E-2</v>
      </c>
      <c r="E161">
        <v>-6.9150000000000001E-3</v>
      </c>
      <c r="F161">
        <v>4.2885E-2</v>
      </c>
      <c r="G161">
        <v>2.0485E-2</v>
      </c>
      <c r="H161">
        <v>6.1849999999999995E-3</v>
      </c>
      <c r="I161" s="2">
        <f>B161-$S$3</f>
        <v>4.1784999999999996E-2</v>
      </c>
      <c r="J161" s="2">
        <f>C161-$S$3</f>
        <v>1.8499999999999983E-4</v>
      </c>
      <c r="K161" s="2">
        <f>D161-$S$3</f>
        <v>2.9684999999999996E-2</v>
      </c>
      <c r="L161" s="2">
        <f>E161-$S$3</f>
        <v>-8.4150000000000006E-3</v>
      </c>
      <c r="M161" s="2">
        <f>F161-$S$3</f>
        <v>4.1384999999999998E-2</v>
      </c>
      <c r="N161" s="2">
        <f>G161-$S$3</f>
        <v>1.8984999999999998E-2</v>
      </c>
      <c r="O161" s="2">
        <f>H161-$S$3</f>
        <v>4.6849999999999999E-3</v>
      </c>
      <c r="P161" s="9">
        <f t="shared" si="12"/>
        <v>3.0473845070841821E-2</v>
      </c>
    </row>
    <row r="162" spans="1:16" x14ac:dyDescent="0.2">
      <c r="A162" t="s">
        <v>168</v>
      </c>
      <c r="B162">
        <v>1.7991999999999998E-2</v>
      </c>
      <c r="C162">
        <v>2.8919999999999996E-3</v>
      </c>
      <c r="D162">
        <v>-6.4080000000000005E-3</v>
      </c>
      <c r="E162">
        <v>6.9092000000000001E-2</v>
      </c>
      <c r="F162">
        <v>-3.1008000000000001E-2</v>
      </c>
      <c r="G162">
        <v>-7.400799999999999E-2</v>
      </c>
      <c r="H162">
        <v>2.0992E-2</v>
      </c>
      <c r="I162" s="2">
        <f>B162-$S$3</f>
        <v>1.6491999999999996E-2</v>
      </c>
      <c r="J162" s="2">
        <f>C162-$S$3</f>
        <v>1.3919999999999996E-3</v>
      </c>
      <c r="K162" s="2">
        <f>D162-$S$3</f>
        <v>-7.9080000000000001E-3</v>
      </c>
      <c r="L162" s="2">
        <f>E162-$S$3</f>
        <v>6.7591999999999999E-2</v>
      </c>
      <c r="M162" s="2">
        <f>F162-$S$3</f>
        <v>-3.2508000000000002E-2</v>
      </c>
      <c r="N162" s="2">
        <f>G162-$S$3</f>
        <v>-7.5507999999999992E-2</v>
      </c>
      <c r="O162" s="2">
        <f>H162-$S$3</f>
        <v>1.9491999999999999E-2</v>
      </c>
      <c r="P162" s="9">
        <f t="shared" si="12"/>
        <v>-3.7233216728549734E-2</v>
      </c>
    </row>
    <row r="163" spans="1:16" x14ac:dyDescent="0.2">
      <c r="A163" t="s">
        <v>169</v>
      </c>
      <c r="B163">
        <v>4.8680000000000001E-2</v>
      </c>
      <c r="C163">
        <v>5.8380000000000001E-2</v>
      </c>
      <c r="D163">
        <v>-3.1199999999999999E-3</v>
      </c>
      <c r="E163">
        <v>-2.0619999999999999E-2</v>
      </c>
      <c r="F163">
        <v>-2.2120000000000001E-2</v>
      </c>
      <c r="G163">
        <v>2.0980000000000002E-2</v>
      </c>
      <c r="H163">
        <v>1.908E-2</v>
      </c>
      <c r="I163" s="2">
        <f>B163-$S$3</f>
        <v>4.718E-2</v>
      </c>
      <c r="J163" s="2">
        <f>C163-$S$3</f>
        <v>5.688E-2</v>
      </c>
      <c r="K163" s="2">
        <f>D163-$S$3</f>
        <v>-4.62E-3</v>
      </c>
      <c r="L163" s="2">
        <f>E163-$S$3</f>
        <v>-2.2120000000000001E-2</v>
      </c>
      <c r="M163" s="2">
        <f>F163-$S$3</f>
        <v>-2.3620000000000002E-2</v>
      </c>
      <c r="N163" s="2">
        <f>G163-$S$3</f>
        <v>1.9480000000000001E-2</v>
      </c>
      <c r="O163" s="2">
        <f>H163-$S$3</f>
        <v>1.7579999999999998E-2</v>
      </c>
      <c r="P163" s="9">
        <f t="shared" si="12"/>
        <v>-1.7125812882522629E-2</v>
      </c>
    </row>
    <row r="164" spans="1:16" x14ac:dyDescent="0.2">
      <c r="A164" t="s">
        <v>170</v>
      </c>
      <c r="B164">
        <v>-5.7130000000000002E-3</v>
      </c>
      <c r="C164">
        <v>-6.8312999999999999E-2</v>
      </c>
      <c r="D164">
        <v>1.9487000000000001E-2</v>
      </c>
      <c r="E164">
        <v>4.1687000000000002E-2</v>
      </c>
      <c r="F164">
        <v>-1.9813000000000001E-2</v>
      </c>
      <c r="G164">
        <v>2.8287E-2</v>
      </c>
      <c r="H164">
        <v>-1.5113000000000001E-2</v>
      </c>
      <c r="I164" s="2">
        <f>B164-$S$3</f>
        <v>-7.2130000000000007E-3</v>
      </c>
      <c r="J164" s="2">
        <f>C164-$S$3</f>
        <v>-6.9813E-2</v>
      </c>
      <c r="K164" s="2">
        <f>D164-$S$3</f>
        <v>1.7987E-2</v>
      </c>
      <c r="L164" s="2">
        <f>E164-$S$3</f>
        <v>4.0187E-2</v>
      </c>
      <c r="M164" s="2">
        <f>F164-$S$3</f>
        <v>-2.1313000000000002E-2</v>
      </c>
      <c r="N164" s="2">
        <f>G164-$S$3</f>
        <v>2.6786999999999998E-2</v>
      </c>
      <c r="O164" s="2">
        <f>H164-$S$3</f>
        <v>-1.6613000000000003E-2</v>
      </c>
      <c r="P164" s="9">
        <f t="shared" si="12"/>
        <v>3.6031338290956894E-2</v>
      </c>
    </row>
    <row r="165" spans="1:16" x14ac:dyDescent="0.2">
      <c r="A165" t="s">
        <v>171</v>
      </c>
      <c r="B165">
        <v>2.2897000000000001E-2</v>
      </c>
      <c r="C165">
        <v>2.8997000000000002E-2</v>
      </c>
      <c r="D165">
        <v>-1.7703E-2</v>
      </c>
      <c r="E165">
        <v>-1.1903E-2</v>
      </c>
      <c r="F165">
        <v>3.2696999999999997E-2</v>
      </c>
      <c r="G165">
        <v>1.6997000000000002E-2</v>
      </c>
      <c r="H165">
        <v>3.7696999999999994E-2</v>
      </c>
      <c r="I165" s="2">
        <f>B165-$S$3</f>
        <v>2.1396999999999999E-2</v>
      </c>
      <c r="J165" s="2">
        <f>C165-$S$3</f>
        <v>2.7497000000000001E-2</v>
      </c>
      <c r="K165" s="2">
        <f>D165-$S$3</f>
        <v>-1.9203000000000001E-2</v>
      </c>
      <c r="L165" s="2">
        <f>E165-$S$3</f>
        <v>-1.3403E-2</v>
      </c>
      <c r="M165" s="2">
        <f>F165-$S$3</f>
        <v>3.1196999999999996E-2</v>
      </c>
      <c r="N165" s="2">
        <f>G165-$S$3</f>
        <v>1.5497000000000002E-2</v>
      </c>
      <c r="O165" s="2">
        <f>H165-$S$3</f>
        <v>3.6196999999999993E-2</v>
      </c>
      <c r="P165" s="9">
        <f t="shared" si="12"/>
        <v>2.0109764072498017E-2</v>
      </c>
    </row>
    <row r="166" spans="1:16" x14ac:dyDescent="0.2">
      <c r="A166" t="s">
        <v>172</v>
      </c>
      <c r="B166">
        <v>-0.150504</v>
      </c>
      <c r="C166">
        <v>-7.3903999999999997E-2</v>
      </c>
      <c r="D166">
        <v>7.9959999999999996E-3</v>
      </c>
      <c r="E166">
        <v>3.3959999999999997E-3</v>
      </c>
      <c r="F166">
        <v>1.2796E-2</v>
      </c>
      <c r="G166">
        <v>4.3396000000000004E-2</v>
      </c>
      <c r="H166">
        <v>-1.5504E-2</v>
      </c>
      <c r="I166" s="2">
        <f>B166-$S$3</f>
        <v>-0.152004</v>
      </c>
      <c r="J166" s="2">
        <f>C166-$S$3</f>
        <v>-7.5403999999999999E-2</v>
      </c>
      <c r="K166" s="2">
        <f>D166-$S$3</f>
        <v>6.496E-3</v>
      </c>
      <c r="L166" s="2">
        <f>E166-$S$3</f>
        <v>1.8959999999999997E-3</v>
      </c>
      <c r="M166" s="2">
        <f>F166-$S$3</f>
        <v>1.1296E-2</v>
      </c>
      <c r="N166" s="2">
        <f>G166-$S$3</f>
        <v>4.1896000000000003E-2</v>
      </c>
      <c r="O166" s="2">
        <f>H166-$S$3</f>
        <v>-1.7004000000000002E-2</v>
      </c>
      <c r="P166" s="9">
        <f t="shared" si="12"/>
        <v>4.6806749391331254E-2</v>
      </c>
    </row>
    <row r="167" spans="1:16" x14ac:dyDescent="0.2">
      <c r="A167" t="s">
        <v>173</v>
      </c>
      <c r="B167">
        <v>-3.8811999999999999E-2</v>
      </c>
      <c r="C167">
        <v>-1.6912E-2</v>
      </c>
      <c r="D167">
        <v>1.588E-3</v>
      </c>
      <c r="E167">
        <v>1.6287999999999997E-2</v>
      </c>
      <c r="F167">
        <v>-2.6119999999999997E-3</v>
      </c>
      <c r="G167">
        <v>-1.3712E-2</v>
      </c>
      <c r="H167">
        <v>2.3187999999999997E-2</v>
      </c>
      <c r="I167" s="2">
        <f>B167-$S$3</f>
        <v>-4.0312000000000001E-2</v>
      </c>
      <c r="J167" s="2">
        <f>C167-$S$3</f>
        <v>-1.8412000000000001E-2</v>
      </c>
      <c r="K167" s="2">
        <f>D167-$S$3</f>
        <v>8.7999999999999971E-5</v>
      </c>
      <c r="L167" s="2">
        <f>E167-$S$3</f>
        <v>1.4787999999999997E-2</v>
      </c>
      <c r="M167" s="2">
        <f>F167-$S$3</f>
        <v>-4.1119999999999993E-3</v>
      </c>
      <c r="N167" s="2">
        <f>G167-$S$3</f>
        <v>-1.5212E-2</v>
      </c>
      <c r="O167" s="2">
        <f>H167-$S$3</f>
        <v>2.1687999999999995E-2</v>
      </c>
      <c r="P167" s="9">
        <f t="shared" si="12"/>
        <v>4.0268462961683196E-3</v>
      </c>
    </row>
    <row r="168" spans="1:16" x14ac:dyDescent="0.2">
      <c r="A168" t="s">
        <v>174</v>
      </c>
      <c r="B168">
        <v>0.116401</v>
      </c>
      <c r="C168">
        <v>6.4601000000000006E-2</v>
      </c>
      <c r="D168">
        <v>1.5500999999999999E-2</v>
      </c>
      <c r="E168">
        <v>6.8009999999999998E-3</v>
      </c>
      <c r="F168">
        <v>0.14780099999999999</v>
      </c>
      <c r="G168">
        <v>0.20630100000000001</v>
      </c>
      <c r="H168">
        <v>2.4501000000000002E-2</v>
      </c>
      <c r="I168" s="2">
        <f>B168-$S$3</f>
        <v>0.114901</v>
      </c>
      <c r="J168" s="2">
        <f>C168-$S$3</f>
        <v>6.3101000000000004E-2</v>
      </c>
      <c r="K168" s="2">
        <f>D168-$S$3</f>
        <v>1.4001E-2</v>
      </c>
      <c r="L168" s="2">
        <f>E168-$S$3</f>
        <v>5.3010000000000002E-3</v>
      </c>
      <c r="M168" s="2">
        <f>F168-$S$3</f>
        <v>0.14630099999999999</v>
      </c>
      <c r="N168" s="2">
        <f>G168-$S$3</f>
        <v>0.20480100000000001</v>
      </c>
      <c r="O168" s="2">
        <f>H168-$S$3</f>
        <v>2.3001000000000001E-2</v>
      </c>
      <c r="P168" s="9">
        <f t="shared" si="12"/>
        <v>0.16166788345408947</v>
      </c>
    </row>
    <row r="169" spans="1:16" x14ac:dyDescent="0.2">
      <c r="A169" t="s">
        <v>175</v>
      </c>
      <c r="B169">
        <v>-1.4605E-2</v>
      </c>
      <c r="C169">
        <v>5.3895000000000005E-2</v>
      </c>
      <c r="D169">
        <v>-5.0604999999999997E-2</v>
      </c>
      <c r="E169">
        <v>-7.5305000000000011E-2</v>
      </c>
      <c r="F169">
        <v>-1.3405E-2</v>
      </c>
      <c r="G169">
        <v>2.5794999999999998E-2</v>
      </c>
      <c r="H169">
        <v>-4.2049999999999995E-3</v>
      </c>
      <c r="I169" s="2">
        <f>B169-$S$3</f>
        <v>-1.6105000000000001E-2</v>
      </c>
      <c r="J169" s="2">
        <f>C169-$S$3</f>
        <v>5.2395000000000004E-2</v>
      </c>
      <c r="K169" s="2">
        <f>D169-$S$3</f>
        <v>-5.2104999999999999E-2</v>
      </c>
      <c r="L169" s="2">
        <f>E169-$S$3</f>
        <v>-7.6805000000000012E-2</v>
      </c>
      <c r="M169" s="2">
        <f>F169-$S$3</f>
        <v>-1.4905E-2</v>
      </c>
      <c r="N169" s="2">
        <f>G169-$S$3</f>
        <v>2.4294999999999997E-2</v>
      </c>
      <c r="O169" s="2">
        <f>H169-$S$3</f>
        <v>-5.705E-3</v>
      </c>
      <c r="P169" s="9">
        <f t="shared" si="12"/>
        <v>-2.5536964253190214E-2</v>
      </c>
    </row>
    <row r="170" spans="1:16" x14ac:dyDescent="0.2">
      <c r="A170" t="s">
        <v>176</v>
      </c>
      <c r="B170">
        <v>-4.1112999999999997E-2</v>
      </c>
      <c r="C170">
        <v>-6.5613000000000005E-2</v>
      </c>
      <c r="D170">
        <v>-6.1130000000000004E-3</v>
      </c>
      <c r="E170">
        <v>-1.1213000000000001E-2</v>
      </c>
      <c r="F170">
        <v>-1.0513000000000002E-2</v>
      </c>
      <c r="G170">
        <v>-3.0313E-2</v>
      </c>
      <c r="H170">
        <v>-3.1012999999999999E-2</v>
      </c>
      <c r="I170" s="2">
        <f>B170-$S$3</f>
        <v>-4.2612999999999998E-2</v>
      </c>
      <c r="J170" s="2">
        <f>C170-$S$3</f>
        <v>-6.7113000000000006E-2</v>
      </c>
      <c r="K170" s="2">
        <f>D170-$S$3</f>
        <v>-7.613E-3</v>
      </c>
      <c r="L170" s="2">
        <f>E170-$S$3</f>
        <v>-1.2713E-2</v>
      </c>
      <c r="M170" s="2">
        <f>F170-$S$3</f>
        <v>-1.2013000000000001E-2</v>
      </c>
      <c r="N170" s="2">
        <f>G170-$S$3</f>
        <v>-3.1813000000000001E-2</v>
      </c>
      <c r="O170" s="2">
        <f>H170-$S$3</f>
        <v>-3.2513E-2</v>
      </c>
      <c r="P170" s="9">
        <f t="shared" si="12"/>
        <v>-6.3150940720674998E-3</v>
      </c>
    </row>
    <row r="171" spans="1:16" x14ac:dyDescent="0.2">
      <c r="A171" t="s">
        <v>177</v>
      </c>
      <c r="B171">
        <v>0.11082099999999999</v>
      </c>
      <c r="C171">
        <v>0.143821</v>
      </c>
      <c r="D171">
        <v>4.9820999999999997E-2</v>
      </c>
      <c r="E171">
        <v>8.1820999999999991E-2</v>
      </c>
      <c r="F171">
        <v>-1.2378999999999999E-2</v>
      </c>
      <c r="G171">
        <v>5.0921000000000001E-2</v>
      </c>
      <c r="H171">
        <v>5.4920999999999998E-2</v>
      </c>
      <c r="I171" s="2">
        <f>B171-$S$3</f>
        <v>0.10932099999999999</v>
      </c>
      <c r="J171" s="2">
        <f>C171-$S$3</f>
        <v>0.142321</v>
      </c>
      <c r="K171" s="2">
        <f>D171-$S$3</f>
        <v>4.8320999999999996E-2</v>
      </c>
      <c r="L171" s="2">
        <f>E171-$S$3</f>
        <v>8.032099999999999E-2</v>
      </c>
      <c r="M171" s="2">
        <f>F171-$S$3</f>
        <v>-1.3878999999999999E-2</v>
      </c>
      <c r="N171" s="2">
        <f>G171-$S$3</f>
        <v>4.9421E-2</v>
      </c>
      <c r="O171" s="2">
        <f>H171-$S$3</f>
        <v>5.3420999999999996E-2</v>
      </c>
      <c r="P171" s="9">
        <f t="shared" si="12"/>
        <v>-3.0255106343270114E-3</v>
      </c>
    </row>
    <row r="172" spans="1:16" x14ac:dyDescent="0.2">
      <c r="A172" t="s">
        <v>178</v>
      </c>
      <c r="B172">
        <v>-1.2192000000000001E-2</v>
      </c>
      <c r="C172">
        <v>1.3108E-2</v>
      </c>
      <c r="D172">
        <v>-5.5292000000000001E-2</v>
      </c>
      <c r="E172">
        <v>-1.6591999999999999E-2</v>
      </c>
      <c r="F172">
        <v>-1.4092E-2</v>
      </c>
      <c r="G172">
        <v>6.8207999999999991E-2</v>
      </c>
      <c r="H172">
        <v>-1.7391999999999998E-2</v>
      </c>
      <c r="I172" s="2">
        <f>B172-$S$3</f>
        <v>-1.3692000000000001E-2</v>
      </c>
      <c r="J172" s="2">
        <f>C172-$S$3</f>
        <v>1.1608E-2</v>
      </c>
      <c r="K172" s="2">
        <f>D172-$S$3</f>
        <v>-5.6792000000000002E-2</v>
      </c>
      <c r="L172" s="2">
        <f>E172-$S$3</f>
        <v>-1.8092E-2</v>
      </c>
      <c r="M172" s="2">
        <f>F172-$S$3</f>
        <v>-1.5592E-2</v>
      </c>
      <c r="N172" s="2">
        <f>G172-$S$3</f>
        <v>6.670799999999999E-2</v>
      </c>
      <c r="O172" s="2">
        <f>H172-$S$3</f>
        <v>-1.8891999999999999E-2</v>
      </c>
      <c r="P172" s="9">
        <f t="shared" si="12"/>
        <v>1.9707104735139029E-2</v>
      </c>
    </row>
    <row r="173" spans="1:16" x14ac:dyDescent="0.2">
      <c r="A173" t="s">
        <v>179</v>
      </c>
      <c r="B173">
        <v>-1.1929E-2</v>
      </c>
      <c r="C173">
        <v>-6.5129000000000006E-2</v>
      </c>
      <c r="D173">
        <v>7.6171000000000003E-2</v>
      </c>
      <c r="E173">
        <v>4.8771000000000002E-2</v>
      </c>
      <c r="F173">
        <v>-5.1129000000000001E-2</v>
      </c>
      <c r="G173">
        <v>-3.9529000000000002E-2</v>
      </c>
      <c r="H173">
        <v>8.4710000000000011E-3</v>
      </c>
      <c r="I173" s="2">
        <f>B173-$S$3</f>
        <v>-1.3429E-2</v>
      </c>
      <c r="J173" s="2">
        <f>C173-$S$3</f>
        <v>-6.6629000000000008E-2</v>
      </c>
      <c r="K173" s="2">
        <f>D173-$S$3</f>
        <v>7.4671000000000001E-2</v>
      </c>
      <c r="L173" s="2">
        <f>E173-$S$3</f>
        <v>4.7271000000000001E-2</v>
      </c>
      <c r="M173" s="2">
        <f>F173-$S$3</f>
        <v>-5.2629000000000002E-2</v>
      </c>
      <c r="N173" s="2">
        <f>G173-$S$3</f>
        <v>-4.1029000000000003E-2</v>
      </c>
      <c r="O173" s="2">
        <f>H173-$S$3</f>
        <v>6.9710000000000015E-3</v>
      </c>
      <c r="P173" s="9">
        <f t="shared" si="12"/>
        <v>-1.0148322863822473E-2</v>
      </c>
    </row>
    <row r="174" spans="1:16" x14ac:dyDescent="0.2">
      <c r="A174" t="s">
        <v>180</v>
      </c>
      <c r="B174">
        <v>-3.9895E-2</v>
      </c>
      <c r="C174">
        <v>2.6005E-2</v>
      </c>
      <c r="D174">
        <v>-2.895E-3</v>
      </c>
      <c r="E174">
        <v>-1.9795E-2</v>
      </c>
      <c r="F174">
        <v>-4.2395000000000002E-2</v>
      </c>
      <c r="G174">
        <v>1.2905E-2</v>
      </c>
      <c r="H174">
        <v>1.0505E-2</v>
      </c>
      <c r="I174" s="2">
        <f>B174-$S$3</f>
        <v>-4.1395000000000001E-2</v>
      </c>
      <c r="J174" s="2">
        <f>C174-$S$3</f>
        <v>2.4504999999999999E-2</v>
      </c>
      <c r="K174" s="2">
        <f>D174-$S$3</f>
        <v>-4.3949999999999996E-3</v>
      </c>
      <c r="L174" s="2">
        <f>E174-$S$3</f>
        <v>-2.1295000000000001E-2</v>
      </c>
      <c r="M174" s="2">
        <f>F174-$S$3</f>
        <v>-4.3895000000000003E-2</v>
      </c>
      <c r="N174" s="2">
        <f>G174-$S$3</f>
        <v>1.1405E-2</v>
      </c>
      <c r="O174" s="2">
        <f>H174-$S$3</f>
        <v>9.0050000000000009E-3</v>
      </c>
      <c r="P174" s="9">
        <f t="shared" si="12"/>
        <v>-2.3869250722033324E-2</v>
      </c>
    </row>
    <row r="175" spans="1:16" x14ac:dyDescent="0.2">
      <c r="A175" t="s">
        <v>181</v>
      </c>
      <c r="B175">
        <v>-1.0504000000000001E-2</v>
      </c>
      <c r="C175">
        <v>-6.3904000000000002E-2</v>
      </c>
      <c r="D175">
        <v>2.8396000000000001E-2</v>
      </c>
      <c r="E175">
        <v>-5.7203999999999998E-2</v>
      </c>
      <c r="F175">
        <v>-4.5003999999999995E-2</v>
      </c>
      <c r="G175">
        <v>2.9096E-2</v>
      </c>
      <c r="H175">
        <v>-2.1004000000000002E-2</v>
      </c>
      <c r="I175" s="2">
        <f>B175-$S$3</f>
        <v>-1.2004000000000001E-2</v>
      </c>
      <c r="J175" s="2">
        <f>C175-$S$3</f>
        <v>-6.5404000000000004E-2</v>
      </c>
      <c r="K175" s="2">
        <f>D175-$S$3</f>
        <v>2.6896E-2</v>
      </c>
      <c r="L175" s="2">
        <f>E175-$S$3</f>
        <v>-5.8703999999999999E-2</v>
      </c>
      <c r="M175" s="2">
        <f>F175-$S$3</f>
        <v>-4.6503999999999997E-2</v>
      </c>
      <c r="N175" s="2">
        <f>G175-$S$3</f>
        <v>2.7595999999999999E-2</v>
      </c>
      <c r="O175" s="2">
        <f>H175-$S$3</f>
        <v>-2.2504000000000003E-2</v>
      </c>
      <c r="P175" s="9">
        <f t="shared" si="12"/>
        <v>6.1948983866224674E-3</v>
      </c>
    </row>
    <row r="176" spans="1:16" x14ac:dyDescent="0.2">
      <c r="A176" t="s">
        <v>182</v>
      </c>
      <c r="B176">
        <v>-2.163E-3</v>
      </c>
      <c r="C176">
        <v>-5.4563E-2</v>
      </c>
      <c r="D176">
        <v>-8.6629999999999988E-3</v>
      </c>
      <c r="E176">
        <v>1.5736999999999998E-2</v>
      </c>
      <c r="F176">
        <v>1.4837000000000001E-2</v>
      </c>
      <c r="G176">
        <v>2.7370000000000003E-3</v>
      </c>
      <c r="H176">
        <v>1.9736999999999998E-2</v>
      </c>
      <c r="I176" s="2">
        <f>B176-$S$3</f>
        <v>-3.663E-3</v>
      </c>
      <c r="J176" s="2">
        <f>C176-$S$3</f>
        <v>-5.6063000000000002E-2</v>
      </c>
      <c r="K176" s="2">
        <f>D176-$S$3</f>
        <v>-1.0162999999999998E-2</v>
      </c>
      <c r="L176" s="2">
        <f>E176-$S$3</f>
        <v>1.4236999999999998E-2</v>
      </c>
      <c r="M176" s="2">
        <f>F176-$S$3</f>
        <v>1.3337000000000002E-2</v>
      </c>
      <c r="N176" s="2">
        <f>G176-$S$3</f>
        <v>1.2370000000000003E-3</v>
      </c>
      <c r="O176" s="2">
        <f>H176-$S$3</f>
        <v>1.8236999999999996E-2</v>
      </c>
      <c r="P176" s="9">
        <f t="shared" si="12"/>
        <v>3.6157182512835132E-2</v>
      </c>
    </row>
    <row r="177" spans="1:16" x14ac:dyDescent="0.2">
      <c r="A177" t="s">
        <v>183</v>
      </c>
      <c r="B177">
        <v>-6.4726999999999993E-2</v>
      </c>
      <c r="C177">
        <v>-6.5726999999999994E-2</v>
      </c>
      <c r="D177">
        <v>-4.4326999999999998E-2</v>
      </c>
      <c r="E177">
        <v>-1.6726999999999999E-2</v>
      </c>
      <c r="F177">
        <v>-9.4727000000000006E-2</v>
      </c>
      <c r="G177">
        <v>-4.3826999999999998E-2</v>
      </c>
      <c r="H177">
        <v>-6.2627000000000002E-2</v>
      </c>
      <c r="I177" s="2">
        <f>B177-$S$3</f>
        <v>-6.6226999999999994E-2</v>
      </c>
      <c r="J177" s="2">
        <f>C177-$S$3</f>
        <v>-6.7226999999999995E-2</v>
      </c>
      <c r="K177" s="2">
        <f>D177-$S$3</f>
        <v>-4.5827E-2</v>
      </c>
      <c r="L177" s="2">
        <f>E177-$S$3</f>
        <v>-1.8227E-2</v>
      </c>
      <c r="M177" s="2">
        <f>F177-$S$3</f>
        <v>-9.6227000000000007E-2</v>
      </c>
      <c r="N177" s="2">
        <f>G177-$S$3</f>
        <v>-4.5326999999999999E-2</v>
      </c>
      <c r="O177" s="2">
        <f>H177-$S$3</f>
        <v>-6.4127000000000003E-2</v>
      </c>
      <c r="P177" s="9">
        <f t="shared" si="12"/>
        <v>-5.7902206184743274E-2</v>
      </c>
    </row>
    <row r="178" spans="1:16" x14ac:dyDescent="0.2">
      <c r="A178" t="s">
        <v>184</v>
      </c>
      <c r="B178">
        <v>-2.1594000000000002E-2</v>
      </c>
      <c r="C178">
        <v>3.1905999999999997E-2</v>
      </c>
      <c r="D178">
        <v>-1.8694000000000002E-2</v>
      </c>
      <c r="E178">
        <v>-5.4294000000000002E-2</v>
      </c>
      <c r="F178">
        <v>1.7059999999999998E-3</v>
      </c>
      <c r="G178">
        <v>1.2206000000000002E-2</v>
      </c>
      <c r="H178">
        <v>-2.6394000000000001E-2</v>
      </c>
      <c r="I178" s="2">
        <f>B178-$S$3</f>
        <v>-2.3094000000000003E-2</v>
      </c>
      <c r="J178" s="2">
        <f>C178-$S$3</f>
        <v>3.0405999999999996E-2</v>
      </c>
      <c r="K178" s="2">
        <f>D178-$S$3</f>
        <v>-2.0194000000000004E-2</v>
      </c>
      <c r="L178" s="2">
        <f>E178-$S$3</f>
        <v>-5.5794000000000003E-2</v>
      </c>
      <c r="M178" s="2">
        <f>F178-$S$3</f>
        <v>2.059999999999998E-4</v>
      </c>
      <c r="N178" s="2">
        <f>G178-$S$3</f>
        <v>1.0706000000000002E-2</v>
      </c>
      <c r="O178" s="2">
        <f>H178-$S$3</f>
        <v>-2.7894000000000002E-2</v>
      </c>
      <c r="P178" s="9">
        <f t="shared" si="12"/>
        <v>-2.0670669520651497E-2</v>
      </c>
    </row>
    <row r="179" spans="1:16" x14ac:dyDescent="0.2">
      <c r="A179" t="s">
        <v>185</v>
      </c>
      <c r="B179">
        <v>0.102327</v>
      </c>
      <c r="C179">
        <v>0.16292699999999999</v>
      </c>
      <c r="D179">
        <v>4.3126999999999999E-2</v>
      </c>
      <c r="E179">
        <v>9.1327000000000005E-2</v>
      </c>
      <c r="F179">
        <v>-0.117173</v>
      </c>
      <c r="G179">
        <v>-1.8773000000000001E-2</v>
      </c>
      <c r="H179">
        <v>8.3027000000000004E-2</v>
      </c>
      <c r="I179" s="2">
        <f>B179-$S$3</f>
        <v>0.100827</v>
      </c>
      <c r="J179" s="2">
        <f>C179-$S$3</f>
        <v>0.16142699999999999</v>
      </c>
      <c r="K179" s="2">
        <f>D179-$S$3</f>
        <v>4.1626999999999997E-2</v>
      </c>
      <c r="L179" s="2">
        <f>E179-$S$3</f>
        <v>8.9827000000000004E-2</v>
      </c>
      <c r="M179" s="2">
        <f>F179-$S$3</f>
        <v>-0.118673</v>
      </c>
      <c r="N179" s="2">
        <f>G179-$S$3</f>
        <v>-2.0273000000000003E-2</v>
      </c>
      <c r="O179" s="2">
        <f>H179-$S$3</f>
        <v>8.1527000000000002E-2</v>
      </c>
      <c r="P179" s="9">
        <f t="shared" si="12"/>
        <v>-8.4926716236896072E-2</v>
      </c>
    </row>
    <row r="180" spans="1:16" x14ac:dyDescent="0.2">
      <c r="A180" t="s">
        <v>186</v>
      </c>
      <c r="B180">
        <v>-3.2419999999999997E-2</v>
      </c>
      <c r="C180">
        <v>3.6979999999999999E-2</v>
      </c>
      <c r="D180">
        <v>4.7799999999999995E-3</v>
      </c>
      <c r="E180">
        <v>-3.0519999999999999E-2</v>
      </c>
      <c r="F180">
        <v>2.7980000000000001E-2</v>
      </c>
      <c r="G180">
        <v>-5.3420000000000002E-2</v>
      </c>
      <c r="H180">
        <v>4.8000000000000001E-4</v>
      </c>
      <c r="I180" s="2">
        <f>B180-$S$3</f>
        <v>-3.3919999999999999E-2</v>
      </c>
      <c r="J180" s="2">
        <f>C180-$S$3</f>
        <v>3.5479999999999998E-2</v>
      </c>
      <c r="K180" s="2">
        <f>D180-$S$3</f>
        <v>3.2799999999999995E-3</v>
      </c>
      <c r="L180" s="2">
        <f>E180-$S$3</f>
        <v>-3.202E-2</v>
      </c>
      <c r="M180" s="2">
        <f>F180-$S$3</f>
        <v>2.648E-2</v>
      </c>
      <c r="N180" s="2">
        <f>G180-$S$3</f>
        <v>-5.4920000000000004E-2</v>
      </c>
      <c r="O180" s="2">
        <f>H180-$S$3</f>
        <v>-1.0200000000000001E-3</v>
      </c>
      <c r="P180" s="9">
        <f t="shared" si="12"/>
        <v>-3.8009522777245792E-2</v>
      </c>
    </row>
    <row r="181" spans="1:16" x14ac:dyDescent="0.2">
      <c r="A181" t="s">
        <v>187</v>
      </c>
      <c r="B181">
        <v>-1.6802999999999998E-2</v>
      </c>
      <c r="C181">
        <v>-5.1003E-2</v>
      </c>
      <c r="D181">
        <v>2.1897E-2</v>
      </c>
      <c r="E181">
        <v>1.6796999999999999E-2</v>
      </c>
      <c r="F181">
        <v>5.0497E-2</v>
      </c>
      <c r="G181">
        <v>1.397E-3</v>
      </c>
      <c r="H181">
        <v>-1.7603000000000001E-2</v>
      </c>
      <c r="I181" s="2">
        <f>B181-$S$3</f>
        <v>-1.8303E-2</v>
      </c>
      <c r="J181" s="2">
        <f>C181-$S$3</f>
        <v>-5.2503000000000001E-2</v>
      </c>
      <c r="K181" s="2">
        <f>D181-$S$3</f>
        <v>2.0396999999999998E-2</v>
      </c>
      <c r="L181" s="2">
        <f>E181-$S$3</f>
        <v>1.5297E-2</v>
      </c>
      <c r="M181" s="2">
        <f>F181-$S$3</f>
        <v>4.8996999999999999E-2</v>
      </c>
      <c r="N181" s="2">
        <f>G181-$S$3</f>
        <v>-1.0300000000000001E-4</v>
      </c>
      <c r="O181" s="2">
        <f>H181-$S$3</f>
        <v>-1.9103000000000002E-2</v>
      </c>
      <c r="P181" s="9">
        <f t="shared" si="12"/>
        <v>3.9357512487647961E-2</v>
      </c>
    </row>
    <row r="182" spans="1:16" x14ac:dyDescent="0.2">
      <c r="A182" t="s">
        <v>188</v>
      </c>
      <c r="B182">
        <v>-0.12403699999999999</v>
      </c>
      <c r="C182">
        <v>-0.12853700000000001</v>
      </c>
      <c r="D182">
        <v>6.266300000000001E-2</v>
      </c>
      <c r="E182">
        <v>9.4563000000000008E-2</v>
      </c>
      <c r="F182">
        <v>8.2463000000000009E-2</v>
      </c>
      <c r="G182">
        <v>-2.637E-3</v>
      </c>
      <c r="H182">
        <v>-5.0737000000000004E-2</v>
      </c>
      <c r="I182" s="2">
        <f>B182-$S$3</f>
        <v>-0.12553699999999998</v>
      </c>
      <c r="J182" s="2">
        <f>C182-$S$3</f>
        <v>-0.13003700000000001</v>
      </c>
      <c r="K182" s="2">
        <f>D182-$S$3</f>
        <v>6.1163000000000009E-2</v>
      </c>
      <c r="L182" s="2">
        <f>E182-$S$3</f>
        <v>9.3063000000000007E-2</v>
      </c>
      <c r="M182" s="2">
        <f>F182-$S$3</f>
        <v>8.0963000000000007E-2</v>
      </c>
      <c r="N182" s="2">
        <f>G182-$S$3</f>
        <v>-4.1370000000000001E-3</v>
      </c>
      <c r="O182" s="2">
        <f>H182-$S$3</f>
        <v>-5.2237000000000006E-2</v>
      </c>
      <c r="P182" s="9">
        <f t="shared" si="12"/>
        <v>7.9557929405052644E-2</v>
      </c>
    </row>
    <row r="183" spans="1:16" x14ac:dyDescent="0.2">
      <c r="A183" t="s">
        <v>189</v>
      </c>
      <c r="B183">
        <v>4.7495000000000002E-2</v>
      </c>
      <c r="C183">
        <v>-6.9050000000000005E-3</v>
      </c>
      <c r="D183">
        <v>2.4494999999999999E-2</v>
      </c>
      <c r="E183">
        <v>1.4995E-2</v>
      </c>
      <c r="F183">
        <v>-5.0500000000000002E-4</v>
      </c>
      <c r="G183">
        <v>9.1694999999999999E-2</v>
      </c>
      <c r="H183">
        <v>-4.3050000000000007E-3</v>
      </c>
      <c r="I183" s="2">
        <f>B183-$S$3</f>
        <v>4.5995000000000001E-2</v>
      </c>
      <c r="J183" s="2">
        <f>C183-$S$3</f>
        <v>-8.405000000000001E-3</v>
      </c>
      <c r="K183" s="2">
        <f>D183-$S$3</f>
        <v>2.2994999999999998E-2</v>
      </c>
      <c r="L183" s="2">
        <f>E183-$S$3</f>
        <v>1.3495E-2</v>
      </c>
      <c r="M183" s="2">
        <f>F183-$S$3</f>
        <v>-2.0049999999999998E-3</v>
      </c>
      <c r="N183" s="2">
        <f>G183-$S$3</f>
        <v>9.0194999999999997E-2</v>
      </c>
      <c r="O183" s="2">
        <f>H183-$S$3</f>
        <v>-5.8050000000000011E-3</v>
      </c>
      <c r="P183" s="9">
        <f t="shared" si="12"/>
        <v>5.5448329260467361E-2</v>
      </c>
    </row>
    <row r="184" spans="1:16" x14ac:dyDescent="0.2">
      <c r="A184" t="s">
        <v>190</v>
      </c>
      <c r="B184">
        <v>7.8910000000000008E-2</v>
      </c>
      <c r="C184">
        <v>8.0710000000000004E-2</v>
      </c>
      <c r="D184">
        <v>5.9909999999999998E-2</v>
      </c>
      <c r="E184">
        <v>6.5810000000000007E-2</v>
      </c>
      <c r="F184">
        <v>3.9909999999999994E-2</v>
      </c>
      <c r="G184">
        <v>4.861E-2</v>
      </c>
      <c r="H184">
        <v>6.5810000000000007E-2</v>
      </c>
      <c r="I184" s="2">
        <f>B184-$S$3</f>
        <v>7.7410000000000007E-2</v>
      </c>
      <c r="J184" s="2">
        <f>C184-$S$3</f>
        <v>7.9210000000000003E-2</v>
      </c>
      <c r="K184" s="2">
        <f>D184-$S$3</f>
        <v>5.8409999999999997E-2</v>
      </c>
      <c r="L184" s="2">
        <f>E184-$S$3</f>
        <v>6.4310000000000006E-2</v>
      </c>
      <c r="M184" s="2">
        <f>F184-$S$3</f>
        <v>3.8409999999999993E-2</v>
      </c>
      <c r="N184" s="2">
        <f>G184-$S$3</f>
        <v>4.7109999999999999E-2</v>
      </c>
      <c r="O184" s="2">
        <f>H184-$S$3</f>
        <v>6.4310000000000006E-2</v>
      </c>
      <c r="P184" s="9">
        <f t="shared" si="12"/>
        <v>4.0506258709768345E-2</v>
      </c>
    </row>
    <row r="185" spans="1:16" x14ac:dyDescent="0.2">
      <c r="A185" t="s">
        <v>191</v>
      </c>
      <c r="B185">
        <v>1.5448999999999999E-2</v>
      </c>
      <c r="C185">
        <v>1.1748999999999999E-2</v>
      </c>
      <c r="D185">
        <v>3.349E-3</v>
      </c>
      <c r="E185">
        <v>-4.8150999999999999E-2</v>
      </c>
      <c r="F185">
        <v>-2.3750999999999998E-2</v>
      </c>
      <c r="G185">
        <v>-3.3850999999999999E-2</v>
      </c>
      <c r="H185">
        <v>2.6490000000000003E-3</v>
      </c>
      <c r="I185" s="2">
        <f>B185-$S$3</f>
        <v>1.3949E-2</v>
      </c>
      <c r="J185" s="2">
        <f>C185-$S$3</f>
        <v>1.0248999999999999E-2</v>
      </c>
      <c r="K185" s="2">
        <f>D185-$S$3</f>
        <v>1.8489999999999999E-3</v>
      </c>
      <c r="L185" s="2">
        <f>E185-$S$3</f>
        <v>-4.9651000000000001E-2</v>
      </c>
      <c r="M185" s="2">
        <f>F185-$S$3</f>
        <v>-2.5250999999999999E-2</v>
      </c>
      <c r="N185" s="2">
        <f>G185-$S$3</f>
        <v>-3.5351E-2</v>
      </c>
      <c r="O185" s="2">
        <f>H185-$S$3</f>
        <v>1.1490000000000003E-3</v>
      </c>
      <c r="P185" s="9">
        <f t="shared" si="12"/>
        <v>-3.9478640690414096E-2</v>
      </c>
    </row>
    <row r="186" spans="1:16" x14ac:dyDescent="0.2">
      <c r="A186" t="s">
        <v>192</v>
      </c>
      <c r="B186">
        <v>-5.3149999999999994E-3</v>
      </c>
      <c r="C186">
        <v>-1.6515000000000002E-2</v>
      </c>
      <c r="D186">
        <v>8.3850000000000001E-3</v>
      </c>
      <c r="E186">
        <v>-9.1500000000000001E-4</v>
      </c>
      <c r="F186">
        <v>6.6284999999999997E-2</v>
      </c>
      <c r="G186">
        <v>-0.128415</v>
      </c>
      <c r="H186">
        <v>1.5184999999999999E-2</v>
      </c>
      <c r="I186" s="2">
        <f>B186-$S$3</f>
        <v>-6.8149999999999999E-3</v>
      </c>
      <c r="J186" s="2">
        <f>C186-$S$3</f>
        <v>-1.8015000000000003E-2</v>
      </c>
      <c r="K186" s="2">
        <f>D186-$S$3</f>
        <v>6.8850000000000005E-3</v>
      </c>
      <c r="L186" s="2">
        <f>E186-$S$3</f>
        <v>-2.415E-3</v>
      </c>
      <c r="M186" s="2">
        <f>F186-$S$3</f>
        <v>6.4784999999999995E-2</v>
      </c>
      <c r="N186" s="2">
        <f>G186-$S$3</f>
        <v>-0.129915</v>
      </c>
      <c r="O186" s="2">
        <f>H186-$S$3</f>
        <v>1.3684999999999999E-2</v>
      </c>
      <c r="P186" s="9">
        <f t="shared" si="12"/>
        <v>-3.2072960733133329E-2</v>
      </c>
    </row>
    <row r="187" spans="1:16" x14ac:dyDescent="0.2">
      <c r="A187" t="s">
        <v>193</v>
      </c>
      <c r="B187">
        <v>-6.838799999999999E-2</v>
      </c>
      <c r="C187">
        <v>-8.3787999999999987E-2</v>
      </c>
      <c r="D187">
        <v>0.10351200000000001</v>
      </c>
      <c r="E187">
        <v>9.6912000000000012E-2</v>
      </c>
      <c r="F187">
        <v>3.1412000000000002E-2</v>
      </c>
      <c r="G187">
        <v>1.4912E-2</v>
      </c>
      <c r="H187">
        <v>7.1199999999999996E-4</v>
      </c>
      <c r="I187" s="2">
        <f>B187-$S$3</f>
        <v>-6.9887999999999992E-2</v>
      </c>
      <c r="J187" s="2">
        <f>C187-$S$3</f>
        <v>-8.5287999999999989E-2</v>
      </c>
      <c r="K187" s="2">
        <f>D187-$S$3</f>
        <v>0.10201200000000001</v>
      </c>
      <c r="L187" s="2">
        <f>E187-$S$3</f>
        <v>9.5412000000000011E-2</v>
      </c>
      <c r="M187" s="2">
        <f>F187-$S$3</f>
        <v>2.9912000000000001E-2</v>
      </c>
      <c r="N187" s="2">
        <f>G187-$S$3</f>
        <v>1.3412E-2</v>
      </c>
      <c r="O187" s="2">
        <f>H187-$S$3</f>
        <v>-7.8800000000000007E-4</v>
      </c>
      <c r="P187" s="9">
        <f t="shared" si="12"/>
        <v>6.4203356476951162E-2</v>
      </c>
    </row>
    <row r="188" spans="1:16" x14ac:dyDescent="0.2">
      <c r="A188" t="s">
        <v>194</v>
      </c>
      <c r="B188">
        <v>1.7929E-2</v>
      </c>
      <c r="C188">
        <v>0.114329</v>
      </c>
      <c r="D188">
        <v>1.2829E-2</v>
      </c>
      <c r="E188">
        <v>2.1289999999999998E-3</v>
      </c>
      <c r="F188">
        <v>-8.7100000000000003E-4</v>
      </c>
      <c r="G188">
        <v>7.8728999999999993E-2</v>
      </c>
      <c r="H188">
        <v>3.5429000000000002E-2</v>
      </c>
      <c r="I188" s="2">
        <f>B188-$S$3</f>
        <v>1.6428999999999999E-2</v>
      </c>
      <c r="J188" s="2">
        <f>C188-$S$3</f>
        <v>0.112829</v>
      </c>
      <c r="K188" s="2">
        <f>D188-$S$3</f>
        <v>1.1329000000000001E-2</v>
      </c>
      <c r="L188" s="2">
        <f>E188-$S$3</f>
        <v>6.2899999999999978E-4</v>
      </c>
      <c r="M188" s="2">
        <f>F188-$S$3</f>
        <v>-2.3709999999999998E-3</v>
      </c>
      <c r="N188" s="2">
        <f>G188-$S$3</f>
        <v>7.7228999999999992E-2</v>
      </c>
      <c r="O188" s="2">
        <f>H188-$S$3</f>
        <v>3.3929000000000001E-2</v>
      </c>
      <c r="P188" s="9">
        <f t="shared" si="12"/>
        <v>6.9947228944207667E-3</v>
      </c>
    </row>
    <row r="189" spans="1:16" x14ac:dyDescent="0.2">
      <c r="A189" t="s">
        <v>195</v>
      </c>
      <c r="B189">
        <v>-4.8650000000000004E-3</v>
      </c>
      <c r="C189">
        <v>1.1835E-2</v>
      </c>
      <c r="D189">
        <v>-5.5864999999999998E-2</v>
      </c>
      <c r="E189">
        <v>-5.5764999999999995E-2</v>
      </c>
      <c r="F189">
        <v>-1.4465E-2</v>
      </c>
      <c r="G189">
        <v>-6.0964999999999998E-2</v>
      </c>
      <c r="H189">
        <v>-1.3649999999999999E-3</v>
      </c>
      <c r="I189" s="2">
        <f>B189-$S$3</f>
        <v>-6.3650000000000009E-3</v>
      </c>
      <c r="J189" s="2">
        <f>C189-$S$3</f>
        <v>1.0335E-2</v>
      </c>
      <c r="K189" s="2">
        <f>D189-$S$3</f>
        <v>-5.7364999999999999E-2</v>
      </c>
      <c r="L189" s="2">
        <f>E189-$S$3</f>
        <v>-5.7264999999999996E-2</v>
      </c>
      <c r="M189" s="2">
        <f>F189-$S$3</f>
        <v>-1.5965E-2</v>
      </c>
      <c r="N189" s="2">
        <f>G189-$S$3</f>
        <v>-6.2465E-2</v>
      </c>
      <c r="O189" s="2">
        <f>H189-$S$3</f>
        <v>-2.8649999999999999E-3</v>
      </c>
      <c r="P189" s="9">
        <f t="shared" si="12"/>
        <v>-5.2185017614769451E-2</v>
      </c>
    </row>
    <row r="190" spans="1:16" x14ac:dyDescent="0.2">
      <c r="A190" t="s">
        <v>196</v>
      </c>
      <c r="B190">
        <v>-4.2318999999999996E-2</v>
      </c>
      <c r="C190">
        <v>6.9809999999999994E-3</v>
      </c>
      <c r="D190">
        <v>-6.8190000000000004E-3</v>
      </c>
      <c r="E190">
        <v>-6.9189999999999998E-3</v>
      </c>
      <c r="F190">
        <v>9.2809999999999993E-3</v>
      </c>
      <c r="G190">
        <v>-2.1718999999999999E-2</v>
      </c>
      <c r="H190">
        <v>-1.4189999999999999E-3</v>
      </c>
      <c r="I190" s="2">
        <f>B190-$S$3</f>
        <v>-4.3818999999999997E-2</v>
      </c>
      <c r="J190" s="2">
        <f>C190-$S$3</f>
        <v>5.4809999999999998E-3</v>
      </c>
      <c r="K190" s="2">
        <f>D190-$S$3</f>
        <v>-8.319E-3</v>
      </c>
      <c r="L190" s="2">
        <f>E190-$S$3</f>
        <v>-8.4189999999999994E-3</v>
      </c>
      <c r="M190" s="2">
        <f>F190-$S$3</f>
        <v>7.7809999999999997E-3</v>
      </c>
      <c r="N190" s="2">
        <f>G190-$S$3</f>
        <v>-2.3219E-2</v>
      </c>
      <c r="O190" s="2">
        <f>H190-$S$3</f>
        <v>-2.9189999999999997E-3</v>
      </c>
      <c r="P190" s="9">
        <f t="shared" si="12"/>
        <v>-1.398576576072434E-2</v>
      </c>
    </row>
    <row r="191" spans="1:16" x14ac:dyDescent="0.2">
      <c r="A191" t="s">
        <v>197</v>
      </c>
      <c r="B191">
        <v>-1.5167999999999999E-2</v>
      </c>
      <c r="C191">
        <v>-5.568E-3</v>
      </c>
      <c r="D191">
        <v>-8.3168000000000006E-2</v>
      </c>
      <c r="E191">
        <v>-6.4168000000000003E-2</v>
      </c>
      <c r="F191">
        <v>-2.9268000000000002E-2</v>
      </c>
      <c r="G191">
        <v>5.3199999999999992E-4</v>
      </c>
      <c r="H191">
        <v>-1.9568000000000002E-2</v>
      </c>
      <c r="I191" s="2">
        <f>B191-$S$3</f>
        <v>-1.6667999999999999E-2</v>
      </c>
      <c r="J191" s="2">
        <f>C191-$S$3</f>
        <v>-7.0679999999999996E-3</v>
      </c>
      <c r="K191" s="2">
        <f>D191-$S$3</f>
        <v>-8.4668000000000007E-2</v>
      </c>
      <c r="L191" s="2">
        <f>E191-$S$3</f>
        <v>-6.5668000000000004E-2</v>
      </c>
      <c r="M191" s="2">
        <f>F191-$S$3</f>
        <v>-3.0768000000000004E-2</v>
      </c>
      <c r="N191" s="2">
        <f>G191-$S$3</f>
        <v>-9.6800000000000011E-4</v>
      </c>
      <c r="O191" s="2">
        <f>H191-$S$3</f>
        <v>-2.1068000000000003E-2</v>
      </c>
      <c r="P191" s="9">
        <f t="shared" si="12"/>
        <v>-2.3916284145957985E-2</v>
      </c>
    </row>
    <row r="192" spans="1:16" x14ac:dyDescent="0.2">
      <c r="A192" t="s">
        <v>198</v>
      </c>
      <c r="B192">
        <v>1.8564000000000001E-2</v>
      </c>
      <c r="C192">
        <v>9.2564000000000007E-2</v>
      </c>
      <c r="D192">
        <v>4.9864000000000006E-2</v>
      </c>
      <c r="E192">
        <v>3.7264000000000005E-2</v>
      </c>
      <c r="F192">
        <v>5.764E-3</v>
      </c>
      <c r="G192">
        <v>0.13306400000000002</v>
      </c>
      <c r="H192">
        <v>3.4064000000000004E-2</v>
      </c>
      <c r="I192" s="2">
        <f>B192-$S$3</f>
        <v>1.7063999999999999E-2</v>
      </c>
      <c r="J192" s="2">
        <f>C192-$S$3</f>
        <v>9.1064000000000006E-2</v>
      </c>
      <c r="K192" s="2">
        <f>D192-$S$3</f>
        <v>4.8364000000000004E-2</v>
      </c>
      <c r="L192" s="2">
        <f>E192-$S$3</f>
        <v>3.5764000000000004E-2</v>
      </c>
      <c r="M192" s="2">
        <f>F192-$S$3</f>
        <v>4.2640000000000004E-3</v>
      </c>
      <c r="N192" s="2">
        <f>G192-$S$3</f>
        <v>0.13156400000000001</v>
      </c>
      <c r="O192" s="2">
        <f>H192-$S$3</f>
        <v>3.2564000000000003E-2</v>
      </c>
      <c r="P192" s="9">
        <f t="shared" si="12"/>
        <v>5.232626715250116E-2</v>
      </c>
    </row>
    <row r="193" spans="1:16" x14ac:dyDescent="0.2">
      <c r="A193" t="s">
        <v>199</v>
      </c>
      <c r="B193">
        <v>1.3961000000000001E-2</v>
      </c>
      <c r="C193">
        <v>1.9761000000000001E-2</v>
      </c>
      <c r="D193">
        <v>0.100761</v>
      </c>
      <c r="E193">
        <v>6.9460999999999995E-2</v>
      </c>
      <c r="F193">
        <v>-1.1838999999999999E-2</v>
      </c>
      <c r="G193">
        <v>-6.5139000000000002E-2</v>
      </c>
      <c r="H193">
        <v>1.7961000000000001E-2</v>
      </c>
      <c r="I193" s="2">
        <f>B193-$S$3</f>
        <v>1.2461000000000002E-2</v>
      </c>
      <c r="J193" s="2">
        <f>C193-$S$3</f>
        <v>1.8260999999999999E-2</v>
      </c>
      <c r="K193" s="2">
        <f>D193-$S$3</f>
        <v>9.9261000000000002E-2</v>
      </c>
      <c r="L193" s="2">
        <f>E193-$S$3</f>
        <v>6.7960999999999994E-2</v>
      </c>
      <c r="M193" s="2">
        <f>F193-$S$3</f>
        <v>-1.3338999999999998E-2</v>
      </c>
      <c r="N193" s="2">
        <f>G193-$S$3</f>
        <v>-6.6639000000000004E-2</v>
      </c>
      <c r="O193" s="2">
        <f>H193-$S$3</f>
        <v>1.6461E-2</v>
      </c>
      <c r="P193" s="9">
        <f t="shared" si="12"/>
        <v>-3.3970422635126583E-2</v>
      </c>
    </row>
    <row r="194" spans="1:16" x14ac:dyDescent="0.2">
      <c r="A194" t="s">
        <v>200</v>
      </c>
      <c r="B194">
        <v>3.5042000000000004E-2</v>
      </c>
      <c r="C194">
        <v>5.0442000000000001E-2</v>
      </c>
      <c r="D194">
        <v>2.7419999999999996E-3</v>
      </c>
      <c r="E194">
        <v>-7.2258000000000003E-2</v>
      </c>
      <c r="F194">
        <v>-3.4757999999999997E-2</v>
      </c>
      <c r="G194">
        <v>-0.107658</v>
      </c>
      <c r="H194">
        <v>1.7541999999999999E-2</v>
      </c>
      <c r="I194" s="2">
        <f>B194-$S$3</f>
        <v>3.3542000000000002E-2</v>
      </c>
      <c r="J194" s="2">
        <f>C194-$S$3</f>
        <v>4.8941999999999999E-2</v>
      </c>
      <c r="K194" s="2">
        <f>D194-$S$3</f>
        <v>1.2419999999999996E-3</v>
      </c>
      <c r="L194" s="2">
        <f>E194-$S$3</f>
        <v>-7.3758000000000004E-2</v>
      </c>
      <c r="M194" s="2">
        <f>F194-$S$3</f>
        <v>-3.6257999999999999E-2</v>
      </c>
      <c r="N194" s="2">
        <f>G194-$S$3</f>
        <v>-0.10915800000000001</v>
      </c>
      <c r="O194" s="2">
        <f>H194-$S$3</f>
        <v>1.6041999999999997E-2</v>
      </c>
      <c r="P194" s="9">
        <f t="shared" si="12"/>
        <v>-9.862142116988834E-2</v>
      </c>
    </row>
    <row r="195" spans="1:16" x14ac:dyDescent="0.2">
      <c r="A195" t="s">
        <v>201</v>
      </c>
      <c r="B195">
        <v>1.3436E-2</v>
      </c>
      <c r="C195">
        <v>5.9360000000000003E-3</v>
      </c>
      <c r="D195">
        <v>-9.1640000000000003E-3</v>
      </c>
      <c r="E195">
        <v>1.2336E-2</v>
      </c>
      <c r="F195">
        <v>6.2435999999999992E-2</v>
      </c>
      <c r="G195">
        <v>-8.0464000000000008E-2</v>
      </c>
      <c r="H195">
        <v>3.6835999999999994E-2</v>
      </c>
      <c r="I195" s="2">
        <f>B195-$S$3</f>
        <v>1.1936E-2</v>
      </c>
      <c r="J195" s="2">
        <f>C195-$S$3</f>
        <v>4.4360000000000007E-3</v>
      </c>
      <c r="K195" s="2">
        <f>D195-$S$3</f>
        <v>-1.0664E-2</v>
      </c>
      <c r="L195" s="2">
        <f>E195-$S$3</f>
        <v>1.0836E-2</v>
      </c>
      <c r="M195" s="2">
        <f>F195-$S$3</f>
        <v>6.093599999999999E-2</v>
      </c>
      <c r="N195" s="2">
        <f>G195-$S$3</f>
        <v>-8.1964000000000009E-2</v>
      </c>
      <c r="O195" s="2">
        <f>H195-$S$3</f>
        <v>3.5335999999999992E-2</v>
      </c>
      <c r="P195" s="9">
        <f t="shared" ref="P195:P253" si="13">SUMPRODUCT(B195:H195,$S$37:$Y$37)</f>
        <v>-7.9960727453232475E-3</v>
      </c>
    </row>
    <row r="196" spans="1:16" x14ac:dyDescent="0.2">
      <c r="A196" t="s">
        <v>202</v>
      </c>
      <c r="B196">
        <v>-7.1353E-2</v>
      </c>
      <c r="C196">
        <v>-3.0752999999999999E-2</v>
      </c>
      <c r="D196">
        <v>-6.0530000000000002E-3</v>
      </c>
      <c r="E196">
        <v>-1.8053E-2</v>
      </c>
      <c r="F196">
        <v>2.3247E-2</v>
      </c>
      <c r="G196">
        <v>-6.1253000000000002E-2</v>
      </c>
      <c r="H196">
        <v>-7.5299999999999998E-4</v>
      </c>
      <c r="I196" s="2">
        <f>B196-$S$3</f>
        <v>-7.2853000000000001E-2</v>
      </c>
      <c r="J196" s="2">
        <f>C196-$S$3</f>
        <v>-3.2252999999999997E-2</v>
      </c>
      <c r="K196" s="2">
        <f>D196-$S$3</f>
        <v>-7.5530000000000007E-3</v>
      </c>
      <c r="L196" s="2">
        <f>E196-$S$3</f>
        <v>-1.9553000000000001E-2</v>
      </c>
      <c r="M196" s="2">
        <f>F196-$S$3</f>
        <v>2.1746999999999999E-2</v>
      </c>
      <c r="N196" s="2">
        <f>G196-$S$3</f>
        <v>-6.2753000000000003E-2</v>
      </c>
      <c r="O196" s="2">
        <f>H196-$S$3</f>
        <v>-2.2529999999999998E-3</v>
      </c>
      <c r="P196" s="9">
        <f t="shared" si="13"/>
        <v>-1.7950931678397192E-2</v>
      </c>
    </row>
    <row r="197" spans="1:16" x14ac:dyDescent="0.2">
      <c r="A197" t="s">
        <v>203</v>
      </c>
      <c r="B197">
        <v>-1.8370000000000001E-3</v>
      </c>
      <c r="C197">
        <v>-2.0937000000000001E-2</v>
      </c>
      <c r="D197">
        <v>-3.5237000000000004E-2</v>
      </c>
      <c r="E197">
        <v>-4.7537000000000003E-2</v>
      </c>
      <c r="F197">
        <v>4.2462999999999994E-2</v>
      </c>
      <c r="G197">
        <v>1.1463000000000001E-2</v>
      </c>
      <c r="H197">
        <v>8.5630000000000012E-3</v>
      </c>
      <c r="I197" s="2">
        <f>B197-$S$3</f>
        <v>-3.3370000000000001E-3</v>
      </c>
      <c r="J197" s="2">
        <f>C197-$S$3</f>
        <v>-2.2437000000000002E-2</v>
      </c>
      <c r="K197" s="2">
        <f>D197-$S$3</f>
        <v>-3.6737000000000006E-2</v>
      </c>
      <c r="L197" s="2">
        <f>E197-$S$3</f>
        <v>-4.9037000000000004E-2</v>
      </c>
      <c r="M197" s="2">
        <f>F197-$S$3</f>
        <v>4.0962999999999992E-2</v>
      </c>
      <c r="N197" s="2">
        <f>G197-$S$3</f>
        <v>9.9630000000000014E-3</v>
      </c>
      <c r="O197" s="2">
        <f>H197-$S$3</f>
        <v>7.0630000000000016E-3</v>
      </c>
      <c r="P197" s="9">
        <f t="shared" si="13"/>
        <v>2.7264326741634433E-2</v>
      </c>
    </row>
    <row r="198" spans="1:16" x14ac:dyDescent="0.2">
      <c r="A198" t="s">
        <v>204</v>
      </c>
      <c r="B198">
        <v>-3.1113999999999999E-2</v>
      </c>
      <c r="C198">
        <v>-2.1114000000000001E-2</v>
      </c>
      <c r="D198">
        <v>-2.8413999999999998E-2</v>
      </c>
      <c r="E198">
        <v>1.5286000000000001E-2</v>
      </c>
      <c r="F198">
        <v>5.1785999999999999E-2</v>
      </c>
      <c r="G198">
        <v>-2.4139999999999999E-3</v>
      </c>
      <c r="H198">
        <v>1.0985999999999999E-2</v>
      </c>
      <c r="I198" s="2">
        <f>B198-$S$3</f>
        <v>-3.2613999999999997E-2</v>
      </c>
      <c r="J198" s="2">
        <f>C198-$S$3</f>
        <v>-2.2614000000000002E-2</v>
      </c>
      <c r="K198" s="2">
        <f>D198-$S$3</f>
        <v>-2.9914E-2</v>
      </c>
      <c r="L198" s="2">
        <f>E198-$S$3</f>
        <v>1.3786000000000001E-2</v>
      </c>
      <c r="M198" s="2">
        <f>F198-$S$3</f>
        <v>5.0285999999999997E-2</v>
      </c>
      <c r="N198" s="2">
        <f>G198-$S$3</f>
        <v>-3.9139999999999999E-3</v>
      </c>
      <c r="O198" s="2">
        <f>H198-$S$3</f>
        <v>9.4859999999999996E-3</v>
      </c>
      <c r="P198" s="9">
        <f t="shared" si="13"/>
        <v>3.2919240797436279E-2</v>
      </c>
    </row>
    <row r="199" spans="1:16" x14ac:dyDescent="0.2">
      <c r="A199" t="s">
        <v>205</v>
      </c>
      <c r="B199">
        <v>5.6829999999999997E-3</v>
      </c>
      <c r="C199">
        <v>4.0282999999999999E-2</v>
      </c>
      <c r="D199">
        <v>-2.1416999999999999E-2</v>
      </c>
      <c r="E199">
        <v>-4.3117000000000003E-2</v>
      </c>
      <c r="F199">
        <v>-3.7816999999999996E-2</v>
      </c>
      <c r="G199">
        <v>-5.2517000000000001E-2</v>
      </c>
      <c r="H199">
        <v>4.1829999999999992E-3</v>
      </c>
      <c r="I199" s="2">
        <f>B199-$S$3</f>
        <v>4.1829999999999992E-3</v>
      </c>
      <c r="J199" s="2">
        <f>C199-$S$3</f>
        <v>3.8782999999999998E-2</v>
      </c>
      <c r="K199" s="2">
        <f>D199-$S$3</f>
        <v>-2.2917E-2</v>
      </c>
      <c r="L199" s="2">
        <f>E199-$S$3</f>
        <v>-4.4617000000000004E-2</v>
      </c>
      <c r="M199" s="2">
        <f>F199-$S$3</f>
        <v>-3.9316999999999998E-2</v>
      </c>
      <c r="N199" s="2">
        <f>G199-$S$3</f>
        <v>-5.4017000000000003E-2</v>
      </c>
      <c r="O199" s="2">
        <f>H199-$S$3</f>
        <v>2.6829999999999992E-3</v>
      </c>
      <c r="P199" s="9">
        <f t="shared" si="13"/>
        <v>-6.5435959842926328E-2</v>
      </c>
    </row>
    <row r="200" spans="1:16" x14ac:dyDescent="0.2">
      <c r="A200" t="s">
        <v>206</v>
      </c>
      <c r="B200">
        <v>1.4777999999999999E-2</v>
      </c>
      <c r="C200">
        <v>2.9377999999999998E-2</v>
      </c>
      <c r="D200">
        <v>4.6578000000000001E-2</v>
      </c>
      <c r="E200">
        <v>9.7378000000000006E-2</v>
      </c>
      <c r="F200">
        <v>5.6278000000000002E-2</v>
      </c>
      <c r="G200">
        <v>8.3077999999999999E-2</v>
      </c>
      <c r="H200">
        <v>1.8578000000000001E-2</v>
      </c>
      <c r="I200" s="2">
        <f>B200-$S$3</f>
        <v>1.3278E-2</v>
      </c>
      <c r="J200" s="2">
        <f>C200-$S$3</f>
        <v>2.7877999999999997E-2</v>
      </c>
      <c r="K200" s="2">
        <f>D200-$S$3</f>
        <v>4.5078E-2</v>
      </c>
      <c r="L200" s="2">
        <f>E200-$S$3</f>
        <v>9.5878000000000005E-2</v>
      </c>
      <c r="M200" s="2">
        <f>F200-$S$3</f>
        <v>5.4778E-2</v>
      </c>
      <c r="N200" s="2">
        <f>G200-$S$3</f>
        <v>8.1577999999999998E-2</v>
      </c>
      <c r="O200" s="2">
        <f>H200-$S$3</f>
        <v>1.7077999999999999E-2</v>
      </c>
      <c r="P200" s="9">
        <f t="shared" si="13"/>
        <v>7.7330492341547707E-2</v>
      </c>
    </row>
    <row r="201" spans="1:16" x14ac:dyDescent="0.2">
      <c r="A201" t="s">
        <v>207</v>
      </c>
      <c r="B201">
        <v>-1.7727E-2</v>
      </c>
      <c r="C201">
        <v>1.4773E-2</v>
      </c>
      <c r="D201">
        <v>-4.0327000000000002E-2</v>
      </c>
      <c r="E201">
        <v>-9.7269999999999995E-3</v>
      </c>
      <c r="F201">
        <v>-1.8727000000000001E-2</v>
      </c>
      <c r="G201">
        <v>-2.7927E-2</v>
      </c>
      <c r="H201">
        <v>-3.2700000000000003E-4</v>
      </c>
      <c r="I201" s="2">
        <f>B201-$S$3</f>
        <v>-1.9227000000000001E-2</v>
      </c>
      <c r="J201" s="2">
        <f>C201-$S$3</f>
        <v>1.3273E-2</v>
      </c>
      <c r="K201" s="2">
        <f>D201-$S$3</f>
        <v>-4.1827000000000003E-2</v>
      </c>
      <c r="L201" s="2">
        <f>E201-$S$3</f>
        <v>-1.1226999999999999E-2</v>
      </c>
      <c r="M201" s="2">
        <f>F201-$S$3</f>
        <v>-2.0227000000000002E-2</v>
      </c>
      <c r="N201" s="2">
        <f>G201-$S$3</f>
        <v>-2.9427000000000002E-2</v>
      </c>
      <c r="O201" s="2">
        <f>H201-$S$3</f>
        <v>-1.8270000000000001E-3</v>
      </c>
      <c r="P201" s="9">
        <f t="shared" si="13"/>
        <v>-3.0506315530558988E-2</v>
      </c>
    </row>
    <row r="202" spans="1:16" x14ac:dyDescent="0.2">
      <c r="A202" t="s">
        <v>208</v>
      </c>
      <c r="B202">
        <v>8.4255999999999998E-2</v>
      </c>
      <c r="C202">
        <v>0.11555600000000001</v>
      </c>
      <c r="D202">
        <v>4.4656000000000001E-2</v>
      </c>
      <c r="E202">
        <v>3.0755999999999999E-2</v>
      </c>
      <c r="F202">
        <v>-4.4000000000000094E-5</v>
      </c>
      <c r="G202">
        <v>8.1255999999999995E-2</v>
      </c>
      <c r="H202">
        <v>1.8356000000000001E-2</v>
      </c>
      <c r="I202" s="2">
        <f>B202-$S$3</f>
        <v>8.2755999999999996E-2</v>
      </c>
      <c r="J202" s="2">
        <f>C202-$S$3</f>
        <v>0.114056</v>
      </c>
      <c r="K202" s="2">
        <f>D202-$S$3</f>
        <v>4.3156E-2</v>
      </c>
      <c r="L202" s="2">
        <f>E202-$S$3</f>
        <v>2.9255999999999997E-2</v>
      </c>
      <c r="M202" s="2">
        <f>F202-$S$3</f>
        <v>-1.5440000000000002E-3</v>
      </c>
      <c r="N202" s="2">
        <f>G202-$S$3</f>
        <v>7.9755999999999994E-2</v>
      </c>
      <c r="O202" s="2">
        <f>H202-$S$3</f>
        <v>1.6855999999999999E-2</v>
      </c>
      <c r="P202" s="9">
        <f t="shared" si="13"/>
        <v>1.164474687214833E-2</v>
      </c>
    </row>
    <row r="203" spans="1:16" x14ac:dyDescent="0.2">
      <c r="A203" t="s">
        <v>209</v>
      </c>
      <c r="B203">
        <v>3.696E-2</v>
      </c>
      <c r="C203">
        <v>6.3560000000000005E-2</v>
      </c>
      <c r="D203">
        <v>-0.13084000000000001</v>
      </c>
      <c r="E203">
        <v>-2.1840000000000002E-2</v>
      </c>
      <c r="F203">
        <v>0.11656000000000001</v>
      </c>
      <c r="G203">
        <v>-3.4000000000000002E-4</v>
      </c>
      <c r="H203">
        <v>2.1360000000000001E-2</v>
      </c>
      <c r="I203" s="2">
        <f>B203-$S$3</f>
        <v>3.5459999999999998E-2</v>
      </c>
      <c r="J203" s="2">
        <f>C203-$S$3</f>
        <v>6.2060000000000004E-2</v>
      </c>
      <c r="K203" s="2">
        <f>D203-$S$3</f>
        <v>-0.13234000000000001</v>
      </c>
      <c r="L203" s="2">
        <f>E203-$S$3</f>
        <v>-2.3340000000000003E-2</v>
      </c>
      <c r="M203" s="2">
        <f>F203-$S$3</f>
        <v>0.11506000000000001</v>
      </c>
      <c r="N203" s="2">
        <f>G203-$S$3</f>
        <v>-1.8400000000000001E-3</v>
      </c>
      <c r="O203" s="2">
        <f>H203-$S$3</f>
        <v>1.9859999999999999E-2</v>
      </c>
      <c r="P203" s="9">
        <f t="shared" si="13"/>
        <v>3.0632552762469022E-2</v>
      </c>
    </row>
    <row r="204" spans="1:16" x14ac:dyDescent="0.2">
      <c r="A204" t="s">
        <v>210</v>
      </c>
      <c r="B204">
        <v>1.9574000000000001E-2</v>
      </c>
      <c r="C204">
        <v>1.774E-3</v>
      </c>
      <c r="D204">
        <v>8.0274000000000012E-2</v>
      </c>
      <c r="E204">
        <v>6.2274000000000003E-2</v>
      </c>
      <c r="F204">
        <v>0.11277400000000001</v>
      </c>
      <c r="G204">
        <v>2.4174000000000001E-2</v>
      </c>
      <c r="H204">
        <v>2.7274E-2</v>
      </c>
      <c r="I204" s="2">
        <f>B204-$S$3</f>
        <v>1.8074E-2</v>
      </c>
      <c r="J204" s="2">
        <f>C204-$S$3</f>
        <v>2.7399999999999994E-4</v>
      </c>
      <c r="K204" s="2">
        <f>D204-$S$3</f>
        <v>7.8774000000000011E-2</v>
      </c>
      <c r="L204" s="2">
        <f>E204-$S$3</f>
        <v>6.0774000000000002E-2</v>
      </c>
      <c r="M204" s="2">
        <f>F204-$S$3</f>
        <v>0.11127400000000001</v>
      </c>
      <c r="N204" s="2">
        <f>G204-$S$3</f>
        <v>2.2674E-2</v>
      </c>
      <c r="O204" s="2">
        <f>H204-$S$3</f>
        <v>2.5773999999999998E-2</v>
      </c>
      <c r="P204" s="9">
        <f t="shared" si="13"/>
        <v>7.5965022865459281E-2</v>
      </c>
    </row>
    <row r="205" spans="1:16" x14ac:dyDescent="0.2">
      <c r="A205" t="s">
        <v>211</v>
      </c>
      <c r="B205">
        <v>-3.2839999999999996E-3</v>
      </c>
      <c r="C205">
        <v>-4.0984E-2</v>
      </c>
      <c r="D205">
        <v>6.7816000000000001E-2</v>
      </c>
      <c r="E205">
        <v>3.9215999999999994E-2</v>
      </c>
      <c r="F205">
        <v>2.0116000000000002E-2</v>
      </c>
      <c r="G205">
        <v>8.8416000000000008E-2</v>
      </c>
      <c r="H205">
        <v>8.9160000000000003E-3</v>
      </c>
      <c r="I205" s="2">
        <f>B205-$S$3</f>
        <v>-4.7840000000000001E-3</v>
      </c>
      <c r="J205" s="2">
        <f>C205-$S$3</f>
        <v>-4.2484000000000001E-2</v>
      </c>
      <c r="K205" s="2">
        <f>D205-$S$3</f>
        <v>6.6316E-2</v>
      </c>
      <c r="L205" s="2">
        <f>E205-$S$3</f>
        <v>3.7715999999999993E-2</v>
      </c>
      <c r="M205" s="2">
        <f>F205-$S$3</f>
        <v>1.8616000000000001E-2</v>
      </c>
      <c r="N205" s="2">
        <f>G205-$S$3</f>
        <v>8.6916000000000007E-2</v>
      </c>
      <c r="O205" s="2">
        <f>H205-$S$3</f>
        <v>7.4160000000000007E-3</v>
      </c>
      <c r="P205" s="9">
        <f t="shared" si="13"/>
        <v>7.9151312151800185E-2</v>
      </c>
    </row>
    <row r="206" spans="1:16" x14ac:dyDescent="0.2">
      <c r="A206" t="s">
        <v>212</v>
      </c>
      <c r="B206">
        <v>-0.10072099999999999</v>
      </c>
      <c r="C206">
        <v>3.3479000000000002E-2</v>
      </c>
      <c r="D206">
        <v>-2.5021000000000002E-2</v>
      </c>
      <c r="E206">
        <v>3.2079000000000003E-2</v>
      </c>
      <c r="F206">
        <v>7.8379000000000004E-2</v>
      </c>
      <c r="G206">
        <v>0.15167899999999998</v>
      </c>
      <c r="H206">
        <v>5.5079000000000003E-2</v>
      </c>
      <c r="I206" s="2">
        <f>B206-$S$3</f>
        <v>-0.10222099999999999</v>
      </c>
      <c r="J206" s="2">
        <f>C206-$S$3</f>
        <v>3.1979E-2</v>
      </c>
      <c r="K206" s="2">
        <f>D206-$S$3</f>
        <v>-2.6521000000000003E-2</v>
      </c>
      <c r="L206" s="2">
        <f>E206-$S$3</f>
        <v>3.0579000000000002E-2</v>
      </c>
      <c r="M206" s="2">
        <f>F206-$S$3</f>
        <v>7.6879000000000003E-2</v>
      </c>
      <c r="N206" s="2">
        <f>G206-$S$3</f>
        <v>0.15017899999999998</v>
      </c>
      <c r="O206" s="2">
        <f>H206-$S$3</f>
        <v>5.3579000000000002E-2</v>
      </c>
      <c r="P206" s="9">
        <f t="shared" si="13"/>
        <v>0.11572011412948081</v>
      </c>
    </row>
    <row r="207" spans="1:16" x14ac:dyDescent="0.2">
      <c r="A207" t="s">
        <v>213</v>
      </c>
      <c r="B207">
        <v>-3.3873E-2</v>
      </c>
      <c r="C207">
        <v>-7.3273000000000005E-2</v>
      </c>
      <c r="D207">
        <v>-3.1773000000000003E-2</v>
      </c>
      <c r="E207">
        <v>-0.118173</v>
      </c>
      <c r="F207">
        <v>-0.15667299999999998</v>
      </c>
      <c r="G207">
        <v>1.0027000000000001E-2</v>
      </c>
      <c r="H207">
        <v>-3.9972999999999995E-2</v>
      </c>
      <c r="I207" s="2">
        <f>B207-$S$3</f>
        <v>-3.5373000000000002E-2</v>
      </c>
      <c r="J207" s="2">
        <f>C207-$S$3</f>
        <v>-7.4773000000000006E-2</v>
      </c>
      <c r="K207" s="2">
        <f>D207-$S$3</f>
        <v>-3.3273000000000004E-2</v>
      </c>
      <c r="L207" s="2">
        <f>E207-$S$3</f>
        <v>-0.119673</v>
      </c>
      <c r="M207" s="2">
        <f>F207-$S$3</f>
        <v>-0.15817299999999998</v>
      </c>
      <c r="N207" s="2">
        <f>G207-$S$3</f>
        <v>8.5270000000000016E-3</v>
      </c>
      <c r="O207" s="2">
        <f>H207-$S$3</f>
        <v>-4.1472999999999996E-2</v>
      </c>
      <c r="P207" s="9">
        <f t="shared" si="13"/>
        <v>-6.208056562642221E-2</v>
      </c>
    </row>
    <row r="208" spans="1:16" x14ac:dyDescent="0.2">
      <c r="A208" t="s">
        <v>214</v>
      </c>
      <c r="B208">
        <v>4.4039000000000002E-2</v>
      </c>
      <c r="C208">
        <v>-6.7460999999999993E-2</v>
      </c>
      <c r="D208">
        <v>-1.8161E-2</v>
      </c>
      <c r="E208">
        <v>1.439E-3</v>
      </c>
      <c r="F208">
        <v>-5.9610000000000002E-3</v>
      </c>
      <c r="G208">
        <v>-7.9560999999999993E-2</v>
      </c>
      <c r="H208">
        <v>-2.7161000000000001E-2</v>
      </c>
      <c r="I208" s="2">
        <f>B208-$S$3</f>
        <v>4.2539E-2</v>
      </c>
      <c r="J208" s="2">
        <f>C208-$S$3</f>
        <v>-6.8960999999999995E-2</v>
      </c>
      <c r="K208" s="2">
        <f>D208-$S$3</f>
        <v>-1.9661000000000001E-2</v>
      </c>
      <c r="L208" s="2">
        <f>E208-$S$3</f>
        <v>-6.1000000000000073E-5</v>
      </c>
      <c r="M208" s="2">
        <f>F208-$S$3</f>
        <v>-7.4610000000000006E-3</v>
      </c>
      <c r="N208" s="2">
        <f>G208-$S$3</f>
        <v>-8.1060999999999994E-2</v>
      </c>
      <c r="O208" s="2">
        <f>H208-$S$3</f>
        <v>-2.8661000000000002E-2</v>
      </c>
      <c r="P208" s="9">
        <f t="shared" si="13"/>
        <v>-2.2807313594466645E-2</v>
      </c>
    </row>
    <row r="209" spans="1:16" x14ac:dyDescent="0.2">
      <c r="A209" t="s">
        <v>215</v>
      </c>
      <c r="B209">
        <v>2.6866999999999999E-2</v>
      </c>
      <c r="C209">
        <v>9.5669999999999991E-3</v>
      </c>
      <c r="D209">
        <v>-7.1133000000000002E-2</v>
      </c>
      <c r="E209">
        <v>4.3567000000000002E-2</v>
      </c>
      <c r="F209">
        <v>-7.1330000000000005E-3</v>
      </c>
      <c r="G209">
        <v>4.4267000000000001E-2</v>
      </c>
      <c r="H209">
        <v>1.2670000000000001E-3</v>
      </c>
      <c r="I209" s="2">
        <f>B209-$S$3</f>
        <v>2.5366999999999997E-2</v>
      </c>
      <c r="J209" s="2">
        <f>C209-$S$3</f>
        <v>8.0669999999999995E-3</v>
      </c>
      <c r="K209" s="2">
        <f>D209-$S$3</f>
        <v>-7.2633000000000003E-2</v>
      </c>
      <c r="L209" s="2">
        <f>E209-$S$3</f>
        <v>4.2067E-2</v>
      </c>
      <c r="M209" s="2">
        <f>F209-$S$3</f>
        <v>-8.633E-3</v>
      </c>
      <c r="N209" s="2">
        <f>G209-$S$3</f>
        <v>4.2766999999999999E-2</v>
      </c>
      <c r="O209" s="2">
        <f>H209-$S$3</f>
        <v>-2.3299999999999992E-4</v>
      </c>
      <c r="P209" s="9">
        <f t="shared" si="13"/>
        <v>2.7475212250877627E-2</v>
      </c>
    </row>
    <row r="210" spans="1:16" x14ac:dyDescent="0.2">
      <c r="A210" t="s">
        <v>216</v>
      </c>
      <c r="B210">
        <v>2.6199E-2</v>
      </c>
      <c r="C210">
        <v>0.160799</v>
      </c>
      <c r="D210">
        <v>-1.3000999999999999E-2</v>
      </c>
      <c r="E210">
        <v>-3.5401000000000002E-2</v>
      </c>
      <c r="F210">
        <v>-6.2501000000000001E-2</v>
      </c>
      <c r="G210">
        <v>1.1099000000000001E-2</v>
      </c>
      <c r="H210">
        <v>2.0199000000000002E-2</v>
      </c>
      <c r="I210" s="2">
        <f>B210-$S$3</f>
        <v>2.4698999999999999E-2</v>
      </c>
      <c r="J210" s="2">
        <f>C210-$S$3</f>
        <v>0.159299</v>
      </c>
      <c r="K210" s="2">
        <f>D210-$S$3</f>
        <v>-1.4500999999999998E-2</v>
      </c>
      <c r="L210" s="2">
        <f>E210-$S$3</f>
        <v>-3.6901000000000003E-2</v>
      </c>
      <c r="M210" s="2">
        <f>F210-$S$3</f>
        <v>-6.4001000000000002E-2</v>
      </c>
      <c r="N210" s="2">
        <f>G210-$S$3</f>
        <v>9.5990000000000016E-3</v>
      </c>
      <c r="O210" s="2">
        <f>H210-$S$3</f>
        <v>1.8699E-2</v>
      </c>
      <c r="P210" s="9">
        <f t="shared" si="13"/>
        <v>-8.247607712887331E-2</v>
      </c>
    </row>
    <row r="211" spans="1:16" x14ac:dyDescent="0.2">
      <c r="A211" t="s">
        <v>217</v>
      </c>
      <c r="B211">
        <v>-4.3007999999999998E-2</v>
      </c>
      <c r="C211">
        <v>-7.0708000000000007E-2</v>
      </c>
      <c r="D211">
        <v>-7.9080000000000001E-3</v>
      </c>
      <c r="E211">
        <v>5.3991999999999998E-2</v>
      </c>
      <c r="F211">
        <v>3.6291999999999998E-2</v>
      </c>
      <c r="G211">
        <v>4.2892E-2</v>
      </c>
      <c r="H211">
        <v>3.3919999999999992E-3</v>
      </c>
      <c r="I211" s="2">
        <f>B211-$S$3</f>
        <v>-4.4507999999999999E-2</v>
      </c>
      <c r="J211" s="2">
        <f>C211-$S$3</f>
        <v>-7.2208000000000008E-2</v>
      </c>
      <c r="K211" s="2">
        <f>D211-$S$3</f>
        <v>-9.4079999999999997E-3</v>
      </c>
      <c r="L211" s="2">
        <f>E211-$S$3</f>
        <v>5.2491999999999997E-2</v>
      </c>
      <c r="M211" s="2">
        <f>F211-$S$3</f>
        <v>3.4791999999999997E-2</v>
      </c>
      <c r="N211" s="2">
        <f>G211-$S$3</f>
        <v>4.1391999999999998E-2</v>
      </c>
      <c r="O211" s="2">
        <f>H211-$S$3</f>
        <v>1.8919999999999992E-3</v>
      </c>
      <c r="P211" s="9">
        <f t="shared" si="13"/>
        <v>7.3640156521479649E-2</v>
      </c>
    </row>
    <row r="212" spans="1:16" x14ac:dyDescent="0.2">
      <c r="A212" t="s">
        <v>218</v>
      </c>
      <c r="B212">
        <v>-8.1757999999999997E-2</v>
      </c>
      <c r="C212">
        <v>-3.9357999999999997E-2</v>
      </c>
      <c r="D212">
        <v>9.5420000000000001E-3</v>
      </c>
      <c r="E212">
        <v>3.6842E-2</v>
      </c>
      <c r="F212">
        <v>4.0242E-2</v>
      </c>
      <c r="G212">
        <v>5.8342000000000005E-2</v>
      </c>
      <c r="H212">
        <v>3.4442E-2</v>
      </c>
      <c r="I212" s="2">
        <f>B212-$S$3</f>
        <v>-8.3257999999999999E-2</v>
      </c>
      <c r="J212" s="2">
        <f>C212-$S$3</f>
        <v>-4.0857999999999998E-2</v>
      </c>
      <c r="K212" s="2">
        <f>D212-$S$3</f>
        <v>8.0420000000000005E-3</v>
      </c>
      <c r="L212" s="2">
        <f>E212-$S$3</f>
        <v>3.5341999999999998E-2</v>
      </c>
      <c r="M212" s="2">
        <f>F212-$S$3</f>
        <v>3.8741999999999999E-2</v>
      </c>
      <c r="N212" s="2">
        <f>G212-$S$3</f>
        <v>5.6842000000000004E-2</v>
      </c>
      <c r="O212" s="2">
        <f>H212-$S$3</f>
        <v>3.2941999999999999E-2</v>
      </c>
      <c r="P212" s="9">
        <f t="shared" si="13"/>
        <v>7.3535337270522569E-2</v>
      </c>
    </row>
    <row r="213" spans="1:16" x14ac:dyDescent="0.2">
      <c r="A213" t="s">
        <v>219</v>
      </c>
      <c r="B213">
        <v>-5.7375000000000002E-2</v>
      </c>
      <c r="C213">
        <v>-5.0674999999999998E-2</v>
      </c>
      <c r="D213">
        <v>-2.4749999999999998E-3</v>
      </c>
      <c r="E213">
        <v>5.1325000000000003E-2</v>
      </c>
      <c r="F213">
        <v>7.9025000000000012E-2</v>
      </c>
      <c r="G213">
        <v>9.132499999999999E-2</v>
      </c>
      <c r="H213">
        <v>2.8725000000000001E-2</v>
      </c>
      <c r="I213" s="2">
        <f>B213-$S$3</f>
        <v>-5.8875000000000004E-2</v>
      </c>
      <c r="J213" s="2">
        <f>C213-$S$3</f>
        <v>-5.2174999999999999E-2</v>
      </c>
      <c r="K213" s="2">
        <f>D213-$S$3</f>
        <v>-3.9749999999999994E-3</v>
      </c>
      <c r="L213" s="2">
        <f>E213-$S$3</f>
        <v>4.9825000000000001E-2</v>
      </c>
      <c r="M213" s="2">
        <f>F213-$S$3</f>
        <v>7.7525000000000011E-2</v>
      </c>
      <c r="N213" s="2">
        <f>G213-$S$3</f>
        <v>8.9824999999999988E-2</v>
      </c>
      <c r="O213" s="2">
        <f>H213-$S$3</f>
        <v>2.7224999999999999E-2</v>
      </c>
      <c r="P213" s="9">
        <f t="shared" si="13"/>
        <v>0.11478090173984655</v>
      </c>
    </row>
    <row r="214" spans="1:16" x14ac:dyDescent="0.2">
      <c r="A214" t="s">
        <v>220</v>
      </c>
      <c r="B214">
        <v>-2.579E-2</v>
      </c>
      <c r="C214">
        <v>-5.7189999999999998E-2</v>
      </c>
      <c r="D214">
        <v>4.981E-2</v>
      </c>
      <c r="E214">
        <v>-1.949E-2</v>
      </c>
      <c r="F214">
        <v>-2.1789999999999997E-2</v>
      </c>
      <c r="G214">
        <v>6.6099999999999996E-3</v>
      </c>
      <c r="H214">
        <v>2.81E-3</v>
      </c>
      <c r="I214" s="2">
        <f>B214-$S$3</f>
        <v>-2.7290000000000002E-2</v>
      </c>
      <c r="J214" s="2">
        <f>C214-$S$3</f>
        <v>-5.8689999999999999E-2</v>
      </c>
      <c r="K214" s="2">
        <f>D214-$S$3</f>
        <v>4.8309999999999999E-2</v>
      </c>
      <c r="L214" s="2">
        <f>E214-$S$3</f>
        <v>-2.0990000000000002E-2</v>
      </c>
      <c r="M214" s="2">
        <f>F214-$S$3</f>
        <v>-2.3289999999999998E-2</v>
      </c>
      <c r="N214" s="2">
        <f>G214-$S$3</f>
        <v>5.11E-3</v>
      </c>
      <c r="O214" s="2">
        <f>H214-$S$3</f>
        <v>1.31E-3</v>
      </c>
      <c r="P214" s="9">
        <f t="shared" si="13"/>
        <v>1.165586622880767E-2</v>
      </c>
    </row>
    <row r="215" spans="1:16" x14ac:dyDescent="0.2">
      <c r="A215" t="s">
        <v>221</v>
      </c>
      <c r="B215">
        <v>4.8909999999999995E-2</v>
      </c>
      <c r="C215">
        <v>8.4809999999999997E-2</v>
      </c>
      <c r="D215">
        <v>-7.4590000000000004E-2</v>
      </c>
      <c r="E215">
        <v>7.911E-2</v>
      </c>
      <c r="F215">
        <v>6.5909999999999996E-2</v>
      </c>
      <c r="G215">
        <v>-5.3790000000000004E-2</v>
      </c>
      <c r="H215">
        <v>-7.1290000000000006E-2</v>
      </c>
      <c r="I215" s="2">
        <f>B215-$S$3</f>
        <v>4.7409999999999994E-2</v>
      </c>
      <c r="J215" s="2">
        <f>C215-$S$3</f>
        <v>8.3309999999999995E-2</v>
      </c>
      <c r="K215" s="2">
        <f>D215-$S$3</f>
        <v>-7.6090000000000005E-2</v>
      </c>
      <c r="L215" s="2">
        <f>E215-$S$3</f>
        <v>7.7609999999999998E-2</v>
      </c>
      <c r="M215" s="2">
        <f>F215-$S$3</f>
        <v>6.4409999999999995E-2</v>
      </c>
      <c r="N215" s="2">
        <f>G215-$S$3</f>
        <v>-5.5290000000000006E-2</v>
      </c>
      <c r="O215" s="2">
        <f>H215-$S$3</f>
        <v>-7.2790000000000007E-2</v>
      </c>
      <c r="P215" s="9">
        <f t="shared" si="13"/>
        <v>-3.3593094106115134E-2</v>
      </c>
    </row>
    <row r="216" spans="1:16" x14ac:dyDescent="0.2">
      <c r="A216" t="s">
        <v>222</v>
      </c>
      <c r="B216">
        <v>-1.6494999999999999E-2</v>
      </c>
      <c r="C216">
        <v>3.5404999999999999E-2</v>
      </c>
      <c r="D216">
        <v>1.6504999999999999E-2</v>
      </c>
      <c r="E216">
        <v>5.4405000000000002E-2</v>
      </c>
      <c r="F216">
        <v>-2.7995000000000003E-2</v>
      </c>
      <c r="G216">
        <v>-0.145395</v>
      </c>
      <c r="H216">
        <v>1.6104999999999998E-2</v>
      </c>
      <c r="I216" s="2">
        <f>B216-$S$3</f>
        <v>-1.7995000000000001E-2</v>
      </c>
      <c r="J216" s="2">
        <f>C216-$S$3</f>
        <v>3.3904999999999998E-2</v>
      </c>
      <c r="K216" s="2">
        <f>D216-$S$3</f>
        <v>1.5004999999999999E-2</v>
      </c>
      <c r="L216" s="2">
        <f>E216-$S$3</f>
        <v>5.2905000000000001E-2</v>
      </c>
      <c r="M216" s="2">
        <f>F216-$S$3</f>
        <v>-2.9495000000000004E-2</v>
      </c>
      <c r="N216" s="2">
        <f>G216-$S$3</f>
        <v>-0.146895</v>
      </c>
      <c r="O216" s="2">
        <f t="shared" ref="O216:O253" si="14">H216-$S$3</f>
        <v>1.4604999999999998E-2</v>
      </c>
      <c r="P216" s="9">
        <f t="shared" si="13"/>
        <v>-9.2986281877552604E-2</v>
      </c>
    </row>
    <row r="217" spans="1:16" x14ac:dyDescent="0.2">
      <c r="A217" t="s">
        <v>223</v>
      </c>
      <c r="B217">
        <v>-0.18892999999999999</v>
      </c>
      <c r="C217">
        <v>-0.11113000000000001</v>
      </c>
      <c r="D217">
        <v>-8.8330000000000006E-2</v>
      </c>
      <c r="E217">
        <v>-6.9629999999999997E-2</v>
      </c>
      <c r="F217">
        <v>-4.2730000000000004E-2</v>
      </c>
      <c r="G217">
        <v>-7.0529999999999995E-2</v>
      </c>
      <c r="H217">
        <v>-9.3730000000000008E-2</v>
      </c>
      <c r="I217" s="2">
        <f>B217-$S$3</f>
        <v>-0.19042999999999999</v>
      </c>
      <c r="J217" s="2">
        <f>C217-$S$3</f>
        <v>-0.11263000000000001</v>
      </c>
      <c r="K217" s="2">
        <f>D217-$S$3</f>
        <v>-8.9830000000000007E-2</v>
      </c>
      <c r="L217" s="2">
        <f>E217-$S$3</f>
        <v>-7.1129999999999999E-2</v>
      </c>
      <c r="M217" s="2">
        <f>F217-$S$3</f>
        <v>-4.4230000000000005E-2</v>
      </c>
      <c r="N217" s="2">
        <f>G217-$S$3</f>
        <v>-7.2029999999999997E-2</v>
      </c>
      <c r="O217" s="2">
        <f t="shared" si="14"/>
        <v>-9.5230000000000009E-2</v>
      </c>
      <c r="P217" s="9">
        <f t="shared" si="13"/>
        <v>-5.378927531057065E-2</v>
      </c>
    </row>
    <row r="218" spans="1:16" x14ac:dyDescent="0.2">
      <c r="A218" t="s">
        <v>224</v>
      </c>
      <c r="B218">
        <v>0.16818</v>
      </c>
      <c r="C218">
        <v>0.16458</v>
      </c>
      <c r="D218">
        <v>6.9179999999999992E-2</v>
      </c>
      <c r="E218">
        <v>-1.222E-2</v>
      </c>
      <c r="F218">
        <v>2.6879999999999998E-2</v>
      </c>
      <c r="G218">
        <v>0.10267999999999999</v>
      </c>
      <c r="H218">
        <v>7.6780000000000001E-2</v>
      </c>
      <c r="I218" s="2">
        <f>B218-$S$3</f>
        <v>0.16667999999999999</v>
      </c>
      <c r="J218" s="2">
        <f>C218-$S$3</f>
        <v>0.16308</v>
      </c>
      <c r="K218" s="2">
        <f>D218-$S$3</f>
        <v>6.767999999999999E-2</v>
      </c>
      <c r="L218" s="2">
        <f>E218-$S$3</f>
        <v>-1.372E-2</v>
      </c>
      <c r="M218" s="2">
        <f>F218-$S$3</f>
        <v>2.5379999999999996E-2</v>
      </c>
      <c r="N218" s="2">
        <f>G218-$S$3</f>
        <v>0.10117999999999999</v>
      </c>
      <c r="O218" s="2">
        <f t="shared" si="14"/>
        <v>7.528E-2</v>
      </c>
      <c r="P218" s="9">
        <f t="shared" si="13"/>
        <v>2.5845284513478697E-2</v>
      </c>
    </row>
    <row r="219" spans="1:16" x14ac:dyDescent="0.2">
      <c r="A219" t="s">
        <v>225</v>
      </c>
      <c r="B219">
        <v>-5.2090000000000001E-3</v>
      </c>
      <c r="C219">
        <v>9.9909999999999999E-3</v>
      </c>
      <c r="D219">
        <v>3.3491E-2</v>
      </c>
      <c r="E219">
        <v>3.1990999999999999E-2</v>
      </c>
      <c r="F219">
        <v>3.1191E-2</v>
      </c>
      <c r="G219">
        <v>1.9909999999999997E-3</v>
      </c>
      <c r="H219">
        <v>2.7890999999999999E-2</v>
      </c>
      <c r="I219" s="2">
        <f>B219-$S$3</f>
        <v>-6.7089999999999997E-3</v>
      </c>
      <c r="J219" s="2">
        <f>C219-$S$3</f>
        <v>8.4910000000000003E-3</v>
      </c>
      <c r="K219" s="2">
        <f>D219-$S$3</f>
        <v>3.1990999999999999E-2</v>
      </c>
      <c r="L219" s="2">
        <f>E219-$S$3</f>
        <v>3.0490999999999997E-2</v>
      </c>
      <c r="M219" s="2">
        <f>F219-$S$3</f>
        <v>2.9690999999999999E-2</v>
      </c>
      <c r="N219" s="2">
        <f>G219-$S$3</f>
        <v>4.9099999999999968E-4</v>
      </c>
      <c r="O219" s="2">
        <f t="shared" si="14"/>
        <v>2.6390999999999998E-2</v>
      </c>
      <c r="P219" s="9">
        <f t="shared" si="13"/>
        <v>2.1090068222981838E-2</v>
      </c>
    </row>
    <row r="220" spans="1:16" x14ac:dyDescent="0.2">
      <c r="A220" t="s">
        <v>226</v>
      </c>
      <c r="B220">
        <v>-8.3500000000000002E-4</v>
      </c>
      <c r="C220">
        <v>-5.2835E-2</v>
      </c>
      <c r="D220">
        <v>5.7650000000000002E-3</v>
      </c>
      <c r="E220">
        <v>3.6865000000000002E-2</v>
      </c>
      <c r="F220">
        <v>-1.1335000000000001E-2</v>
      </c>
      <c r="G220">
        <v>0.10296499999999999</v>
      </c>
      <c r="H220">
        <v>1.5965E-2</v>
      </c>
      <c r="I220" s="2">
        <f>B220-$S$3</f>
        <v>-2.3350000000000003E-3</v>
      </c>
      <c r="J220" s="2">
        <f>C220-$S$3</f>
        <v>-5.4335000000000001E-2</v>
      </c>
      <c r="K220" s="2">
        <f>D220-$S$3</f>
        <v>4.2649999999999997E-3</v>
      </c>
      <c r="L220" s="2">
        <f>E220-$S$3</f>
        <v>3.5365000000000001E-2</v>
      </c>
      <c r="M220" s="2">
        <f>F220-$S$3</f>
        <v>-1.2835000000000001E-2</v>
      </c>
      <c r="N220" s="2">
        <f>G220-$S$3</f>
        <v>0.10146499999999999</v>
      </c>
      <c r="O220" s="2">
        <f t="shared" si="14"/>
        <v>1.4465E-2</v>
      </c>
      <c r="P220" s="9">
        <f t="shared" si="13"/>
        <v>8.0969027880434849E-2</v>
      </c>
    </row>
    <row r="221" spans="1:16" x14ac:dyDescent="0.2">
      <c r="A221" t="s">
        <v>227</v>
      </c>
      <c r="B221">
        <v>0.206875</v>
      </c>
      <c r="C221">
        <v>4.7774999999999998E-2</v>
      </c>
      <c r="D221">
        <v>9.7499999999999974E-4</v>
      </c>
      <c r="E221">
        <v>-2.4925000000000003E-2</v>
      </c>
      <c r="F221">
        <v>5.2274999999999995E-2</v>
      </c>
      <c r="G221">
        <v>-3.7525000000000003E-2</v>
      </c>
      <c r="H221">
        <v>3.7175E-2</v>
      </c>
      <c r="I221" s="2">
        <f>B221-$S$3</f>
        <v>0.205375</v>
      </c>
      <c r="J221" s="2">
        <f>C221-$S$3</f>
        <v>4.6274999999999997E-2</v>
      </c>
      <c r="K221" s="2">
        <f>D221-$S$3</f>
        <v>-5.2500000000000029E-4</v>
      </c>
      <c r="L221" s="2">
        <f>E221-$S$3</f>
        <v>-2.6425000000000004E-2</v>
      </c>
      <c r="M221" s="2">
        <f>F221-$S$3</f>
        <v>5.0774999999999994E-2</v>
      </c>
      <c r="N221" s="2">
        <f>G221-$S$3</f>
        <v>-3.9025000000000004E-2</v>
      </c>
      <c r="O221" s="2">
        <f t="shared" si="14"/>
        <v>3.5674999999999998E-2</v>
      </c>
      <c r="P221" s="9">
        <f t="shared" si="13"/>
        <v>-1.6938626463139546E-3</v>
      </c>
    </row>
    <row r="222" spans="1:16" x14ac:dyDescent="0.2">
      <c r="A222" t="s">
        <v>228</v>
      </c>
      <c r="B222">
        <v>-9.0982999999999994E-2</v>
      </c>
      <c r="C222">
        <v>-0.145983</v>
      </c>
      <c r="D222">
        <v>-1.4283000000000001E-2</v>
      </c>
      <c r="E222">
        <v>-5.1683E-2</v>
      </c>
      <c r="F222">
        <v>-1.0383E-2</v>
      </c>
      <c r="G222">
        <v>4.6517000000000003E-2</v>
      </c>
      <c r="H222">
        <v>-6.7782999999999996E-2</v>
      </c>
      <c r="I222" s="2">
        <f>B222-$S$3</f>
        <v>-9.2482999999999996E-2</v>
      </c>
      <c r="J222" s="2">
        <f>C222-$S$3</f>
        <v>-0.147483</v>
      </c>
      <c r="K222" s="2">
        <f>D222-$S$3</f>
        <v>-1.5783000000000002E-2</v>
      </c>
      <c r="L222" s="2">
        <f>E222-$S$3</f>
        <v>-5.3183000000000001E-2</v>
      </c>
      <c r="M222" s="2">
        <f>F222-$S$3</f>
        <v>-1.1882999999999999E-2</v>
      </c>
      <c r="N222" s="2">
        <f>G222-$S$3</f>
        <v>4.5017000000000001E-2</v>
      </c>
      <c r="O222" s="2">
        <f t="shared" si="14"/>
        <v>-6.9282999999999997E-2</v>
      </c>
      <c r="P222" s="9">
        <f t="shared" si="13"/>
        <v>4.9145049000271945E-2</v>
      </c>
    </row>
    <row r="223" spans="1:16" x14ac:dyDescent="0.2">
      <c r="A223" t="s">
        <v>229</v>
      </c>
      <c r="B223">
        <v>7.2747000000000006E-2</v>
      </c>
      <c r="C223">
        <v>0.16624700000000001</v>
      </c>
      <c r="D223">
        <v>9.3947000000000003E-2</v>
      </c>
      <c r="E223">
        <v>4.9347000000000002E-2</v>
      </c>
      <c r="F223">
        <v>8.7347000000000008E-2</v>
      </c>
      <c r="G223">
        <v>7.4747000000000008E-2</v>
      </c>
      <c r="H223">
        <v>6.7047000000000009E-2</v>
      </c>
      <c r="I223" s="2">
        <f>B223-$S$3</f>
        <v>7.1247000000000005E-2</v>
      </c>
      <c r="J223" s="2">
        <f>C223-$S$3</f>
        <v>0.164747</v>
      </c>
      <c r="K223" s="2">
        <f>D223-$S$3</f>
        <v>9.2447000000000001E-2</v>
      </c>
      <c r="L223" s="2">
        <f>E223-$S$3</f>
        <v>4.7847000000000001E-2</v>
      </c>
      <c r="M223" s="2">
        <f>F223-$S$3</f>
        <v>8.5847000000000007E-2</v>
      </c>
      <c r="N223" s="2">
        <f>G223-$S$3</f>
        <v>7.3247000000000007E-2</v>
      </c>
      <c r="O223" s="2">
        <f t="shared" si="14"/>
        <v>6.5547000000000008E-2</v>
      </c>
      <c r="P223" s="9">
        <f t="shared" si="13"/>
        <v>3.8137649099676145E-2</v>
      </c>
    </row>
    <row r="224" spans="1:16" x14ac:dyDescent="0.2">
      <c r="A224" t="s">
        <v>230</v>
      </c>
      <c r="B224">
        <v>-5.6283E-2</v>
      </c>
      <c r="C224">
        <v>4.5217E-2</v>
      </c>
      <c r="D224">
        <v>2.9817000000000003E-2</v>
      </c>
      <c r="E224">
        <v>-2.3983000000000001E-2</v>
      </c>
      <c r="F224">
        <v>-2.7829999999999999E-3</v>
      </c>
      <c r="G224">
        <v>-4.1830000000000001E-3</v>
      </c>
      <c r="H224">
        <v>1.1317000000000001E-2</v>
      </c>
      <c r="I224" s="2">
        <f>B224-$S$3</f>
        <v>-5.7783000000000001E-2</v>
      </c>
      <c r="J224" s="2">
        <f>C224-$S$3</f>
        <v>4.3716999999999999E-2</v>
      </c>
      <c r="K224" s="2">
        <f>D224-$S$3</f>
        <v>2.8317000000000002E-2</v>
      </c>
      <c r="L224" s="2">
        <f>E224-$S$3</f>
        <v>-2.5483000000000002E-2</v>
      </c>
      <c r="M224" s="2">
        <f>F224-$S$3</f>
        <v>-4.2830000000000003E-3</v>
      </c>
      <c r="N224" s="2">
        <f>G224-$S$3</f>
        <v>-5.6830000000000006E-3</v>
      </c>
      <c r="O224" s="2">
        <f t="shared" si="14"/>
        <v>9.8170000000000011E-3</v>
      </c>
      <c r="P224" s="9">
        <f t="shared" si="13"/>
        <v>-2.5791322633134793E-2</v>
      </c>
    </row>
    <row r="225" spans="1:16" x14ac:dyDescent="0.2">
      <c r="A225" t="s">
        <v>231</v>
      </c>
      <c r="B225">
        <v>-3.9708E-2</v>
      </c>
      <c r="C225">
        <v>-8.2508000000000012E-2</v>
      </c>
      <c r="D225">
        <v>3.3591999999999997E-2</v>
      </c>
      <c r="E225">
        <v>5.0391999999999999E-2</v>
      </c>
      <c r="F225">
        <v>3.8292E-2</v>
      </c>
      <c r="G225">
        <v>0.24649200000000002</v>
      </c>
      <c r="H225">
        <v>-2.0008000000000001E-2</v>
      </c>
      <c r="I225" s="2">
        <f>B225-$S$3</f>
        <v>-4.1208000000000002E-2</v>
      </c>
      <c r="J225" s="2">
        <f>C225-$S$3</f>
        <v>-8.4008000000000013E-2</v>
      </c>
      <c r="K225" s="2">
        <f>D225-$S$3</f>
        <v>3.2091999999999996E-2</v>
      </c>
      <c r="L225" s="2">
        <f>E225-$S$3</f>
        <v>4.8891999999999998E-2</v>
      </c>
      <c r="M225" s="2">
        <f>F225-$S$3</f>
        <v>3.6791999999999998E-2</v>
      </c>
      <c r="N225" s="2">
        <f>G225-$S$3</f>
        <v>0.24499200000000002</v>
      </c>
      <c r="O225" s="2">
        <f t="shared" si="14"/>
        <v>-2.1508000000000003E-2</v>
      </c>
      <c r="P225" s="9">
        <f t="shared" si="13"/>
        <v>0.1826123121802129</v>
      </c>
    </row>
    <row r="226" spans="1:16" x14ac:dyDescent="0.2">
      <c r="A226" t="s">
        <v>232</v>
      </c>
      <c r="B226">
        <v>-2.8870000000000002E-3</v>
      </c>
      <c r="C226">
        <v>1.8613000000000001E-2</v>
      </c>
      <c r="D226">
        <v>7.1413000000000004E-2</v>
      </c>
      <c r="E226">
        <v>3.6013000000000003E-2</v>
      </c>
      <c r="F226">
        <v>3.6913000000000001E-2</v>
      </c>
      <c r="G226">
        <v>-2.9870000000000001E-3</v>
      </c>
      <c r="H226">
        <v>1.5413E-2</v>
      </c>
      <c r="I226" s="2">
        <f>B226-$S$3</f>
        <v>-4.3870000000000003E-3</v>
      </c>
      <c r="J226" s="2">
        <f>C226-$S$3</f>
        <v>1.7113E-2</v>
      </c>
      <c r="K226" s="2">
        <f>D226-$S$3</f>
        <v>6.9913000000000003E-2</v>
      </c>
      <c r="L226" s="2">
        <f>E226-$S$3</f>
        <v>3.4513000000000002E-2</v>
      </c>
      <c r="M226" s="2">
        <f>F226-$S$3</f>
        <v>3.5413E-2</v>
      </c>
      <c r="N226" s="2">
        <f>G226-$S$3</f>
        <v>-4.4869999999999997E-3</v>
      </c>
      <c r="O226" s="2">
        <f t="shared" si="14"/>
        <v>1.3913E-2</v>
      </c>
      <c r="P226" s="9">
        <f t="shared" si="13"/>
        <v>1.456327574756092E-2</v>
      </c>
    </row>
    <row r="227" spans="1:16" x14ac:dyDescent="0.2">
      <c r="A227" t="s">
        <v>233</v>
      </c>
      <c r="B227">
        <v>-4.8131E-2</v>
      </c>
      <c r="C227">
        <v>-1.0031E-2</v>
      </c>
      <c r="D227">
        <v>2.9668999999999997E-2</v>
      </c>
      <c r="E227">
        <v>1.0669000000000001E-2</v>
      </c>
      <c r="F227">
        <v>-1.3531E-2</v>
      </c>
      <c r="G227">
        <v>-1.531E-3</v>
      </c>
      <c r="H227">
        <v>1.8869E-2</v>
      </c>
      <c r="I227" s="2">
        <f>B227-$S$3</f>
        <v>-4.9631000000000002E-2</v>
      </c>
      <c r="J227" s="2">
        <f>C227-$S$3</f>
        <v>-1.1531E-2</v>
      </c>
      <c r="K227" s="2">
        <f>D227-$S$3</f>
        <v>2.8168999999999996E-2</v>
      </c>
      <c r="L227" s="2">
        <f>E227-$S$3</f>
        <v>9.1690000000000018E-3</v>
      </c>
      <c r="M227" s="2">
        <f>F227-$S$3</f>
        <v>-1.5030999999999999E-2</v>
      </c>
      <c r="N227" s="2">
        <f>G227-$S$3</f>
        <v>-3.0309999999999998E-3</v>
      </c>
      <c r="O227" s="2">
        <f t="shared" si="14"/>
        <v>1.7368999999999999E-2</v>
      </c>
      <c r="P227" s="9">
        <f t="shared" si="13"/>
        <v>3.3501244711545489E-4</v>
      </c>
    </row>
    <row r="228" spans="1:16" x14ac:dyDescent="0.2">
      <c r="A228" t="s">
        <v>234</v>
      </c>
      <c r="B228">
        <v>5.3502999999999995E-2</v>
      </c>
      <c r="C228">
        <v>-3.2396999999999995E-2</v>
      </c>
      <c r="D228">
        <v>-2.9996999999999999E-2</v>
      </c>
      <c r="E228">
        <v>-4.9969999999999997E-3</v>
      </c>
      <c r="F228">
        <v>1.4402999999999999E-2</v>
      </c>
      <c r="G228">
        <v>0.17510300000000001</v>
      </c>
      <c r="H228">
        <v>3.2802999999999999E-2</v>
      </c>
      <c r="I228" s="2">
        <f>B228-$S$3</f>
        <v>5.2002999999999994E-2</v>
      </c>
      <c r="J228" s="2">
        <f>C228-$S$3</f>
        <v>-3.3896999999999997E-2</v>
      </c>
      <c r="K228" s="2">
        <f>D228-$S$3</f>
        <v>-3.1496999999999997E-2</v>
      </c>
      <c r="L228" s="2">
        <f>E228-$S$3</f>
        <v>-6.4969999999999993E-3</v>
      </c>
      <c r="M228" s="2">
        <f>F228-$S$3</f>
        <v>1.2903E-2</v>
      </c>
      <c r="N228" s="2">
        <f>G228-$S$3</f>
        <v>0.17360300000000001</v>
      </c>
      <c r="O228" s="2">
        <f t="shared" si="14"/>
        <v>3.1302999999999997E-2</v>
      </c>
      <c r="P228" s="9">
        <f t="shared" si="13"/>
        <v>0.12360470489734922</v>
      </c>
    </row>
    <row r="229" spans="1:16" x14ac:dyDescent="0.2">
      <c r="A229" t="s">
        <v>235</v>
      </c>
      <c r="B229">
        <v>2.5068999999999998E-2</v>
      </c>
      <c r="C229">
        <v>2.6168999999999998E-2</v>
      </c>
      <c r="D229">
        <v>4.4068999999999997E-2</v>
      </c>
      <c r="E229">
        <v>1.7868999999999999E-2</v>
      </c>
      <c r="F229">
        <v>9.6899999999999959E-4</v>
      </c>
      <c r="G229">
        <v>2.4169E-2</v>
      </c>
      <c r="H229">
        <v>2.7168999999999999E-2</v>
      </c>
      <c r="I229" s="2">
        <f>B229-$S$3</f>
        <v>2.3568999999999996E-2</v>
      </c>
      <c r="J229" s="2">
        <f>C229-$S$3</f>
        <v>2.4668999999999996E-2</v>
      </c>
      <c r="K229" s="2">
        <f>D229-$S$3</f>
        <v>4.2568999999999996E-2</v>
      </c>
      <c r="L229" s="2">
        <f>E229-$S$3</f>
        <v>1.6368999999999998E-2</v>
      </c>
      <c r="M229" s="2">
        <f>F229-$S$3</f>
        <v>-5.3100000000000044E-4</v>
      </c>
      <c r="N229" s="2">
        <f>G229-$S$3</f>
        <v>2.2668999999999998E-2</v>
      </c>
      <c r="O229" s="2">
        <f t="shared" si="14"/>
        <v>2.5668999999999997E-2</v>
      </c>
      <c r="P229" s="9">
        <f t="shared" si="13"/>
        <v>1.2834148754749319E-2</v>
      </c>
    </row>
    <row r="230" spans="1:16" x14ac:dyDescent="0.2">
      <c r="A230" t="s">
        <v>236</v>
      </c>
      <c r="B230">
        <v>-3.6763999999999998E-2</v>
      </c>
      <c r="C230">
        <v>-8.8863999999999999E-2</v>
      </c>
      <c r="D230">
        <v>-2.5663999999999999E-2</v>
      </c>
      <c r="E230">
        <v>-2.2963999999999998E-2</v>
      </c>
      <c r="F230">
        <v>-3.7763999999999999E-2</v>
      </c>
      <c r="G230">
        <v>-0.137464</v>
      </c>
      <c r="H230">
        <v>-2.764E-3</v>
      </c>
      <c r="I230" s="2">
        <f>B230-$S$3</f>
        <v>-3.8263999999999999E-2</v>
      </c>
      <c r="J230" s="2">
        <f>C230-$S$3</f>
        <v>-9.0364E-2</v>
      </c>
      <c r="K230" s="2">
        <f>D230-$S$3</f>
        <v>-2.7164000000000001E-2</v>
      </c>
      <c r="L230" s="2">
        <f>E230-$S$3</f>
        <v>-2.4464E-2</v>
      </c>
      <c r="M230" s="2">
        <f>F230-$S$3</f>
        <v>-3.9264E-2</v>
      </c>
      <c r="N230" s="2">
        <f>G230-$S$3</f>
        <v>-0.138964</v>
      </c>
      <c r="O230" s="2">
        <f t="shared" si="14"/>
        <v>-4.2640000000000004E-3</v>
      </c>
      <c r="P230" s="9">
        <f t="shared" si="13"/>
        <v>-6.1626977330041049E-2</v>
      </c>
    </row>
    <row r="231" spans="1:16" x14ac:dyDescent="0.2">
      <c r="A231" t="s">
        <v>237</v>
      </c>
      <c r="B231">
        <v>-0.21210799999999999</v>
      </c>
      <c r="C231">
        <v>-8.7807999999999997E-2</v>
      </c>
      <c r="D231">
        <v>-6.5007999999999996E-2</v>
      </c>
      <c r="E231">
        <v>-9.0008000000000005E-2</v>
      </c>
      <c r="F231">
        <v>-6.0707999999999998E-2</v>
      </c>
      <c r="G231">
        <v>-6.5907999999999994E-2</v>
      </c>
      <c r="H231">
        <v>-8.5307999999999995E-2</v>
      </c>
      <c r="I231" s="2">
        <f>B231-$S$3</f>
        <v>-0.21360799999999999</v>
      </c>
      <c r="J231" s="2">
        <f>C231-$S$3</f>
        <v>-8.9307999999999998E-2</v>
      </c>
      <c r="K231" s="2">
        <f>D231-$S$3</f>
        <v>-6.6507999999999998E-2</v>
      </c>
      <c r="L231" s="2">
        <f>E231-$S$3</f>
        <v>-9.1508000000000006E-2</v>
      </c>
      <c r="M231" s="2">
        <f>F231-$S$3</f>
        <v>-6.2207999999999999E-2</v>
      </c>
      <c r="N231" s="2">
        <f>G231-$S$3</f>
        <v>-6.7407999999999996E-2</v>
      </c>
      <c r="O231" s="2">
        <f t="shared" si="14"/>
        <v>-8.6807999999999996E-2</v>
      </c>
      <c r="P231" s="9">
        <f t="shared" si="13"/>
        <v>-7.1021258560518885E-2</v>
      </c>
    </row>
    <row r="232" spans="1:16" x14ac:dyDescent="0.2">
      <c r="A232" t="s">
        <v>238</v>
      </c>
      <c r="B232">
        <v>-0.30726799999999999</v>
      </c>
      <c r="C232">
        <v>-0.31136799999999998</v>
      </c>
      <c r="D232">
        <v>-0.173568</v>
      </c>
      <c r="E232">
        <v>-9.1680000000000008E-3</v>
      </c>
      <c r="F232">
        <v>5.8632000000000004E-2</v>
      </c>
      <c r="G232">
        <v>-9.8668000000000006E-2</v>
      </c>
      <c r="H232">
        <v>-0.12636799999999998</v>
      </c>
      <c r="I232" s="2">
        <f>B232-$S$3</f>
        <v>-0.30876799999999999</v>
      </c>
      <c r="J232" s="2">
        <f>C232-$S$3</f>
        <v>-0.31286799999999998</v>
      </c>
      <c r="K232" s="2">
        <f>D232-$S$3</f>
        <v>-0.175068</v>
      </c>
      <c r="L232" s="2">
        <f>E232-$S$3</f>
        <v>-1.0668E-2</v>
      </c>
      <c r="M232" s="2">
        <f>F232-$S$3</f>
        <v>5.7132000000000002E-2</v>
      </c>
      <c r="N232" s="2">
        <f>G232-$S$3</f>
        <v>-0.10016800000000001</v>
      </c>
      <c r="O232" s="2">
        <f t="shared" si="14"/>
        <v>-0.12786799999999998</v>
      </c>
      <c r="P232" s="9">
        <f t="shared" si="13"/>
        <v>4.9898522897651482E-2</v>
      </c>
    </row>
    <row r="233" spans="1:16" x14ac:dyDescent="0.2">
      <c r="A233" t="s">
        <v>239</v>
      </c>
      <c r="B233">
        <v>5.3796999999999998E-2</v>
      </c>
      <c r="C233">
        <v>7.2696999999999998E-2</v>
      </c>
      <c r="D233">
        <v>6.3496999999999998E-2</v>
      </c>
      <c r="E233">
        <v>8.0696999999999991E-2</v>
      </c>
      <c r="F233">
        <v>6.9796999999999998E-2</v>
      </c>
      <c r="G233">
        <v>0.180397</v>
      </c>
      <c r="H233">
        <v>0.12679699999999999</v>
      </c>
      <c r="I233" s="2">
        <f>B233-$S$3</f>
        <v>5.2296999999999996E-2</v>
      </c>
      <c r="J233" s="2">
        <f>C233-$S$3</f>
        <v>7.1196999999999996E-2</v>
      </c>
      <c r="K233" s="2">
        <f>D233-$S$3</f>
        <v>6.1996999999999997E-2</v>
      </c>
      <c r="L233" s="2">
        <f>E233-$S$3</f>
        <v>7.919699999999999E-2</v>
      </c>
      <c r="M233" s="2">
        <f>F233-$S$3</f>
        <v>6.8296999999999997E-2</v>
      </c>
      <c r="N233" s="2">
        <f>G233-$S$3</f>
        <v>0.178897</v>
      </c>
      <c r="O233" s="2">
        <f t="shared" si="14"/>
        <v>0.12529699999999999</v>
      </c>
      <c r="P233" s="9">
        <f t="shared" si="13"/>
        <v>0.14278520715728291</v>
      </c>
    </row>
    <row r="234" spans="1:16" x14ac:dyDescent="0.2">
      <c r="A234" t="s">
        <v>240</v>
      </c>
      <c r="B234">
        <v>0.121741</v>
      </c>
      <c r="C234">
        <v>0.16104099999999999</v>
      </c>
      <c r="D234">
        <v>1.2741000000000001E-2</v>
      </c>
      <c r="E234">
        <v>-1.2589999999999999E-3</v>
      </c>
      <c r="F234">
        <v>2.5141E-2</v>
      </c>
      <c r="G234">
        <v>0.120641</v>
      </c>
      <c r="H234">
        <v>4.5241000000000003E-2</v>
      </c>
      <c r="I234" s="2">
        <f>B234-$S$3</f>
        <v>0.120241</v>
      </c>
      <c r="J234" s="2">
        <f>C234-$S$3</f>
        <v>0.15954099999999999</v>
      </c>
      <c r="K234" s="2">
        <f>D234-$S$3</f>
        <v>1.1241000000000001E-2</v>
      </c>
      <c r="L234" s="2">
        <f>E234-$S$3</f>
        <v>-2.7590000000000002E-3</v>
      </c>
      <c r="M234" s="2">
        <f>F234-$S$3</f>
        <v>2.3640999999999999E-2</v>
      </c>
      <c r="N234" s="2">
        <f>G234-$S$3</f>
        <v>0.119141</v>
      </c>
      <c r="O234" s="2">
        <f t="shared" si="14"/>
        <v>4.3741000000000002E-2</v>
      </c>
      <c r="P234" s="9">
        <f t="shared" si="13"/>
        <v>2.9562915672770768E-2</v>
      </c>
    </row>
    <row r="235" spans="1:16" x14ac:dyDescent="0.2">
      <c r="A235" t="s">
        <v>241</v>
      </c>
      <c r="B235">
        <v>6.4688999999999997E-2</v>
      </c>
      <c r="C235">
        <v>-2.2511E-2</v>
      </c>
      <c r="D235">
        <v>-2.0511000000000001E-2</v>
      </c>
      <c r="E235">
        <v>-3.9310999999999999E-2</v>
      </c>
      <c r="F235">
        <v>-3.4611000000000003E-2</v>
      </c>
      <c r="G235">
        <v>-1.9710999999999999E-2</v>
      </c>
      <c r="H235">
        <v>1.8289E-2</v>
      </c>
      <c r="I235" s="2">
        <f>B235-$S$3</f>
        <v>6.3188999999999995E-2</v>
      </c>
      <c r="J235" s="2">
        <f>C235-$S$3</f>
        <v>-2.4011000000000001E-2</v>
      </c>
      <c r="K235" s="2">
        <f>D235-$S$3</f>
        <v>-2.2011000000000003E-2</v>
      </c>
      <c r="L235" s="2">
        <f>E235-$S$3</f>
        <v>-4.0811E-2</v>
      </c>
      <c r="M235" s="2">
        <f>F235-$S$3</f>
        <v>-3.6111000000000004E-2</v>
      </c>
      <c r="N235" s="2">
        <f>G235-$S$3</f>
        <v>-2.1211000000000001E-2</v>
      </c>
      <c r="O235" s="2">
        <f t="shared" si="14"/>
        <v>1.6788999999999998E-2</v>
      </c>
      <c r="P235" s="9">
        <f t="shared" si="13"/>
        <v>-1.5075972777483491E-2</v>
      </c>
    </row>
    <row r="236" spans="1:16" x14ac:dyDescent="0.2">
      <c r="A236" t="s">
        <v>242</v>
      </c>
      <c r="B236">
        <v>8.7104000000000001E-2</v>
      </c>
      <c r="C236">
        <v>-1.6295999999999998E-2</v>
      </c>
      <c r="D236">
        <v>-4.3959999999999997E-3</v>
      </c>
      <c r="E236">
        <v>5.4404000000000001E-2</v>
      </c>
      <c r="F236">
        <v>8.0203999999999998E-2</v>
      </c>
      <c r="G236">
        <v>4.9503999999999999E-2</v>
      </c>
      <c r="H236">
        <v>5.5004000000000004E-2</v>
      </c>
      <c r="I236" s="2">
        <f>B236-$S$3</f>
        <v>8.5604E-2</v>
      </c>
      <c r="J236" s="2">
        <f>C236-$S$3</f>
        <v>-1.7795999999999999E-2</v>
      </c>
      <c r="K236" s="2">
        <f>D236-$S$3</f>
        <v>-5.8960000000000002E-3</v>
      </c>
      <c r="L236" s="2">
        <f>E236-$S$3</f>
        <v>5.2904E-2</v>
      </c>
      <c r="M236" s="2">
        <f>F236-$S$3</f>
        <v>7.8703999999999996E-2</v>
      </c>
      <c r="N236" s="2">
        <f>G236-$S$3</f>
        <v>4.8003999999999998E-2</v>
      </c>
      <c r="O236" s="2">
        <f t="shared" si="14"/>
        <v>5.3504000000000003E-2</v>
      </c>
      <c r="P236" s="9">
        <f t="shared" si="13"/>
        <v>9.3213682541909371E-2</v>
      </c>
    </row>
    <row r="237" spans="1:16" x14ac:dyDescent="0.2">
      <c r="A237" t="s">
        <v>243</v>
      </c>
      <c r="B237">
        <v>3.1720999999999999E-2</v>
      </c>
      <c r="C237">
        <v>0.19032100000000002</v>
      </c>
      <c r="D237">
        <v>7.7209999999999996E-3</v>
      </c>
      <c r="E237">
        <v>3.1021E-2</v>
      </c>
      <c r="F237">
        <v>7.7321000000000001E-2</v>
      </c>
      <c r="G237">
        <v>0.207121</v>
      </c>
      <c r="H237">
        <v>7.0021E-2</v>
      </c>
      <c r="I237" s="2">
        <f>B237-$S$3</f>
        <v>3.0220999999999998E-2</v>
      </c>
      <c r="J237" s="2">
        <f>C237-$S$3</f>
        <v>0.18882100000000002</v>
      </c>
      <c r="K237" s="2">
        <f>D237-$S$3</f>
        <v>6.2209999999999991E-3</v>
      </c>
      <c r="L237" s="2">
        <f>E237-$S$3</f>
        <v>2.9520999999999999E-2</v>
      </c>
      <c r="M237" s="2">
        <f>F237-$S$3</f>
        <v>7.5821E-2</v>
      </c>
      <c r="N237" s="2">
        <f>G237-$S$3</f>
        <v>0.205621</v>
      </c>
      <c r="O237" s="2">
        <f t="shared" si="14"/>
        <v>6.8520999999999999E-2</v>
      </c>
      <c r="P237" s="9">
        <f t="shared" si="13"/>
        <v>9.365945330307282E-2</v>
      </c>
    </row>
    <row r="238" spans="1:16" x14ac:dyDescent="0.2">
      <c r="A238" t="s">
        <v>244</v>
      </c>
      <c r="B238">
        <v>-2.3576E-2</v>
      </c>
      <c r="C238">
        <v>-1.4759999999999999E-3</v>
      </c>
      <c r="D238">
        <v>-4.3676E-2</v>
      </c>
      <c r="E238">
        <v>3.6240000000000001E-3</v>
      </c>
      <c r="F238">
        <v>7.5240000000000003E-3</v>
      </c>
      <c r="G238">
        <v>4.1023999999999998E-2</v>
      </c>
      <c r="H238">
        <v>-3.9275999999999998E-2</v>
      </c>
      <c r="I238" s="2">
        <f>B238-$S$3</f>
        <v>-2.5076000000000001E-2</v>
      </c>
      <c r="J238" s="2">
        <f>C238-$S$3</f>
        <v>-2.9759999999999999E-3</v>
      </c>
      <c r="K238" s="2">
        <f>D238-$S$3</f>
        <v>-4.5176000000000001E-2</v>
      </c>
      <c r="L238" s="2">
        <f>E238-$S$3</f>
        <v>2.124E-3</v>
      </c>
      <c r="M238" s="2">
        <f>F238-$S$3</f>
        <v>6.0239999999999998E-3</v>
      </c>
      <c r="N238" s="2">
        <f>G238-$S$3</f>
        <v>3.9523999999999997E-2</v>
      </c>
      <c r="O238" s="2">
        <f t="shared" si="14"/>
        <v>-4.0776E-2</v>
      </c>
      <c r="P238" s="9">
        <f t="shared" si="13"/>
        <v>1.7247154594043971E-2</v>
      </c>
    </row>
    <row r="239" spans="1:16" x14ac:dyDescent="0.2">
      <c r="A239" t="s">
        <v>245</v>
      </c>
      <c r="B239">
        <v>0.16062700000000002</v>
      </c>
      <c r="C239">
        <v>0.166827</v>
      </c>
      <c r="D239">
        <v>-3.5073E-2</v>
      </c>
      <c r="E239">
        <v>-3.1972999999999994E-2</v>
      </c>
      <c r="F239">
        <v>-8.3730000000000002E-3</v>
      </c>
      <c r="G239">
        <v>-3.3072999999999998E-2</v>
      </c>
      <c r="H239">
        <v>-2.7772999999999999E-2</v>
      </c>
      <c r="I239" s="2">
        <f>B239-$S$3</f>
        <v>0.15912700000000002</v>
      </c>
      <c r="J239" s="2">
        <f>C239-$S$3</f>
        <v>0.165327</v>
      </c>
      <c r="K239" s="2">
        <f>D239-$S$3</f>
        <v>-3.6573000000000001E-2</v>
      </c>
      <c r="L239" s="2">
        <f>E239-$S$3</f>
        <v>-3.3472999999999996E-2</v>
      </c>
      <c r="M239" s="2">
        <f>F239-$S$3</f>
        <v>-9.8729999999999998E-3</v>
      </c>
      <c r="N239" s="2">
        <f>G239-$S$3</f>
        <v>-3.4573E-2</v>
      </c>
      <c r="O239" s="2">
        <f t="shared" si="14"/>
        <v>-2.9273E-2</v>
      </c>
      <c r="P239" s="9">
        <f t="shared" si="13"/>
        <v>-8.8968256544352461E-2</v>
      </c>
    </row>
    <row r="240" spans="1:16" x14ac:dyDescent="0.2">
      <c r="A240" t="s">
        <v>246</v>
      </c>
      <c r="B240">
        <v>0.17453399999999999</v>
      </c>
      <c r="C240">
        <v>0.269534</v>
      </c>
      <c r="D240">
        <v>6.3934000000000005E-2</v>
      </c>
      <c r="E240">
        <v>5.9934000000000001E-2</v>
      </c>
      <c r="F240">
        <v>0.101134</v>
      </c>
      <c r="G240">
        <v>0.18423399999999998</v>
      </c>
      <c r="H240">
        <v>0.107434</v>
      </c>
      <c r="I240" s="2">
        <f>B240-$S$3</f>
        <v>0.17303399999999999</v>
      </c>
      <c r="J240" s="2">
        <f>C240-$S$3</f>
        <v>0.26803399999999999</v>
      </c>
      <c r="K240" s="2">
        <f>D240-$S$3</f>
        <v>6.2434000000000003E-2</v>
      </c>
      <c r="L240" s="2">
        <f>E240-$S$3</f>
        <v>5.8434E-2</v>
      </c>
      <c r="M240" s="2">
        <f>F240-$S$3</f>
        <v>9.9634E-2</v>
      </c>
      <c r="N240" s="2">
        <f>G240-$S$3</f>
        <v>0.18273399999999998</v>
      </c>
      <c r="O240" s="2">
        <f t="shared" si="14"/>
        <v>0.105934</v>
      </c>
      <c r="P240" s="9">
        <f t="shared" si="13"/>
        <v>7.9980779539429211E-2</v>
      </c>
    </row>
    <row r="241" spans="1:16" x14ac:dyDescent="0.2">
      <c r="A241" t="s">
        <v>247</v>
      </c>
      <c r="B241">
        <v>-3.1959999999999995E-2</v>
      </c>
      <c r="C241">
        <v>-5.0259999999999999E-2</v>
      </c>
      <c r="D241">
        <v>2.3999999999999998E-4</v>
      </c>
      <c r="E241">
        <v>-2.7560000000000001E-2</v>
      </c>
      <c r="F241">
        <v>-5.3159999999999999E-2</v>
      </c>
      <c r="G241">
        <v>-1.6760000000000001E-2</v>
      </c>
      <c r="H241">
        <v>3.7040000000000003E-2</v>
      </c>
      <c r="I241" s="2">
        <f>B241-$S$3</f>
        <v>-3.3459999999999997E-2</v>
      </c>
      <c r="J241" s="2">
        <f>C241-$S$3</f>
        <v>-5.176E-2</v>
      </c>
      <c r="K241" s="2">
        <f>D241-$S$3</f>
        <v>-1.2600000000000001E-3</v>
      </c>
      <c r="L241" s="2">
        <f>E241-$S$3</f>
        <v>-2.9060000000000002E-2</v>
      </c>
      <c r="M241" s="2">
        <f>F241-$S$3</f>
        <v>-5.466E-2</v>
      </c>
      <c r="N241" s="2">
        <f>G241-$S$3</f>
        <v>-1.8260000000000002E-2</v>
      </c>
      <c r="O241" s="2">
        <f t="shared" si="14"/>
        <v>3.5540000000000002E-2</v>
      </c>
      <c r="P241" s="9">
        <f t="shared" si="13"/>
        <v>-9.6850790419376366E-3</v>
      </c>
    </row>
    <row r="242" spans="1:16" x14ac:dyDescent="0.2">
      <c r="A242" t="s">
        <v>248</v>
      </c>
      <c r="B242">
        <v>0.19795400000000002</v>
      </c>
      <c r="C242">
        <v>0.217054</v>
      </c>
      <c r="D242">
        <v>1.3254E-2</v>
      </c>
      <c r="E242">
        <v>-5.8145999999999996E-2</v>
      </c>
      <c r="F242">
        <v>-2.5446E-2</v>
      </c>
      <c r="G242">
        <v>2.6254E-2</v>
      </c>
      <c r="H242">
        <v>-1.1146E-2</v>
      </c>
      <c r="I242" s="2">
        <f>B242-$S$3</f>
        <v>0.19645400000000002</v>
      </c>
      <c r="J242" s="2">
        <f>C242-$S$3</f>
        <v>0.215554</v>
      </c>
      <c r="K242" s="2">
        <f>D242-$S$3</f>
        <v>1.1754000000000001E-2</v>
      </c>
      <c r="L242" s="2">
        <f>E242-$S$3</f>
        <v>-5.9645999999999998E-2</v>
      </c>
      <c r="M242" s="2">
        <f>F242-$S$3</f>
        <v>-2.6946000000000001E-2</v>
      </c>
      <c r="N242" s="2">
        <f>G242-$S$3</f>
        <v>2.4753999999999998E-2</v>
      </c>
      <c r="O242" s="2">
        <f t="shared" si="14"/>
        <v>-1.2645999999999999E-2</v>
      </c>
      <c r="P242" s="9">
        <f t="shared" si="13"/>
        <v>-8.3161497021881595E-2</v>
      </c>
    </row>
    <row r="243" spans="1:16" x14ac:dyDescent="0.2">
      <c r="A243" t="s">
        <v>249</v>
      </c>
      <c r="B243">
        <v>0.111055</v>
      </c>
      <c r="C243">
        <v>1.2755000000000001E-2</v>
      </c>
      <c r="D243">
        <v>-2.5845E-2</v>
      </c>
      <c r="E243">
        <v>9.9550000000000003E-3</v>
      </c>
      <c r="F243">
        <v>-7.5245000000000006E-2</v>
      </c>
      <c r="G243">
        <v>1.6055E-2</v>
      </c>
      <c r="H243">
        <v>2.6055000000000002E-2</v>
      </c>
      <c r="I243" s="2">
        <f>B243-$S$3</f>
        <v>0.109555</v>
      </c>
      <c r="J243" s="2">
        <f>C243-$S$3</f>
        <v>1.1255000000000001E-2</v>
      </c>
      <c r="K243" s="2">
        <f>D243-$S$3</f>
        <v>-2.7345000000000001E-2</v>
      </c>
      <c r="L243" s="2">
        <f>E243-$S$3</f>
        <v>8.4550000000000007E-3</v>
      </c>
      <c r="M243" s="2">
        <f>F243-$S$3</f>
        <v>-7.6745000000000008E-2</v>
      </c>
      <c r="N243" s="2">
        <f>G243-$S$3</f>
        <v>1.4555E-2</v>
      </c>
      <c r="O243" s="2">
        <f t="shared" si="14"/>
        <v>2.4555E-2</v>
      </c>
      <c r="P243" s="9">
        <f t="shared" si="13"/>
        <v>-1.4391671186845716E-2</v>
      </c>
    </row>
    <row r="244" spans="1:16" x14ac:dyDescent="0.2">
      <c r="A244" t="s">
        <v>250</v>
      </c>
      <c r="B244">
        <v>4.6973000000000001E-2</v>
      </c>
      <c r="C244">
        <v>0.11937300000000001</v>
      </c>
      <c r="D244">
        <v>8.5273000000000002E-2</v>
      </c>
      <c r="E244">
        <v>5.1472999999999998E-2</v>
      </c>
      <c r="F244">
        <v>4.9873000000000001E-2</v>
      </c>
      <c r="G244">
        <v>7.9772999999999997E-2</v>
      </c>
      <c r="H244">
        <v>4.2373000000000001E-2</v>
      </c>
      <c r="I244" s="2">
        <f>B244-$S$3</f>
        <v>4.5473E-2</v>
      </c>
      <c r="J244" s="2">
        <f>C244-$S$3</f>
        <v>0.11787300000000001</v>
      </c>
      <c r="K244" s="2">
        <f>D244-$S$3</f>
        <v>8.3773E-2</v>
      </c>
      <c r="L244" s="2">
        <f>E244-$S$3</f>
        <v>4.9972999999999997E-2</v>
      </c>
      <c r="M244" s="2">
        <f>F244-$S$3</f>
        <v>4.8372999999999999E-2</v>
      </c>
      <c r="N244" s="2">
        <f>G244-$S$3</f>
        <v>7.8272999999999995E-2</v>
      </c>
      <c r="O244" s="2">
        <f t="shared" si="14"/>
        <v>4.0873E-2</v>
      </c>
      <c r="P244" s="9">
        <f t="shared" si="13"/>
        <v>3.6695637936354872E-2</v>
      </c>
    </row>
    <row r="245" spans="1:16" x14ac:dyDescent="0.2">
      <c r="A245" t="s">
        <v>251</v>
      </c>
      <c r="B245">
        <v>-5.8014000000000003E-2</v>
      </c>
      <c r="C245">
        <v>-4.2139999999999999E-3</v>
      </c>
      <c r="D245">
        <v>5.5585999999999997E-2</v>
      </c>
      <c r="E245">
        <v>4.5859999999999998E-3</v>
      </c>
      <c r="F245">
        <v>2.9985999999999999E-2</v>
      </c>
      <c r="G245">
        <v>4.6385999999999997E-2</v>
      </c>
      <c r="H245">
        <v>5.2386000000000002E-2</v>
      </c>
      <c r="I245" s="2">
        <f>B245-$S$3</f>
        <v>-5.9514000000000004E-2</v>
      </c>
      <c r="J245" s="2">
        <f>C245-$S$3</f>
        <v>-5.7140000000000003E-3</v>
      </c>
      <c r="K245" s="2">
        <f>D245-$S$3</f>
        <v>5.4085999999999995E-2</v>
      </c>
      <c r="L245" s="2">
        <f>E245-$S$3</f>
        <v>3.0859999999999998E-3</v>
      </c>
      <c r="M245" s="2">
        <f>F245-$S$3</f>
        <v>2.8485999999999997E-2</v>
      </c>
      <c r="N245" s="2">
        <f>G245-$S$3</f>
        <v>4.4885999999999995E-2</v>
      </c>
      <c r="O245" s="2">
        <f t="shared" si="14"/>
        <v>5.0886000000000001E-2</v>
      </c>
      <c r="P245" s="9">
        <f t="shared" si="13"/>
        <v>4.8174166384602056E-2</v>
      </c>
    </row>
    <row r="246" spans="1:16" x14ac:dyDescent="0.2">
      <c r="A246" t="s">
        <v>252</v>
      </c>
      <c r="B246">
        <v>0.25909500000000002</v>
      </c>
      <c r="C246">
        <v>3.6495E-2</v>
      </c>
      <c r="D246">
        <v>-6.3005000000000005E-2</v>
      </c>
      <c r="E246">
        <v>-2.2505000000000001E-2</v>
      </c>
      <c r="F246">
        <v>1.9094999999999997E-2</v>
      </c>
      <c r="G246">
        <v>9.8494999999999999E-2</v>
      </c>
      <c r="H246">
        <v>5.4949999999999999E-3</v>
      </c>
      <c r="I246" s="2">
        <f>B246-$S$3</f>
        <v>0.25759500000000002</v>
      </c>
      <c r="J246" s="2">
        <f>C246-$S$3</f>
        <v>3.4994999999999998E-2</v>
      </c>
      <c r="K246" s="2">
        <f>D246-$S$3</f>
        <v>-6.4505000000000007E-2</v>
      </c>
      <c r="L246" s="2">
        <f>E246-$S$3</f>
        <v>-2.4005000000000002E-2</v>
      </c>
      <c r="M246" s="2">
        <f>F246-$S$3</f>
        <v>1.7594999999999996E-2</v>
      </c>
      <c r="N246" s="2">
        <f>G246-$S$3</f>
        <v>9.6994999999999998E-2</v>
      </c>
      <c r="O246" s="2">
        <f t="shared" si="14"/>
        <v>3.9950000000000003E-3</v>
      </c>
      <c r="P246" s="9">
        <f t="shared" si="13"/>
        <v>5.9350420345861271E-2</v>
      </c>
    </row>
    <row r="247" spans="1:16" x14ac:dyDescent="0.2">
      <c r="A247" t="s">
        <v>253</v>
      </c>
      <c r="B247">
        <v>2.2696000000000001E-2</v>
      </c>
      <c r="C247">
        <v>-2.4039999999999999E-3</v>
      </c>
      <c r="D247">
        <v>-2.2104000000000002E-2</v>
      </c>
      <c r="E247">
        <v>-8.1040000000000001E-3</v>
      </c>
      <c r="F247">
        <v>-7.1040000000000001E-3</v>
      </c>
      <c r="G247">
        <v>6.5295999999999993E-2</v>
      </c>
      <c r="H247">
        <v>2.2196E-2</v>
      </c>
      <c r="I247" s="2">
        <f>B247-$S$3</f>
        <v>2.1196E-2</v>
      </c>
      <c r="J247" s="2">
        <f>C247-$S$3</f>
        <v>-3.9039999999999999E-3</v>
      </c>
      <c r="K247" s="2">
        <f>D247-$S$3</f>
        <v>-2.3604000000000003E-2</v>
      </c>
      <c r="L247" s="2">
        <f>E247-$S$3</f>
        <v>-9.6039999999999997E-3</v>
      </c>
      <c r="M247" s="2">
        <f>F247-$S$3</f>
        <v>-8.6040000000000005E-3</v>
      </c>
      <c r="N247" s="2">
        <f>G247-$S$3</f>
        <v>6.3795999999999992E-2</v>
      </c>
      <c r="O247" s="2">
        <f t="shared" si="14"/>
        <v>2.0695999999999999E-2</v>
      </c>
      <c r="P247" s="9">
        <f t="shared" si="13"/>
        <v>3.8691731444252288E-2</v>
      </c>
    </row>
    <row r="248" spans="1:16" x14ac:dyDescent="0.2">
      <c r="A248" t="s">
        <v>254</v>
      </c>
      <c r="B248">
        <v>-6.1231000000000001E-2</v>
      </c>
      <c r="C248">
        <v>-3.9431000000000001E-2</v>
      </c>
      <c r="D248">
        <v>-7.4310000000000001E-3</v>
      </c>
      <c r="E248">
        <v>6.7689999999999998E-3</v>
      </c>
      <c r="F248">
        <v>1.0769000000000001E-2</v>
      </c>
      <c r="G248">
        <v>7.9868999999999996E-2</v>
      </c>
      <c r="H248">
        <v>2.2669000000000002E-2</v>
      </c>
      <c r="I248" s="2">
        <f>B248-$S$3</f>
        <v>-6.2730999999999995E-2</v>
      </c>
      <c r="J248" s="2">
        <f>C248-$S$3</f>
        <v>-4.0931000000000002E-2</v>
      </c>
      <c r="K248" s="2">
        <f>D248-$S$3</f>
        <v>-8.9309999999999997E-3</v>
      </c>
      <c r="L248" s="2">
        <f>E248-$S$3</f>
        <v>5.2689999999999994E-3</v>
      </c>
      <c r="M248" s="2">
        <f>F248-$S$3</f>
        <v>9.2690000000000012E-3</v>
      </c>
      <c r="N248" s="2">
        <f>G248-$S$3</f>
        <v>7.8368999999999994E-2</v>
      </c>
      <c r="O248" s="2">
        <f t="shared" si="14"/>
        <v>2.1169E-2</v>
      </c>
      <c r="P248" s="9">
        <f t="shared" si="13"/>
        <v>6.6508065578306561E-2</v>
      </c>
    </row>
    <row r="249" spans="1:16" x14ac:dyDescent="0.2">
      <c r="A249" t="s">
        <v>255</v>
      </c>
      <c r="B249">
        <v>-6.6048999999999997E-2</v>
      </c>
      <c r="C249">
        <v>-0.137849</v>
      </c>
      <c r="D249">
        <v>-2.2549E-2</v>
      </c>
      <c r="E249">
        <v>-1.4049000000000001E-2</v>
      </c>
      <c r="F249">
        <v>4.2750999999999997E-2</v>
      </c>
      <c r="G249">
        <v>-5.0649E-2</v>
      </c>
      <c r="H249">
        <v>2.8951000000000001E-2</v>
      </c>
      <c r="I249" s="2">
        <f>B249-$S$3</f>
        <v>-6.7548999999999998E-2</v>
      </c>
      <c r="J249" s="2">
        <f>C249-$S$3</f>
        <v>-0.139349</v>
      </c>
      <c r="K249" s="2">
        <f>D249-$S$3</f>
        <v>-2.4049000000000001E-2</v>
      </c>
      <c r="L249" s="2">
        <f>E249-$S$3</f>
        <v>-1.5549E-2</v>
      </c>
      <c r="M249" s="2">
        <f>F249-$S$3</f>
        <v>4.1250999999999996E-2</v>
      </c>
      <c r="N249" s="2">
        <f>G249-$S$3</f>
        <v>-5.2149000000000001E-2</v>
      </c>
      <c r="O249" s="2">
        <f t="shared" si="14"/>
        <v>2.7451E-2</v>
      </c>
      <c r="P249" s="9">
        <f t="shared" si="13"/>
        <v>4.578821239092095E-2</v>
      </c>
    </row>
    <row r="250" spans="1:16" x14ac:dyDescent="0.2">
      <c r="A250" t="s">
        <v>256</v>
      </c>
      <c r="B250">
        <v>8.6666999999999994E-2</v>
      </c>
      <c r="C250">
        <v>7.5466999999999992E-2</v>
      </c>
      <c r="D250">
        <v>-1.5032999999999999E-2</v>
      </c>
      <c r="E250">
        <v>-1.8032999999999997E-2</v>
      </c>
      <c r="F250">
        <v>-5.8932999999999999E-2</v>
      </c>
      <c r="G250">
        <v>-7.3733000000000007E-2</v>
      </c>
      <c r="H250">
        <v>-4.7633000000000002E-2</v>
      </c>
      <c r="I250" s="2">
        <f>B250-$S$3</f>
        <v>8.5166999999999993E-2</v>
      </c>
      <c r="J250" s="2">
        <f>C250-$S$3</f>
        <v>7.3966999999999991E-2</v>
      </c>
      <c r="K250" s="2">
        <f>D250-$S$3</f>
        <v>-1.6532999999999999E-2</v>
      </c>
      <c r="L250" s="2">
        <f>E250-$S$3</f>
        <v>-1.9532999999999998E-2</v>
      </c>
      <c r="M250" s="2">
        <f>F250-$S$3</f>
        <v>-6.0433000000000001E-2</v>
      </c>
      <c r="N250" s="2">
        <f>G250-$S$3</f>
        <v>-7.5233000000000008E-2</v>
      </c>
      <c r="O250" s="2">
        <f t="shared" si="14"/>
        <v>-4.9133000000000003E-2</v>
      </c>
      <c r="P250" s="9">
        <f t="shared" si="13"/>
        <v>-0.10344503662659672</v>
      </c>
    </row>
    <row r="251" spans="1:16" x14ac:dyDescent="0.2">
      <c r="A251" t="s">
        <v>257</v>
      </c>
      <c r="B251">
        <v>0.20616299999999999</v>
      </c>
      <c r="C251">
        <v>3.2562999999999995E-2</v>
      </c>
      <c r="D251">
        <v>-4.6837000000000004E-2</v>
      </c>
      <c r="E251">
        <v>-7.2369999999999995E-3</v>
      </c>
      <c r="F251">
        <v>7.1962999999999999E-2</v>
      </c>
      <c r="G251">
        <v>0.13486299999999998</v>
      </c>
      <c r="H251">
        <v>6.9062999999999999E-2</v>
      </c>
      <c r="I251" s="2">
        <f>B251-$S$3</f>
        <v>0.20466299999999998</v>
      </c>
      <c r="J251" s="2">
        <f>C251-$S$3</f>
        <v>3.1062999999999993E-2</v>
      </c>
      <c r="K251" s="2">
        <f>D251-$S$3</f>
        <v>-4.8337000000000005E-2</v>
      </c>
      <c r="L251" s="2">
        <f>E251-$S$3</f>
        <v>-8.737E-3</v>
      </c>
      <c r="M251" s="2">
        <f>F251-$S$3</f>
        <v>7.0462999999999998E-2</v>
      </c>
      <c r="N251" s="2">
        <f>G251-$S$3</f>
        <v>0.13336299999999998</v>
      </c>
      <c r="O251" s="2">
        <f t="shared" si="14"/>
        <v>6.7562999999999998E-2</v>
      </c>
      <c r="P251" s="9">
        <f t="shared" si="13"/>
        <v>0.117114221436649</v>
      </c>
    </row>
    <row r="252" spans="1:16" x14ac:dyDescent="0.2">
      <c r="A252" t="s">
        <v>258</v>
      </c>
      <c r="B252">
        <v>0.12925600000000001</v>
      </c>
      <c r="C252">
        <v>6.3156000000000004E-2</v>
      </c>
      <c r="D252">
        <v>-9.6243999999999996E-2</v>
      </c>
      <c r="E252">
        <v>-5.1344000000000001E-2</v>
      </c>
      <c r="F252">
        <v>-5.8844E-2</v>
      </c>
      <c r="G252">
        <v>-5.7644000000000001E-2</v>
      </c>
      <c r="H252">
        <v>-8.3440000000000007E-3</v>
      </c>
      <c r="I252" s="2">
        <f>B252-$S$3</f>
        <v>0.12775600000000001</v>
      </c>
      <c r="J252" s="2">
        <f>C252-$S$3</f>
        <v>6.1656000000000002E-2</v>
      </c>
      <c r="K252" s="2">
        <f>D252-$S$3</f>
        <v>-9.7743999999999998E-2</v>
      </c>
      <c r="L252" s="2">
        <f>E252-$S$3</f>
        <v>-5.2844000000000002E-2</v>
      </c>
      <c r="M252" s="2">
        <f>F252-$S$3</f>
        <v>-6.0344000000000002E-2</v>
      </c>
      <c r="N252" s="2">
        <f>G252-$S$3</f>
        <v>-5.9144000000000002E-2</v>
      </c>
      <c r="O252" s="2">
        <f t="shared" si="14"/>
        <v>-9.8440000000000003E-3</v>
      </c>
      <c r="P252" s="9">
        <f t="shared" si="13"/>
        <v>-8.2385380391297641E-2</v>
      </c>
    </row>
    <row r="253" spans="1:16" x14ac:dyDescent="0.2">
      <c r="A253" t="s">
        <v>259</v>
      </c>
      <c r="B253">
        <v>8.2233000000000001E-2</v>
      </c>
      <c r="C253">
        <v>1.3033000000000001E-2</v>
      </c>
      <c r="D253">
        <v>7.7433000000000002E-2</v>
      </c>
      <c r="E253">
        <v>3.3533E-2</v>
      </c>
      <c r="F253">
        <v>3.2933000000000004E-2</v>
      </c>
      <c r="G253">
        <v>-5.0966999999999998E-2</v>
      </c>
      <c r="H253">
        <v>4.3533000000000002E-2</v>
      </c>
      <c r="I253" s="2">
        <f>B253-$S$3</f>
        <v>8.0732999999999999E-2</v>
      </c>
      <c r="J253" s="2">
        <f>C253-$S$3</f>
        <v>1.1533000000000002E-2</v>
      </c>
      <c r="K253" s="2">
        <f>D253-$S$3</f>
        <v>7.5933E-2</v>
      </c>
      <c r="L253" s="2">
        <f>E253-$S$3</f>
        <v>3.2032999999999999E-2</v>
      </c>
      <c r="M253" s="2">
        <f>F253-$S$3</f>
        <v>3.1433000000000003E-2</v>
      </c>
      <c r="N253" s="2">
        <f>G253-$S$3</f>
        <v>-5.2467E-2</v>
      </c>
      <c r="O253" s="2">
        <f t="shared" si="14"/>
        <v>4.2033000000000001E-2</v>
      </c>
      <c r="P253" s="9">
        <f t="shared" si="13"/>
        <v>-6.6662298864185281E-4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FD61-C5C8-DC48-8BED-724ECB648B91}">
  <dimension ref="A1:T253"/>
  <sheetViews>
    <sheetView tabSelected="1" topLeftCell="K1" zoomScale="170" zoomScaleNormal="170" workbookViewId="0">
      <selection activeCell="L17" sqref="L17"/>
    </sheetView>
  </sheetViews>
  <sheetFormatPr baseColWidth="10" defaultRowHeight="16" x14ac:dyDescent="0.2"/>
  <cols>
    <col min="8" max="8" width="13.5" bestFit="1" customWidth="1"/>
    <col min="9" max="9" width="13.5" customWidth="1"/>
    <col min="10" max="10" width="30" bestFit="1" customWidth="1"/>
    <col min="11" max="11" width="17.33203125" bestFit="1" customWidth="1"/>
    <col min="12" max="12" width="20.1640625" customWidth="1"/>
    <col min="20" max="20" width="13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302</v>
      </c>
      <c r="K1" t="s">
        <v>266</v>
      </c>
      <c r="L1" t="s">
        <v>267</v>
      </c>
    </row>
    <row r="2" spans="1:20" x14ac:dyDescent="0.2">
      <c r="A2" t="s">
        <v>8</v>
      </c>
      <c r="B2">
        <v>0.21045700000000001</v>
      </c>
      <c r="C2">
        <v>4.8957000000000001E-2</v>
      </c>
      <c r="D2">
        <v>0.38545699999999999</v>
      </c>
      <c r="E2">
        <v>9.8756999999999998E-2</v>
      </c>
      <c r="F2">
        <v>6.3957E-2</v>
      </c>
      <c r="G2">
        <v>0.172457</v>
      </c>
      <c r="H2">
        <v>2.9356999999999998E-2</v>
      </c>
      <c r="I2">
        <f>SUMPRODUCT(B2:H2,$N$6:$T$6)</f>
        <v>0.11612898085431053</v>
      </c>
      <c r="J2" t="str">
        <f ca="1">_xlfn.FORMULATEXT(I2)</f>
        <v>=SUMPRODUCT(B2:H2,$N$6:$T$6)</v>
      </c>
      <c r="K2" t="s">
        <v>268</v>
      </c>
      <c r="L2">
        <v>1.5E-3</v>
      </c>
    </row>
    <row r="3" spans="1:20" x14ac:dyDescent="0.2">
      <c r="A3" t="s">
        <v>9</v>
      </c>
      <c r="B3">
        <v>-1.7153000000000002E-2</v>
      </c>
      <c r="C3">
        <v>-1.6530000000000004E-3</v>
      </c>
      <c r="D3">
        <v>-4.4953000000000007E-2</v>
      </c>
      <c r="E3">
        <v>-0.102853</v>
      </c>
      <c r="F3">
        <v>-0.121753</v>
      </c>
      <c r="G3">
        <v>2.4747000000000002E-2</v>
      </c>
      <c r="H3">
        <v>-9.5952999999999997E-2</v>
      </c>
      <c r="I3">
        <f t="shared" ref="I3:I66" si="0">SUMPRODUCT(B3:H3,$N$6:$T$6)</f>
        <v>-6.5680903195703313E-2</v>
      </c>
    </row>
    <row r="4" spans="1:20" x14ac:dyDescent="0.2">
      <c r="A4" t="s">
        <v>10</v>
      </c>
      <c r="B4">
        <v>6.7800000000000004E-3</v>
      </c>
      <c r="C4">
        <v>-3.1919999999999997E-2</v>
      </c>
      <c r="D4">
        <v>-7.6620000000000008E-2</v>
      </c>
      <c r="E4">
        <v>-8.320000000000001E-3</v>
      </c>
      <c r="F4">
        <v>5.2799999999999991E-3</v>
      </c>
      <c r="G4">
        <v>-7.9219999999999999E-2</v>
      </c>
      <c r="H4">
        <v>-6.8519999999999998E-2</v>
      </c>
      <c r="I4">
        <f t="shared" si="0"/>
        <v>-6.0377472865080377E-2</v>
      </c>
      <c r="L4" t="s">
        <v>300</v>
      </c>
    </row>
    <row r="5" spans="1:20" x14ac:dyDescent="0.2">
      <c r="A5" t="s">
        <v>11</v>
      </c>
      <c r="B5">
        <v>5.5135999999999998E-2</v>
      </c>
      <c r="C5">
        <v>5.3235999999999999E-2</v>
      </c>
      <c r="D5">
        <v>4.2136E-2</v>
      </c>
      <c r="E5">
        <v>0.121836</v>
      </c>
      <c r="F5">
        <v>2.0736000000000001E-2</v>
      </c>
      <c r="G5">
        <v>6.1835999999999995E-2</v>
      </c>
      <c r="H5">
        <v>7.2935999999999987E-2</v>
      </c>
      <c r="I5">
        <f t="shared" si="0"/>
        <v>6.8066908691359493E-2</v>
      </c>
      <c r="L5" s="10" t="s">
        <v>299</v>
      </c>
      <c r="M5" s="10"/>
      <c r="N5" s="10" t="s">
        <v>1</v>
      </c>
      <c r="O5" s="10" t="s">
        <v>2</v>
      </c>
      <c r="P5" s="10" t="s">
        <v>3</v>
      </c>
      <c r="Q5" s="10" t="s">
        <v>4</v>
      </c>
      <c r="R5" s="10" t="s">
        <v>5</v>
      </c>
      <c r="S5" s="10" t="s">
        <v>6</v>
      </c>
      <c r="T5" s="10" t="s">
        <v>7</v>
      </c>
    </row>
    <row r="6" spans="1:20" x14ac:dyDescent="0.2">
      <c r="A6" t="s">
        <v>12</v>
      </c>
      <c r="B6">
        <v>-0.17718299999999998</v>
      </c>
      <c r="C6">
        <v>4.4317000000000002E-2</v>
      </c>
      <c r="D6">
        <v>-5.2982999999999995E-2</v>
      </c>
      <c r="E6">
        <v>-7.1830000000000001E-3</v>
      </c>
      <c r="F6">
        <v>-2.983E-3</v>
      </c>
      <c r="G6">
        <v>-1.8682999999999998E-2</v>
      </c>
      <c r="H6">
        <v>1.9170000000000003E-3</v>
      </c>
      <c r="I6">
        <f t="shared" si="0"/>
        <v>-6.8912412397901565E-2</v>
      </c>
      <c r="L6" s="10"/>
      <c r="M6" s="10"/>
      <c r="N6" s="10">
        <v>0.19250224040879746</v>
      </c>
      <c r="O6" s="10">
        <v>-0.65397608819946118</v>
      </c>
      <c r="P6" s="10">
        <v>-0.16774788255251555</v>
      </c>
      <c r="Q6" s="10">
        <v>6.9424145017743161E-2</v>
      </c>
      <c r="R6" s="10">
        <v>0.27479395115261424</v>
      </c>
      <c r="S6" s="10">
        <v>0.76964969285692353</v>
      </c>
      <c r="T6" s="10">
        <v>0.51535394131589707</v>
      </c>
    </row>
    <row r="7" spans="1:20" x14ac:dyDescent="0.2">
      <c r="A7" t="s">
        <v>13</v>
      </c>
      <c r="B7">
        <v>5.4220000000000006E-3</v>
      </c>
      <c r="C7">
        <v>0.12812199999999999</v>
      </c>
      <c r="D7">
        <v>3.8321999999999995E-2</v>
      </c>
      <c r="E7">
        <v>-2.7378E-2</v>
      </c>
      <c r="F7">
        <v>-5.8478000000000002E-2</v>
      </c>
      <c r="G7">
        <v>-8.7478E-2</v>
      </c>
      <c r="H7">
        <v>-2.7778000000000001E-2</v>
      </c>
      <c r="I7">
        <f t="shared" si="0"/>
        <v>-0.18878642411138166</v>
      </c>
    </row>
    <row r="8" spans="1:20" x14ac:dyDescent="0.2">
      <c r="A8" t="s">
        <v>14</v>
      </c>
      <c r="B8">
        <v>3.4500999999999997E-2</v>
      </c>
      <c r="C8">
        <v>-1.4699E-2</v>
      </c>
      <c r="D8">
        <v>0.177401</v>
      </c>
      <c r="E8">
        <v>1.6500999999999998E-2</v>
      </c>
      <c r="F8">
        <v>0.14250099999999999</v>
      </c>
      <c r="G8">
        <v>0.11550099999999999</v>
      </c>
      <c r="H8">
        <v>-1.3799000000000001E-2</v>
      </c>
      <c r="I8">
        <f t="shared" si="0"/>
        <v>0.10858359299267491</v>
      </c>
      <c r="L8" t="s">
        <v>301</v>
      </c>
      <c r="O8">
        <f>SUM(N6:T6)</f>
        <v>0.99999999999999867</v>
      </c>
      <c r="P8" t="str">
        <f ca="1">_xlfn.FORMULATEXT(O8)</f>
        <v>=SUM(N6:T6)</v>
      </c>
    </row>
    <row r="9" spans="1:20" x14ac:dyDescent="0.2">
      <c r="A9" t="s">
        <v>15</v>
      </c>
      <c r="B9">
        <v>-0.21349599999999999</v>
      </c>
      <c r="C9">
        <v>-0.13519600000000001</v>
      </c>
      <c r="D9">
        <v>-6.0895999999999999E-2</v>
      </c>
      <c r="E9">
        <v>-7.9596E-2</v>
      </c>
      <c r="F9">
        <v>-0.143396</v>
      </c>
      <c r="G9">
        <v>-0.106296</v>
      </c>
      <c r="H9">
        <v>-6.7096000000000003E-2</v>
      </c>
      <c r="I9">
        <f t="shared" si="0"/>
        <v>-0.1037874415069478</v>
      </c>
    </row>
    <row r="10" spans="1:20" x14ac:dyDescent="0.2">
      <c r="A10" t="s">
        <v>16</v>
      </c>
      <c r="B10">
        <v>-0.12953000000000001</v>
      </c>
      <c r="C10">
        <v>-0.21913000000000002</v>
      </c>
      <c r="D10">
        <v>1.3070000000000002E-2</v>
      </c>
      <c r="E10">
        <v>7.9469999999999999E-2</v>
      </c>
      <c r="F10">
        <v>2.9070000000000002E-2</v>
      </c>
      <c r="G10">
        <v>-8.6429999999999993E-2</v>
      </c>
      <c r="H10">
        <v>-8.4429999999999991E-2</v>
      </c>
      <c r="I10">
        <f t="shared" si="0"/>
        <v>1.9651740927676478E-2</v>
      </c>
      <c r="L10" t="s">
        <v>303</v>
      </c>
      <c r="N10">
        <f>(AVERAGE(I2:I253) - L2)/_xlfn.STDEV.S(I2:I253)</f>
        <v>0.19024409724243108</v>
      </c>
      <c r="P10" t="str">
        <f ca="1">_xlfn.FORMULATEXT(N10)</f>
        <v>=(AVERAGE(I2:I253) - L2)/STDEV.S(I2:I253)</v>
      </c>
    </row>
    <row r="11" spans="1:20" x14ac:dyDescent="0.2">
      <c r="A11" t="s">
        <v>17</v>
      </c>
      <c r="B11">
        <v>-6.8454000000000001E-2</v>
      </c>
      <c r="C11">
        <v>-3.8954000000000003E-2</v>
      </c>
      <c r="D11">
        <v>-0.21195399999999998</v>
      </c>
      <c r="E11">
        <v>-7.5153999999999999E-2</v>
      </c>
      <c r="F11">
        <v>3.6245999999999994E-2</v>
      </c>
      <c r="G11">
        <v>-2.1054E-2</v>
      </c>
      <c r="H11">
        <v>1.5946000000000002E-2</v>
      </c>
      <c r="I11">
        <f t="shared" si="0"/>
        <v>4.4608579546941682E-2</v>
      </c>
    </row>
    <row r="12" spans="1:20" x14ac:dyDescent="0.2">
      <c r="A12" t="s">
        <v>18</v>
      </c>
      <c r="B12">
        <v>0.17835100000000001</v>
      </c>
      <c r="C12">
        <v>0.214451</v>
      </c>
      <c r="D12">
        <v>0.145151</v>
      </c>
      <c r="E12">
        <v>-5.8148999999999999E-2</v>
      </c>
      <c r="F12">
        <v>7.1250999999999995E-2</v>
      </c>
      <c r="G12">
        <v>0.20525099999999999</v>
      </c>
      <c r="H12">
        <v>7.3451000000000002E-2</v>
      </c>
      <c r="I12">
        <f t="shared" si="0"/>
        <v>8.1105398745415128E-2</v>
      </c>
      <c r="L12" t="s">
        <v>304</v>
      </c>
    </row>
    <row r="13" spans="1:20" x14ac:dyDescent="0.2">
      <c r="A13" t="s">
        <v>19</v>
      </c>
      <c r="B13">
        <v>-0.17148400000000003</v>
      </c>
      <c r="C13">
        <v>-2.3584000000000001E-2</v>
      </c>
      <c r="D13">
        <v>3.7816000000000002E-2</v>
      </c>
      <c r="E13">
        <v>8.3160000000000005E-3</v>
      </c>
      <c r="F13">
        <v>4.3316E-2</v>
      </c>
      <c r="G13">
        <v>9.2016000000000001E-2</v>
      </c>
      <c r="H13">
        <v>6.1159999999999999E-3</v>
      </c>
      <c r="I13">
        <f t="shared" si="0"/>
        <v>6.2521060764332823E-2</v>
      </c>
    </row>
    <row r="14" spans="1:20" x14ac:dyDescent="0.2">
      <c r="A14" t="s">
        <v>20</v>
      </c>
      <c r="B14">
        <v>-2.1689999999999997E-2</v>
      </c>
      <c r="C14">
        <v>5.0909999999999997E-2</v>
      </c>
      <c r="D14">
        <v>-2.5689999999999998E-2</v>
      </c>
      <c r="E14">
        <v>-1.719E-2</v>
      </c>
      <c r="F14">
        <v>4.0809999999999999E-2</v>
      </c>
      <c r="G14">
        <v>8.0509999999999998E-2</v>
      </c>
      <c r="H14">
        <v>-1.6989999999999998E-2</v>
      </c>
      <c r="I14">
        <f t="shared" si="0"/>
        <v>3.0069720260709747E-2</v>
      </c>
      <c r="L14" s="6" t="s">
        <v>294</v>
      </c>
      <c r="N14" s="6" t="s">
        <v>1</v>
      </c>
      <c r="O14" s="6" t="s">
        <v>2</v>
      </c>
      <c r="P14" s="6" t="s">
        <v>3</v>
      </c>
      <c r="Q14" s="6" t="s">
        <v>4</v>
      </c>
      <c r="R14" s="6" t="s">
        <v>5</v>
      </c>
      <c r="S14" s="6" t="s">
        <v>6</v>
      </c>
      <c r="T14" s="6" t="s">
        <v>295</v>
      </c>
    </row>
    <row r="15" spans="1:20" x14ac:dyDescent="0.2">
      <c r="A15" t="s">
        <v>21</v>
      </c>
      <c r="B15">
        <v>-2.8785000000000002E-2</v>
      </c>
      <c r="C15">
        <v>4.4815000000000001E-2</v>
      </c>
      <c r="D15">
        <v>-0.12328499999999999</v>
      </c>
      <c r="E15">
        <v>8.4150000000000006E-3</v>
      </c>
      <c r="F15">
        <v>3.2514999999999995E-2</v>
      </c>
      <c r="G15">
        <v>-5.6485E-2</v>
      </c>
      <c r="H15">
        <v>-2.2085E-2</v>
      </c>
      <c r="I15">
        <f t="shared" si="0"/>
        <v>-5.9504442875272567E-2</v>
      </c>
      <c r="L15" s="6"/>
      <c r="N15" s="6">
        <v>5.073958396590568E-2</v>
      </c>
      <c r="O15" s="6">
        <v>-0.38844813654469912</v>
      </c>
      <c r="P15" s="6">
        <v>-2.1271800449257451E-2</v>
      </c>
      <c r="Q15" s="6">
        <v>0.16258977658644894</v>
      </c>
      <c r="R15" s="6">
        <v>0.42446162731730208</v>
      </c>
      <c r="S15" s="6">
        <v>0.54142442330241281</v>
      </c>
      <c r="T15" s="6">
        <v>0.23050452582188707</v>
      </c>
    </row>
    <row r="16" spans="1:20" x14ac:dyDescent="0.2">
      <c r="A16" t="s">
        <v>22</v>
      </c>
      <c r="B16">
        <v>0.10685900000000001</v>
      </c>
      <c r="C16">
        <v>0.13965899999999998</v>
      </c>
      <c r="D16">
        <v>1.1459E-2</v>
      </c>
      <c r="E16">
        <v>-1.6341000000000001E-2</v>
      </c>
      <c r="F16">
        <v>-1.1641E-2</v>
      </c>
      <c r="G16">
        <v>2.7758999999999999E-2</v>
      </c>
      <c r="H16">
        <v>3.5359000000000002E-2</v>
      </c>
      <c r="I16">
        <f t="shared" si="0"/>
        <v>-3.743150308427251E-2</v>
      </c>
    </row>
    <row r="17" spans="1:9" x14ac:dyDescent="0.2">
      <c r="A17" t="s">
        <v>23</v>
      </c>
      <c r="B17">
        <v>-3.1245999999999999E-2</v>
      </c>
      <c r="C17">
        <v>5.9653999999999999E-2</v>
      </c>
      <c r="D17">
        <v>-0.16584599999999999</v>
      </c>
      <c r="E17">
        <v>-0.123946</v>
      </c>
      <c r="F17">
        <v>-9.0246000000000007E-2</v>
      </c>
      <c r="G17">
        <v>1.0754E-2</v>
      </c>
      <c r="H17">
        <v>-6.2946000000000002E-2</v>
      </c>
      <c r="I17">
        <f t="shared" si="0"/>
        <v>-7.4773455626634566E-2</v>
      </c>
    </row>
    <row r="18" spans="1:9" x14ac:dyDescent="0.2">
      <c r="A18" t="s">
        <v>24</v>
      </c>
      <c r="B18">
        <v>0.108458</v>
      </c>
      <c r="C18">
        <v>-2.5441999999999999E-2</v>
      </c>
      <c r="D18">
        <v>-8.9141999999999999E-2</v>
      </c>
      <c r="E18">
        <v>7.0657999999999999E-2</v>
      </c>
      <c r="F18">
        <v>-3.2941999999999999E-2</v>
      </c>
      <c r="G18">
        <v>-5.0541999999999997E-2</v>
      </c>
      <c r="H18">
        <v>-1.0542000000000001E-2</v>
      </c>
      <c r="I18">
        <f t="shared" si="0"/>
        <v>3.9908622467918504E-3</v>
      </c>
    </row>
    <row r="19" spans="1:9" x14ac:dyDescent="0.2">
      <c r="A19" t="s">
        <v>25</v>
      </c>
      <c r="B19">
        <v>-9.4811999999999994E-2</v>
      </c>
      <c r="C19">
        <v>-0.14131200000000002</v>
      </c>
      <c r="D19">
        <v>-0.10391199999999999</v>
      </c>
      <c r="E19">
        <v>-6.7611999999999992E-2</v>
      </c>
      <c r="F19">
        <v>1.6788000000000001E-2</v>
      </c>
      <c r="G19">
        <v>-8.2111999999999991E-2</v>
      </c>
      <c r="H19">
        <v>-7.3811999999999989E-2</v>
      </c>
      <c r="I19">
        <f t="shared" si="0"/>
        <v>-9.7232806074658978E-3</v>
      </c>
    </row>
    <row r="20" spans="1:9" x14ac:dyDescent="0.2">
      <c r="A20" t="s">
        <v>26</v>
      </c>
      <c r="B20">
        <v>-0.15340700000000002</v>
      </c>
      <c r="C20">
        <v>-0.130607</v>
      </c>
      <c r="D20">
        <v>-5.0106999999999999E-2</v>
      </c>
      <c r="E20">
        <v>-0.171407</v>
      </c>
      <c r="F20">
        <v>-0.10750699999999999</v>
      </c>
      <c r="G20">
        <v>-0.12620700000000001</v>
      </c>
      <c r="H20">
        <v>-8.0506999999999995E-2</v>
      </c>
      <c r="I20">
        <f t="shared" si="0"/>
        <v>-0.11577882936339956</v>
      </c>
    </row>
    <row r="21" spans="1:9" x14ac:dyDescent="0.2">
      <c r="A21" t="s">
        <v>27</v>
      </c>
      <c r="B21">
        <v>-0.12760199999999999</v>
      </c>
      <c r="C21">
        <v>3.8198000000000003E-2</v>
      </c>
      <c r="D21">
        <v>0.19899800000000001</v>
      </c>
      <c r="E21">
        <v>-6.2002000000000002E-2</v>
      </c>
      <c r="F21">
        <v>8.5998000000000005E-2</v>
      </c>
      <c r="G21">
        <v>2.5797999999999998E-2</v>
      </c>
      <c r="H21">
        <v>3.4979999999999998E-3</v>
      </c>
      <c r="I21">
        <f t="shared" si="0"/>
        <v>-4.1940317394993543E-2</v>
      </c>
    </row>
    <row r="22" spans="1:9" x14ac:dyDescent="0.2">
      <c r="A22" t="s">
        <v>28</v>
      </c>
      <c r="B22">
        <v>-0.16881399999999999</v>
      </c>
      <c r="C22">
        <v>-0.188614</v>
      </c>
      <c r="D22">
        <v>-1.5713999999999999E-2</v>
      </c>
      <c r="E22">
        <v>-0.116214</v>
      </c>
      <c r="F22">
        <v>-7.9413999999999998E-2</v>
      </c>
      <c r="G22">
        <v>-0.138214</v>
      </c>
      <c r="H22">
        <v>-0.111414</v>
      </c>
      <c r="I22">
        <f t="shared" si="0"/>
        <v>-0.10019658817850921</v>
      </c>
    </row>
    <row r="23" spans="1:9" x14ac:dyDescent="0.2">
      <c r="A23" t="s">
        <v>29</v>
      </c>
      <c r="B23">
        <v>-0.127834</v>
      </c>
      <c r="C23">
        <v>-0.146534</v>
      </c>
      <c r="D23">
        <v>8.4465999999999999E-2</v>
      </c>
      <c r="E23">
        <v>0.39116600000000001</v>
      </c>
      <c r="F23">
        <v>8.6165999999999993E-2</v>
      </c>
      <c r="G23">
        <v>1.8965999999999997E-2</v>
      </c>
      <c r="H23">
        <v>8.5066000000000003E-2</v>
      </c>
      <c r="I23">
        <f t="shared" si="0"/>
        <v>0.16632294321185004</v>
      </c>
    </row>
    <row r="24" spans="1:9" x14ac:dyDescent="0.2">
      <c r="A24" t="s">
        <v>30</v>
      </c>
      <c r="B24">
        <v>0.34403400000000001</v>
      </c>
      <c r="C24">
        <v>0.210534</v>
      </c>
      <c r="D24">
        <v>6.8234000000000003E-2</v>
      </c>
      <c r="E24">
        <v>0.107934</v>
      </c>
      <c r="F24">
        <v>5.3339999999999993E-3</v>
      </c>
      <c r="G24">
        <v>0.15573400000000001</v>
      </c>
      <c r="H24">
        <v>5.5933999999999998E-2</v>
      </c>
      <c r="I24">
        <f t="shared" si="0"/>
        <v>7.4742414230463197E-2</v>
      </c>
    </row>
    <row r="25" spans="1:9" x14ac:dyDescent="0.2">
      <c r="A25" t="s">
        <v>31</v>
      </c>
      <c r="B25">
        <v>-0.18387899999999999</v>
      </c>
      <c r="C25">
        <v>-7.2578999999999991E-2</v>
      </c>
      <c r="D25">
        <v>-6.3379000000000005E-2</v>
      </c>
      <c r="E25">
        <v>-7.5778999999999999E-2</v>
      </c>
      <c r="F25">
        <v>-6.2578999999999996E-2</v>
      </c>
      <c r="G25">
        <v>-0.13847899999999999</v>
      </c>
      <c r="H25">
        <v>-6.1379000000000003E-2</v>
      </c>
      <c r="I25">
        <f t="shared" si="0"/>
        <v>-0.13796994824604605</v>
      </c>
    </row>
    <row r="26" spans="1:9" x14ac:dyDescent="0.2">
      <c r="A26" t="s">
        <v>32</v>
      </c>
      <c r="B26">
        <v>-1.0934000000000001E-2</v>
      </c>
      <c r="C26">
        <v>-1.5334E-2</v>
      </c>
      <c r="D26">
        <v>-0.254834</v>
      </c>
      <c r="E26">
        <v>-3.7339999999999999E-3</v>
      </c>
      <c r="F26">
        <v>-5.4633999999999995E-2</v>
      </c>
      <c r="G26">
        <v>-6.0634E-2</v>
      </c>
      <c r="H26">
        <v>-2.8334000000000002E-2</v>
      </c>
      <c r="I26">
        <f t="shared" si="0"/>
        <v>-2.5870186792491014E-2</v>
      </c>
    </row>
    <row r="27" spans="1:9" x14ac:dyDescent="0.2">
      <c r="A27" t="s">
        <v>33</v>
      </c>
      <c r="B27">
        <v>-8.7570999999999996E-2</v>
      </c>
      <c r="C27">
        <v>-5.7671E-2</v>
      </c>
      <c r="D27">
        <v>-4.9170999999999999E-2</v>
      </c>
      <c r="E27">
        <v>-9.7570999999999991E-2</v>
      </c>
      <c r="F27">
        <v>4.529E-3</v>
      </c>
      <c r="G27">
        <v>1.6929E-2</v>
      </c>
      <c r="H27">
        <v>-1.7871000000000001E-2</v>
      </c>
      <c r="I27">
        <f t="shared" si="0"/>
        <v>2.7396440337064499E-2</v>
      </c>
    </row>
    <row r="28" spans="1:9" x14ac:dyDescent="0.2">
      <c r="A28" t="s">
        <v>34</v>
      </c>
      <c r="B28">
        <v>-9.7220000000000001E-2</v>
      </c>
      <c r="C28">
        <v>-5.4200000000000003E-3</v>
      </c>
      <c r="D28">
        <v>-0.11752000000000001</v>
      </c>
      <c r="E28">
        <v>2.128E-2</v>
      </c>
      <c r="F28">
        <v>8.338000000000001E-2</v>
      </c>
      <c r="G28">
        <v>2.0279999999999999E-2</v>
      </c>
      <c r="H28">
        <v>7.3799999999999994E-3</v>
      </c>
      <c r="I28">
        <f t="shared" si="0"/>
        <v>4.8344687054201703E-2</v>
      </c>
    </row>
    <row r="29" spans="1:9" x14ac:dyDescent="0.2">
      <c r="A29" t="s">
        <v>35</v>
      </c>
      <c r="B29">
        <v>0.38206099999999998</v>
      </c>
      <c r="C29">
        <v>7.1361000000000008E-2</v>
      </c>
      <c r="D29">
        <v>5.1560999999999996E-2</v>
      </c>
      <c r="E29">
        <v>6.8261000000000002E-2</v>
      </c>
      <c r="F29">
        <v>8.1561000000000008E-2</v>
      </c>
      <c r="G29">
        <v>0.141961</v>
      </c>
      <c r="H29">
        <v>8.0061000000000007E-2</v>
      </c>
      <c r="I29">
        <f t="shared" si="0"/>
        <v>0.19590138522690184</v>
      </c>
    </row>
    <row r="30" spans="1:9" x14ac:dyDescent="0.2">
      <c r="A30" t="s">
        <v>36</v>
      </c>
      <c r="B30">
        <v>1.8497E-2</v>
      </c>
      <c r="C30">
        <v>-7.2030000000000002E-3</v>
      </c>
      <c r="D30">
        <v>0.14219700000000002</v>
      </c>
      <c r="E30">
        <v>1.1697000000000001E-2</v>
      </c>
      <c r="F30">
        <v>-6.6803000000000001E-2</v>
      </c>
      <c r="G30">
        <v>9.6396999999999997E-2</v>
      </c>
      <c r="H30">
        <v>4.9997E-2</v>
      </c>
      <c r="I30">
        <f t="shared" si="0"/>
        <v>6.6831124400546393E-2</v>
      </c>
    </row>
    <row r="31" spans="1:9" x14ac:dyDescent="0.2">
      <c r="A31" t="s">
        <v>37</v>
      </c>
      <c r="B31">
        <v>4.5716E-2</v>
      </c>
      <c r="C31">
        <v>1.8016000000000001E-2</v>
      </c>
      <c r="D31">
        <v>-3.8839999999999999E-3</v>
      </c>
      <c r="E31">
        <v>4.1315999999999999E-2</v>
      </c>
      <c r="F31">
        <v>2.0816000000000001E-2</v>
      </c>
      <c r="G31">
        <v>3.2016000000000003E-2</v>
      </c>
      <c r="H31">
        <v>1.0315999999999999E-2</v>
      </c>
      <c r="I31">
        <f t="shared" si="0"/>
        <v>3.6215866681229017E-2</v>
      </c>
    </row>
    <row r="32" spans="1:9" x14ac:dyDescent="0.2">
      <c r="A32" t="s">
        <v>38</v>
      </c>
      <c r="B32">
        <v>1.5126000000000002E-2</v>
      </c>
      <c r="C32">
        <v>3.9025999999999998E-2</v>
      </c>
      <c r="D32">
        <v>0.10372600000000001</v>
      </c>
      <c r="E32">
        <v>-0.104874</v>
      </c>
      <c r="F32">
        <v>4.1026E-2</v>
      </c>
      <c r="G32">
        <v>1.2026E-2</v>
      </c>
      <c r="H32">
        <v>1.5526E-2</v>
      </c>
      <c r="I32">
        <f t="shared" si="0"/>
        <v>-1.8759997440726581E-2</v>
      </c>
    </row>
    <row r="33" spans="1:9" x14ac:dyDescent="0.2">
      <c r="A33" t="s">
        <v>39</v>
      </c>
      <c r="B33">
        <v>4.4510999999999995E-2</v>
      </c>
      <c r="C33">
        <v>0.112111</v>
      </c>
      <c r="D33">
        <v>4.8210999999999997E-2</v>
      </c>
      <c r="E33">
        <v>8.4110000000000001E-3</v>
      </c>
      <c r="F33">
        <v>5.7610999999999996E-2</v>
      </c>
      <c r="G33">
        <v>6.0711000000000001E-2</v>
      </c>
      <c r="H33">
        <v>1.7211000000000001E-2</v>
      </c>
      <c r="I33">
        <f t="shared" si="0"/>
        <v>-8.2569917641106896E-4</v>
      </c>
    </row>
    <row r="34" spans="1:9" x14ac:dyDescent="0.2">
      <c r="A34" t="s">
        <v>40</v>
      </c>
      <c r="B34">
        <v>-6.9165000000000004E-2</v>
      </c>
      <c r="C34">
        <v>-4.9650000000000007E-3</v>
      </c>
      <c r="D34">
        <v>-2.4265000000000002E-2</v>
      </c>
      <c r="E34">
        <v>-8.2365000000000008E-2</v>
      </c>
      <c r="F34">
        <v>-5.6964999999999995E-2</v>
      </c>
      <c r="G34">
        <v>-7.4065000000000006E-2</v>
      </c>
      <c r="H34">
        <v>-1.2765E-2</v>
      </c>
      <c r="I34">
        <f t="shared" si="0"/>
        <v>-9.0951378503967922E-2</v>
      </c>
    </row>
    <row r="35" spans="1:9" x14ac:dyDescent="0.2">
      <c r="A35" t="s">
        <v>41</v>
      </c>
      <c r="B35">
        <v>0.1346</v>
      </c>
      <c r="C35">
        <v>4.1800000000000004E-2</v>
      </c>
      <c r="D35">
        <v>-0.1381</v>
      </c>
      <c r="E35">
        <v>4.7300000000000002E-2</v>
      </c>
      <c r="F35">
        <v>5.6500000000000002E-2</v>
      </c>
      <c r="G35">
        <v>5.5399999999999998E-2</v>
      </c>
      <c r="H35">
        <v>5.4300000000000001E-2</v>
      </c>
      <c r="I35">
        <f t="shared" si="0"/>
        <v>0.11117251594997779</v>
      </c>
    </row>
    <row r="36" spans="1:9" x14ac:dyDescent="0.2">
      <c r="A36" t="s">
        <v>42</v>
      </c>
      <c r="B36">
        <v>8.7474999999999997E-2</v>
      </c>
      <c r="C36">
        <v>1.3775000000000001E-2</v>
      </c>
      <c r="D36">
        <v>6.5974999999999992E-2</v>
      </c>
      <c r="E36">
        <v>-2.3324999999999999E-2</v>
      </c>
      <c r="F36">
        <v>-5.6825000000000001E-2</v>
      </c>
      <c r="G36">
        <v>-2.4625000000000001E-2</v>
      </c>
      <c r="H36">
        <v>6.3750000000000005E-3</v>
      </c>
      <c r="I36">
        <f t="shared" si="0"/>
        <v>-3.6138280454089296E-2</v>
      </c>
    </row>
    <row r="37" spans="1:9" x14ac:dyDescent="0.2">
      <c r="A37" t="s">
        <v>43</v>
      </c>
      <c r="B37">
        <v>0.21126900000000001</v>
      </c>
      <c r="C37">
        <v>0.24736900000000001</v>
      </c>
      <c r="D37">
        <v>3.5069000000000003E-2</v>
      </c>
      <c r="E37">
        <v>6.7368999999999998E-2</v>
      </c>
      <c r="F37">
        <v>-4.5731000000000001E-2</v>
      </c>
      <c r="G37">
        <v>-9.1310000000000002E-3</v>
      </c>
      <c r="H37">
        <v>4.9969E-2</v>
      </c>
      <c r="I37">
        <f t="shared" si="0"/>
        <v>-0.11615192283244283</v>
      </c>
    </row>
    <row r="38" spans="1:9" x14ac:dyDescent="0.2">
      <c r="A38" t="s">
        <v>44</v>
      </c>
      <c r="B38">
        <v>-8.6096000000000006E-2</v>
      </c>
      <c r="C38">
        <v>-7.0396E-2</v>
      </c>
      <c r="D38">
        <v>-4.2096000000000001E-2</v>
      </c>
      <c r="E38">
        <v>6.1103999999999999E-2</v>
      </c>
      <c r="F38">
        <v>1.4404E-2</v>
      </c>
      <c r="G38">
        <v>-1.2196E-2</v>
      </c>
      <c r="H38">
        <v>1.6604000000000001E-2</v>
      </c>
      <c r="I38">
        <f t="shared" si="0"/>
        <v>4.3895656895676691E-2</v>
      </c>
    </row>
    <row r="39" spans="1:9" x14ac:dyDescent="0.2">
      <c r="A39" t="s">
        <v>45</v>
      </c>
      <c r="B39">
        <v>-5.4923E-2</v>
      </c>
      <c r="C39">
        <v>-2.2322999999999999E-2</v>
      </c>
      <c r="D39">
        <v>2.8677000000000001E-2</v>
      </c>
      <c r="E39">
        <v>3.9276999999999999E-2</v>
      </c>
      <c r="F39">
        <v>0.105377</v>
      </c>
      <c r="G39">
        <v>0.15937699999999999</v>
      </c>
      <c r="H39">
        <v>1.1577E-2</v>
      </c>
      <c r="I39">
        <f t="shared" si="0"/>
        <v>0.15952984765048867</v>
      </c>
    </row>
    <row r="40" spans="1:9" x14ac:dyDescent="0.2">
      <c r="A40" t="s">
        <v>46</v>
      </c>
      <c r="B40">
        <v>-1.3944E-2</v>
      </c>
      <c r="C40">
        <v>-2.2044000000000001E-2</v>
      </c>
      <c r="D40">
        <v>-1.2143999999999999E-2</v>
      </c>
      <c r="E40">
        <v>-4.7543999999999996E-2</v>
      </c>
      <c r="F40">
        <v>3.5560000000000001E-3</v>
      </c>
      <c r="G40">
        <v>2.3755999999999999E-2</v>
      </c>
      <c r="H40">
        <v>-1.7244000000000002E-2</v>
      </c>
      <c r="I40">
        <f t="shared" si="0"/>
        <v>2.0842628412759259E-2</v>
      </c>
    </row>
    <row r="41" spans="1:9" x14ac:dyDescent="0.2">
      <c r="A41" t="s">
        <v>47</v>
      </c>
      <c r="B41">
        <v>0.138405</v>
      </c>
      <c r="C41">
        <v>6.0049999999999999E-3</v>
      </c>
      <c r="D41">
        <v>-0.12449500000000001</v>
      </c>
      <c r="E41">
        <v>4.2605000000000004E-2</v>
      </c>
      <c r="F41">
        <v>-4.5894999999999998E-2</v>
      </c>
      <c r="G41">
        <v>-3.7894999999999998E-2</v>
      </c>
      <c r="H41">
        <v>-1.7595E-2</v>
      </c>
      <c r="I41">
        <f t="shared" si="0"/>
        <v>-4.2874615854173268E-3</v>
      </c>
    </row>
    <row r="42" spans="1:9" x14ac:dyDescent="0.2">
      <c r="A42" t="s">
        <v>48</v>
      </c>
      <c r="B42">
        <v>-3.3803E-2</v>
      </c>
      <c r="C42">
        <v>-3.2603E-2</v>
      </c>
      <c r="D42">
        <v>-3.3803E-2</v>
      </c>
      <c r="E42">
        <v>-8.4303000000000003E-2</v>
      </c>
      <c r="F42">
        <v>-2.0603E-2</v>
      </c>
      <c r="G42">
        <v>3.1697000000000003E-2</v>
      </c>
      <c r="H42">
        <v>1.1497E-2</v>
      </c>
      <c r="I42">
        <f t="shared" si="0"/>
        <v>3.9291177949717794E-2</v>
      </c>
    </row>
    <row r="43" spans="1:9" x14ac:dyDescent="0.2">
      <c r="A43" t="s">
        <v>49</v>
      </c>
      <c r="B43">
        <v>5.3083000000000005E-2</v>
      </c>
      <c r="C43">
        <v>2.5583000000000002E-2</v>
      </c>
      <c r="D43">
        <v>-0.103917</v>
      </c>
      <c r="E43">
        <v>4.5783000000000004E-2</v>
      </c>
      <c r="F43">
        <v>-5.4116999999999998E-2</v>
      </c>
      <c r="G43">
        <v>-5.0716999999999998E-2</v>
      </c>
      <c r="H43">
        <v>1.7182999999999997E-2</v>
      </c>
      <c r="I43">
        <f t="shared" si="0"/>
        <v>-3.095179244774908E-2</v>
      </c>
    </row>
    <row r="44" spans="1:9" x14ac:dyDescent="0.2">
      <c r="A44" t="s">
        <v>50</v>
      </c>
      <c r="B44">
        <v>-5.4119E-2</v>
      </c>
      <c r="C44">
        <v>-7.4918999999999999E-2</v>
      </c>
      <c r="D44">
        <v>3.1180999999999997E-2</v>
      </c>
      <c r="E44">
        <v>7.5381000000000004E-2</v>
      </c>
      <c r="F44">
        <v>3.7810000000000001E-3</v>
      </c>
      <c r="G44">
        <v>2.5680999999999999E-2</v>
      </c>
      <c r="H44">
        <v>-3.5219E-2</v>
      </c>
      <c r="I44">
        <f t="shared" si="0"/>
        <v>4.1234039785206344E-2</v>
      </c>
    </row>
    <row r="45" spans="1:9" x14ac:dyDescent="0.2">
      <c r="A45" t="s">
        <v>51</v>
      </c>
      <c r="B45">
        <v>-4.2515999999999998E-2</v>
      </c>
      <c r="C45">
        <v>-3.2016000000000003E-2</v>
      </c>
      <c r="D45">
        <v>-2.2315999999999999E-2</v>
      </c>
      <c r="E45">
        <v>1.7284000000000001E-2</v>
      </c>
      <c r="F45">
        <v>-5.1159999999999999E-3</v>
      </c>
      <c r="G45">
        <v>2.3184E-2</v>
      </c>
      <c r="H45">
        <v>1.1839999999999999E-3</v>
      </c>
      <c r="I45">
        <f t="shared" si="0"/>
        <v>3.4744553547718292E-2</v>
      </c>
    </row>
    <row r="46" spans="1:9" x14ac:dyDescent="0.2">
      <c r="A46" t="s">
        <v>52</v>
      </c>
      <c r="B46">
        <v>-5.4850000000000003E-3</v>
      </c>
      <c r="C46">
        <v>2.7115E-2</v>
      </c>
      <c r="D46">
        <v>-1.6285000000000001E-2</v>
      </c>
      <c r="E46">
        <v>2.1149999999999997E-3</v>
      </c>
      <c r="F46">
        <v>8.9149999999999993E-3</v>
      </c>
      <c r="G46">
        <v>1.3814999999999999E-2</v>
      </c>
      <c r="H46">
        <v>8.2150000000000001E-3</v>
      </c>
      <c r="I46">
        <f t="shared" si="0"/>
        <v>1.4063011231636464E-3</v>
      </c>
    </row>
    <row r="47" spans="1:9" x14ac:dyDescent="0.2">
      <c r="A47" t="s">
        <v>53</v>
      </c>
      <c r="B47">
        <v>-6.6729000000000011E-2</v>
      </c>
      <c r="C47">
        <v>-9.3629000000000004E-2</v>
      </c>
      <c r="D47">
        <v>0.19367100000000001</v>
      </c>
      <c r="E47">
        <v>9.7099999999999986E-4</v>
      </c>
      <c r="F47">
        <v>1.2371E-2</v>
      </c>
      <c r="G47">
        <v>0.10427099999999999</v>
      </c>
      <c r="H47">
        <v>1.2871E-2</v>
      </c>
      <c r="I47">
        <f t="shared" si="0"/>
        <v>0.10624989551704286</v>
      </c>
    </row>
    <row r="48" spans="1:9" x14ac:dyDescent="0.2">
      <c r="A48" t="s">
        <v>54</v>
      </c>
      <c r="B48">
        <v>8.6759000000000003E-2</v>
      </c>
      <c r="C48">
        <v>1.2159E-2</v>
      </c>
      <c r="D48">
        <v>6.8058999999999995E-2</v>
      </c>
      <c r="E48">
        <v>5.2958999999999999E-2</v>
      </c>
      <c r="F48">
        <v>-3.6041000000000004E-2</v>
      </c>
      <c r="G48">
        <v>2.4059000000000001E-2</v>
      </c>
      <c r="H48">
        <v>3.7059000000000002E-2</v>
      </c>
      <c r="I48">
        <f t="shared" si="0"/>
        <v>2.8721141654741794E-2</v>
      </c>
    </row>
    <row r="49" spans="1:9" x14ac:dyDescent="0.2">
      <c r="A49" t="s">
        <v>55</v>
      </c>
      <c r="B49">
        <v>3.0727999999999998E-2</v>
      </c>
      <c r="C49">
        <v>3.6428000000000002E-2</v>
      </c>
      <c r="D49">
        <v>5.2628000000000001E-2</v>
      </c>
      <c r="E49">
        <v>-1.9172000000000002E-2</v>
      </c>
      <c r="F49">
        <v>1.5428000000000001E-2</v>
      </c>
      <c r="G49">
        <v>1.2227999999999999E-2</v>
      </c>
      <c r="H49">
        <v>3.0828000000000001E-2</v>
      </c>
      <c r="I49">
        <f t="shared" si="0"/>
        <v>1.4710614566210613E-3</v>
      </c>
    </row>
    <row r="50" spans="1:9" x14ac:dyDescent="0.2">
      <c r="A50" t="s">
        <v>56</v>
      </c>
      <c r="B50">
        <v>-9.5361000000000001E-2</v>
      </c>
      <c r="C50">
        <v>-8.2761000000000001E-2</v>
      </c>
      <c r="D50">
        <v>5.1389999999999995E-3</v>
      </c>
      <c r="E50">
        <v>-0.114561</v>
      </c>
      <c r="F50">
        <v>-9.6609999999999994E-3</v>
      </c>
      <c r="G50">
        <v>-2.3961E-2</v>
      </c>
      <c r="H50">
        <v>-2.6960999999999999E-2</v>
      </c>
      <c r="I50">
        <f t="shared" si="0"/>
        <v>-8.0396652224108411E-3</v>
      </c>
    </row>
    <row r="51" spans="1:9" x14ac:dyDescent="0.2">
      <c r="A51" t="s">
        <v>57</v>
      </c>
      <c r="B51">
        <v>-4.1140999999999997E-2</v>
      </c>
      <c r="C51">
        <v>-1.9941E-2</v>
      </c>
      <c r="D51">
        <v>1.0859000000000001E-2</v>
      </c>
      <c r="E51">
        <v>9.0589999999999993E-3</v>
      </c>
      <c r="F51">
        <v>-1.6740999999999999E-2</v>
      </c>
      <c r="G51">
        <v>9.5899999999999978E-4</v>
      </c>
      <c r="H51">
        <v>1.7259E-2</v>
      </c>
      <c r="I51">
        <f t="shared" si="0"/>
        <v>8.9608037675800306E-3</v>
      </c>
    </row>
    <row r="52" spans="1:9" x14ac:dyDescent="0.2">
      <c r="A52" t="s">
        <v>58</v>
      </c>
      <c r="B52">
        <v>-0.106423</v>
      </c>
      <c r="C52">
        <v>-0.17772300000000002</v>
      </c>
      <c r="D52">
        <v>-2.4722999999999998E-2</v>
      </c>
      <c r="E52">
        <v>-1.5223E-2</v>
      </c>
      <c r="F52">
        <v>-2.8323000000000001E-2</v>
      </c>
      <c r="G52">
        <v>-1.7822999999999999E-2</v>
      </c>
      <c r="H52">
        <v>-2.1222999999999999E-2</v>
      </c>
      <c r="I52">
        <f t="shared" si="0"/>
        <v>6.6392501281956409E-2</v>
      </c>
    </row>
    <row r="53" spans="1:9" x14ac:dyDescent="0.2">
      <c r="A53" t="s">
        <v>59</v>
      </c>
      <c r="B53">
        <v>-0.18917199999999998</v>
      </c>
      <c r="C53">
        <v>-9.4272000000000009E-2</v>
      </c>
      <c r="D53">
        <v>1.8227999999999998E-2</v>
      </c>
      <c r="E53">
        <v>1.7927999999999999E-2</v>
      </c>
      <c r="F53">
        <v>-6.1371999999999996E-2</v>
      </c>
      <c r="G53">
        <v>-7.4272000000000005E-2</v>
      </c>
      <c r="H53">
        <v>-2.2172000000000001E-2</v>
      </c>
      <c r="I53">
        <f t="shared" si="0"/>
        <v>-6.203197631202631E-2</v>
      </c>
    </row>
    <row r="54" spans="1:9" x14ac:dyDescent="0.2">
      <c r="A54" t="s">
        <v>60</v>
      </c>
      <c r="B54">
        <v>9.3105000000000007E-2</v>
      </c>
      <c r="C54">
        <v>0.19850499999999999</v>
      </c>
      <c r="D54">
        <v>-2.0195000000000001E-2</v>
      </c>
      <c r="E54">
        <v>-1.4095E-2</v>
      </c>
      <c r="F54">
        <v>2.7050000000000004E-3</v>
      </c>
      <c r="G54">
        <v>0.15650500000000001</v>
      </c>
      <c r="H54">
        <v>2.7604999999999998E-2</v>
      </c>
      <c r="I54">
        <f t="shared" si="0"/>
        <v>2.5938221237815993E-2</v>
      </c>
    </row>
    <row r="55" spans="1:9" x14ac:dyDescent="0.2">
      <c r="A55" t="s">
        <v>61</v>
      </c>
      <c r="B55">
        <v>2.3837000000000001E-2</v>
      </c>
      <c r="C55">
        <v>7.6036999999999993E-2</v>
      </c>
      <c r="D55">
        <v>1.1036999999999998E-2</v>
      </c>
      <c r="E55">
        <v>-2.5763000000000001E-2</v>
      </c>
      <c r="F55">
        <v>1.8237E-2</v>
      </c>
      <c r="G55">
        <v>1.0936999999999999E-2</v>
      </c>
      <c r="H55">
        <v>-2.3630000000000001E-3</v>
      </c>
      <c r="I55">
        <f t="shared" si="0"/>
        <v>-3.656641692700522E-2</v>
      </c>
    </row>
    <row r="56" spans="1:9" x14ac:dyDescent="0.2">
      <c r="A56" t="s">
        <v>62</v>
      </c>
      <c r="B56">
        <v>5.6216999999999996E-2</v>
      </c>
      <c r="C56">
        <v>8.0517000000000005E-2</v>
      </c>
      <c r="D56">
        <v>5.0616999999999995E-2</v>
      </c>
      <c r="E56">
        <v>1.6999999999999654E-5</v>
      </c>
      <c r="F56">
        <v>2.1517000000000001E-2</v>
      </c>
      <c r="G56">
        <v>7.7417E-2</v>
      </c>
      <c r="H56">
        <v>3.3616999999999994E-2</v>
      </c>
      <c r="I56">
        <f t="shared" si="0"/>
        <v>3.2497356558881724E-2</v>
      </c>
    </row>
    <row r="57" spans="1:9" x14ac:dyDescent="0.2">
      <c r="A57" t="s">
        <v>63</v>
      </c>
      <c r="B57">
        <v>-7.4620000000000006E-2</v>
      </c>
      <c r="C57">
        <v>-6.1120000000000001E-2</v>
      </c>
      <c r="D57">
        <v>-9.0200000000000002E-3</v>
      </c>
      <c r="E57">
        <v>-4.7320000000000001E-2</v>
      </c>
      <c r="F57">
        <v>-8.9020000000000002E-2</v>
      </c>
      <c r="G57">
        <v>-8.6420000000000011E-2</v>
      </c>
      <c r="H57">
        <v>-1.4120000000000001E-2</v>
      </c>
      <c r="I57">
        <f t="shared" si="0"/>
        <v>-7.4417644949850842E-2</v>
      </c>
    </row>
    <row r="58" spans="1:9" x14ac:dyDescent="0.2">
      <c r="A58" t="s">
        <v>64</v>
      </c>
      <c r="B58">
        <v>-1.3847999999999999E-2</v>
      </c>
      <c r="C58">
        <v>-0.107548</v>
      </c>
      <c r="D58">
        <v>3.2520000000000001E-3</v>
      </c>
      <c r="E58">
        <v>-3.4480000000000001E-3</v>
      </c>
      <c r="F58">
        <v>-2.8247999999999999E-2</v>
      </c>
      <c r="G58">
        <v>-3.6748000000000003E-2</v>
      </c>
      <c r="H58">
        <v>4.052E-3</v>
      </c>
      <c r="I58">
        <f t="shared" si="0"/>
        <v>3.2925906467359399E-2</v>
      </c>
    </row>
    <row r="59" spans="1:9" x14ac:dyDescent="0.2">
      <c r="A59" t="s">
        <v>65</v>
      </c>
      <c r="B59">
        <v>-0.148428</v>
      </c>
      <c r="C59">
        <v>-0.10762799999999999</v>
      </c>
      <c r="D59">
        <v>8.5719999999999998E-3</v>
      </c>
      <c r="E59">
        <v>-2.6428E-2</v>
      </c>
      <c r="F59">
        <v>7.687200000000001E-2</v>
      </c>
      <c r="G59">
        <v>6.9672000000000012E-2</v>
      </c>
      <c r="H59">
        <v>-2.0428000000000002E-2</v>
      </c>
      <c r="I59">
        <f t="shared" si="0"/>
        <v>0.10276008342809573</v>
      </c>
    </row>
    <row r="60" spans="1:9" x14ac:dyDescent="0.2">
      <c r="A60" t="s">
        <v>66</v>
      </c>
      <c r="B60">
        <v>-2.5845E-2</v>
      </c>
      <c r="C60">
        <v>-0.18834499999999998</v>
      </c>
      <c r="D60">
        <v>-0.116245</v>
      </c>
      <c r="E60">
        <v>1.1854999999999999E-2</v>
      </c>
      <c r="F60">
        <v>2.3355000000000001E-2</v>
      </c>
      <c r="G60">
        <v>-4.0445000000000002E-2</v>
      </c>
      <c r="H60">
        <v>3.2155000000000003E-2</v>
      </c>
      <c r="I60">
        <f t="shared" si="0"/>
        <v>0.13038131865964836</v>
      </c>
    </row>
    <row r="61" spans="1:9" x14ac:dyDescent="0.2">
      <c r="A61" t="s">
        <v>67</v>
      </c>
      <c r="B61">
        <v>-5.3560000000000003E-2</v>
      </c>
      <c r="C61">
        <v>-0.11635999999999999</v>
      </c>
      <c r="D61">
        <v>-2.0059999999999998E-2</v>
      </c>
      <c r="E61">
        <v>-6.1360000000000005E-2</v>
      </c>
      <c r="F61">
        <v>-3.6460000000000006E-2</v>
      </c>
      <c r="G61">
        <v>2.4140000000000002E-2</v>
      </c>
      <c r="H61">
        <v>-4.1600000000000005E-3</v>
      </c>
      <c r="I61">
        <f t="shared" si="0"/>
        <v>7.1307878342976527E-2</v>
      </c>
    </row>
    <row r="62" spans="1:9" x14ac:dyDescent="0.2">
      <c r="A62" t="s">
        <v>68</v>
      </c>
      <c r="B62">
        <v>0.120712</v>
      </c>
      <c r="C62">
        <v>0.23541200000000001</v>
      </c>
      <c r="D62">
        <v>7.0211999999999997E-2</v>
      </c>
      <c r="E62">
        <v>6.1211999999999996E-2</v>
      </c>
      <c r="F62">
        <v>-1.8187999999999999E-2</v>
      </c>
      <c r="G62">
        <v>-7.4879999999999999E-3</v>
      </c>
      <c r="H62">
        <v>2.2011999999999997E-2</v>
      </c>
      <c r="I62">
        <f t="shared" si="0"/>
        <v>-0.13766193032336679</v>
      </c>
    </row>
    <row r="63" spans="1:9" x14ac:dyDescent="0.2">
      <c r="A63" t="s">
        <v>69</v>
      </c>
      <c r="B63">
        <v>-7.4422000000000002E-2</v>
      </c>
      <c r="C63">
        <v>-0.14952199999999999</v>
      </c>
      <c r="D63">
        <v>5.9878000000000008E-2</v>
      </c>
      <c r="E63">
        <v>6.1078E-2</v>
      </c>
      <c r="F63">
        <v>-1.9622000000000001E-2</v>
      </c>
      <c r="G63">
        <v>-7.9220000000000002E-3</v>
      </c>
      <c r="H63">
        <v>-2.8220000000000003E-3</v>
      </c>
      <c r="I63">
        <f t="shared" si="0"/>
        <v>6.4709790543247867E-2</v>
      </c>
    </row>
    <row r="64" spans="1:9" x14ac:dyDescent="0.2">
      <c r="A64" t="s">
        <v>70</v>
      </c>
      <c r="B64">
        <v>-4.9420000000000002E-3</v>
      </c>
      <c r="C64">
        <v>4.3658000000000002E-2</v>
      </c>
      <c r="D64">
        <v>-2.3542E-2</v>
      </c>
      <c r="E64">
        <v>7.0579999999999992E-3</v>
      </c>
      <c r="F64">
        <v>4.1658000000000001E-2</v>
      </c>
      <c r="G64">
        <v>-4.7542000000000001E-2</v>
      </c>
      <c r="H64">
        <v>7.4580000000000002E-3</v>
      </c>
      <c r="I64">
        <f t="shared" si="0"/>
        <v>-4.63633274504801E-2</v>
      </c>
    </row>
    <row r="65" spans="1:9" x14ac:dyDescent="0.2">
      <c r="A65" t="s">
        <v>71</v>
      </c>
      <c r="B65">
        <v>-0.11785900000000001</v>
      </c>
      <c r="C65">
        <v>7.2140999999999997E-2</v>
      </c>
      <c r="D65">
        <v>-2.2058999999999999E-2</v>
      </c>
      <c r="E65">
        <v>-2.2158999999999998E-2</v>
      </c>
      <c r="F65">
        <v>-5.0359000000000001E-2</v>
      </c>
      <c r="G65">
        <v>1.7441000000000002E-2</v>
      </c>
      <c r="H65">
        <v>8.6410000000000011E-3</v>
      </c>
      <c r="I65">
        <f t="shared" si="0"/>
        <v>-6.3666344505426256E-2</v>
      </c>
    </row>
    <row r="66" spans="1:9" x14ac:dyDescent="0.2">
      <c r="A66" t="s">
        <v>72</v>
      </c>
      <c r="B66">
        <v>2.6005E-2</v>
      </c>
      <c r="C66">
        <v>0.18390499999999999</v>
      </c>
      <c r="D66">
        <v>-9.895000000000001E-3</v>
      </c>
      <c r="E66">
        <v>-5.9295E-2</v>
      </c>
      <c r="F66">
        <v>7.5604999999999992E-2</v>
      </c>
      <c r="G66">
        <v>-8.0994999999999998E-2</v>
      </c>
      <c r="H66">
        <v>-3.5095000000000001E-2</v>
      </c>
      <c r="I66">
        <f t="shared" si="0"/>
        <v>-0.17736841788599561</v>
      </c>
    </row>
    <row r="67" spans="1:9" x14ac:dyDescent="0.2">
      <c r="A67" t="s">
        <v>73</v>
      </c>
      <c r="B67">
        <v>-3.6069999999999998E-2</v>
      </c>
      <c r="C67">
        <v>0.10223</v>
      </c>
      <c r="D67">
        <v>6.6229999999999997E-2</v>
      </c>
      <c r="E67">
        <v>6.9129999999999997E-2</v>
      </c>
      <c r="F67">
        <v>-9.7700000000000009E-3</v>
      </c>
      <c r="G67">
        <v>-4.9700000000000005E-3</v>
      </c>
      <c r="H67">
        <v>-3.8700000000000006E-3</v>
      </c>
      <c r="I67">
        <f t="shared" ref="I67:I130" si="1">SUMPRODUCT(B67:H67,$N$6:$T$6)</f>
        <v>-8.8614498053705235E-2</v>
      </c>
    </row>
    <row r="68" spans="1:9" x14ac:dyDescent="0.2">
      <c r="A68" t="s">
        <v>74</v>
      </c>
      <c r="B68">
        <v>-3.4276000000000001E-2</v>
      </c>
      <c r="C68">
        <v>7.7923999999999993E-2</v>
      </c>
      <c r="D68">
        <v>8.4223999999999993E-2</v>
      </c>
      <c r="E68">
        <v>1.8224000000000001E-2</v>
      </c>
      <c r="F68">
        <v>-8.0175999999999997E-2</v>
      </c>
      <c r="G68">
        <v>-6.4376000000000003E-2</v>
      </c>
      <c r="H68">
        <v>1.124E-3</v>
      </c>
      <c r="I68">
        <f t="shared" si="1"/>
        <v>-0.1414214421553367</v>
      </c>
    </row>
    <row r="69" spans="1:9" x14ac:dyDescent="0.2">
      <c r="A69" t="s">
        <v>75</v>
      </c>
      <c r="B69">
        <v>0.25061700000000003</v>
      </c>
      <c r="C69">
        <v>-9.1582999999999998E-2</v>
      </c>
      <c r="D69">
        <v>3.3716999999999997E-2</v>
      </c>
      <c r="E69">
        <v>3.5916999999999998E-2</v>
      </c>
      <c r="F69">
        <v>4.4169999999999991E-3</v>
      </c>
      <c r="G69">
        <v>5.2116999999999997E-2</v>
      </c>
      <c r="H69">
        <v>1.7016999999999997E-2</v>
      </c>
      <c r="I69">
        <f t="shared" si="1"/>
        <v>0.15507035367491995</v>
      </c>
    </row>
    <row r="70" spans="1:9" x14ac:dyDescent="0.2">
      <c r="A70" t="s">
        <v>76</v>
      </c>
      <c r="B70">
        <v>-3.7547000000000004E-2</v>
      </c>
      <c r="C70">
        <v>0.13575300000000001</v>
      </c>
      <c r="D70">
        <v>4.1853000000000001E-2</v>
      </c>
      <c r="E70">
        <v>5.1352999999999996E-2</v>
      </c>
      <c r="F70">
        <v>9.885300000000001E-2</v>
      </c>
      <c r="G70">
        <v>0.13775300000000001</v>
      </c>
      <c r="H70">
        <v>2.0553000000000002E-2</v>
      </c>
      <c r="I70">
        <f t="shared" si="1"/>
        <v>4.4315118617929937E-2</v>
      </c>
    </row>
    <row r="71" spans="1:9" x14ac:dyDescent="0.2">
      <c r="A71" t="s">
        <v>77</v>
      </c>
      <c r="B71">
        <v>1.9424E-2</v>
      </c>
      <c r="C71">
        <v>4.5823999999999997E-2</v>
      </c>
      <c r="D71">
        <v>5.8823999999999994E-2</v>
      </c>
      <c r="E71">
        <v>3.3239999999999997E-3</v>
      </c>
      <c r="F71">
        <v>-4.876000000000001E-3</v>
      </c>
      <c r="G71">
        <v>6.7024E-2</v>
      </c>
      <c r="H71">
        <v>2.7424E-2</v>
      </c>
      <c r="I71">
        <f t="shared" si="1"/>
        <v>2.851269986168764E-2</v>
      </c>
    </row>
    <row r="72" spans="1:9" x14ac:dyDescent="0.2">
      <c r="A72" t="s">
        <v>78</v>
      </c>
      <c r="B72">
        <v>-2.2343000000000002E-2</v>
      </c>
      <c r="C72">
        <v>-0.161243</v>
      </c>
      <c r="D72">
        <v>-1.4143000000000001E-2</v>
      </c>
      <c r="E72">
        <v>-2.1543E-2</v>
      </c>
      <c r="F72">
        <v>-6.8742999999999999E-2</v>
      </c>
      <c r="G72">
        <v>-2.0643000000000002E-2</v>
      </c>
      <c r="H72">
        <v>1.2257000000000001E-2</v>
      </c>
      <c r="I72">
        <f t="shared" si="1"/>
        <v>7.3563496843894266E-2</v>
      </c>
    </row>
    <row r="73" spans="1:9" x14ac:dyDescent="0.2">
      <c r="A73" t="s">
        <v>79</v>
      </c>
      <c r="B73">
        <v>-8.0336000000000005E-2</v>
      </c>
      <c r="C73">
        <v>4.6963999999999999E-2</v>
      </c>
      <c r="D73">
        <v>5.0264000000000003E-2</v>
      </c>
      <c r="E73">
        <v>6.1763999999999999E-2</v>
      </c>
      <c r="F73">
        <v>1.3639999999999998E-3</v>
      </c>
      <c r="G73">
        <v>-2.1936000000000001E-2</v>
      </c>
      <c r="H73">
        <v>8.5639999999999987E-3</v>
      </c>
      <c r="I73">
        <f t="shared" si="1"/>
        <v>-6.2416685227132368E-2</v>
      </c>
    </row>
    <row r="74" spans="1:9" x14ac:dyDescent="0.2">
      <c r="A74" t="s">
        <v>80</v>
      </c>
      <c r="B74">
        <v>7.8272000000000008E-2</v>
      </c>
      <c r="C74">
        <v>6.4672000000000007E-2</v>
      </c>
      <c r="D74">
        <v>5.9272000000000005E-2</v>
      </c>
      <c r="E74">
        <v>4.1472000000000002E-2</v>
      </c>
      <c r="F74">
        <v>2.8372000000000001E-2</v>
      </c>
      <c r="G74">
        <v>7.1171999999999999E-2</v>
      </c>
      <c r="H74">
        <v>9.7719999999999994E-3</v>
      </c>
      <c r="I74">
        <f t="shared" si="1"/>
        <v>3.3320000069418862E-2</v>
      </c>
    </row>
    <row r="75" spans="1:9" x14ac:dyDescent="0.2">
      <c r="A75" t="s">
        <v>81</v>
      </c>
      <c r="B75">
        <v>-3.0936999999999999E-2</v>
      </c>
      <c r="C75">
        <v>-2.5836999999999999E-2</v>
      </c>
      <c r="D75">
        <v>-2.5937000000000002E-2</v>
      </c>
      <c r="E75">
        <v>-3.2937000000000001E-2</v>
      </c>
      <c r="F75">
        <v>9.1629999999999993E-3</v>
      </c>
      <c r="G75">
        <v>8.6300000000000005E-4</v>
      </c>
      <c r="H75">
        <v>-2.5637E-2</v>
      </c>
      <c r="I75">
        <f t="shared" si="1"/>
        <v>2.9756078104289808E-3</v>
      </c>
    </row>
    <row r="76" spans="1:9" x14ac:dyDescent="0.2">
      <c r="A76" t="s">
        <v>82</v>
      </c>
      <c r="B76">
        <v>-6.7570000000000009E-3</v>
      </c>
      <c r="C76">
        <v>-4.3757000000000004E-2</v>
      </c>
      <c r="D76">
        <v>6.7242999999999997E-2</v>
      </c>
      <c r="E76">
        <v>9.6429999999999988E-3</v>
      </c>
      <c r="F76">
        <v>-2.7757E-2</v>
      </c>
      <c r="G76">
        <v>-4.1156999999999999E-2</v>
      </c>
      <c r="H76">
        <v>5.7429999999999998E-3</v>
      </c>
      <c r="I76">
        <f t="shared" si="1"/>
        <v>-1.963937020924944E-2</v>
      </c>
    </row>
    <row r="77" spans="1:9" x14ac:dyDescent="0.2">
      <c r="A77" t="s">
        <v>83</v>
      </c>
      <c r="B77">
        <v>1.4651999999999998E-2</v>
      </c>
      <c r="C77">
        <v>1.4952E-2</v>
      </c>
      <c r="D77">
        <v>-1.3448000000000002E-2</v>
      </c>
      <c r="E77">
        <v>1.3252E-2</v>
      </c>
      <c r="F77">
        <v>1.6351999999999998E-2</v>
      </c>
      <c r="G77">
        <v>-2.4480000000000005E-3</v>
      </c>
      <c r="H77">
        <v>3.8952000000000001E-2</v>
      </c>
      <c r="I77">
        <f t="shared" si="1"/>
        <v>1.890156961332334E-2</v>
      </c>
    </row>
    <row r="78" spans="1:9" x14ac:dyDescent="0.2">
      <c r="A78" t="s">
        <v>84</v>
      </c>
      <c r="B78">
        <v>3.3253999999999999E-2</v>
      </c>
      <c r="C78">
        <v>-3.5646000000000004E-2</v>
      </c>
      <c r="D78">
        <v>6.3654000000000002E-2</v>
      </c>
      <c r="E78">
        <v>0.13605400000000001</v>
      </c>
      <c r="F78">
        <v>-6.0460000000000002E-3</v>
      </c>
      <c r="G78">
        <v>4.9653999999999997E-2</v>
      </c>
      <c r="H78">
        <v>2.8454E-2</v>
      </c>
      <c r="I78">
        <f t="shared" si="1"/>
        <v>7.9699372719409856E-2</v>
      </c>
    </row>
    <row r="79" spans="1:9" x14ac:dyDescent="0.2">
      <c r="A79" t="s">
        <v>85</v>
      </c>
      <c r="B79">
        <v>0.125582</v>
      </c>
      <c r="C79">
        <v>0.25648200000000004</v>
      </c>
      <c r="D79">
        <v>-1.8000000000000654E-5</v>
      </c>
      <c r="E79">
        <v>-5.8117999999999996E-2</v>
      </c>
      <c r="F79">
        <v>6.781999999999999E-3</v>
      </c>
      <c r="G79">
        <v>1.4782E-2</v>
      </c>
      <c r="H79">
        <v>-2.1718000000000001E-2</v>
      </c>
      <c r="I79">
        <f t="shared" si="1"/>
        <v>-0.14554189425778244</v>
      </c>
    </row>
    <row r="80" spans="1:9" x14ac:dyDescent="0.2">
      <c r="A80" t="s">
        <v>86</v>
      </c>
      <c r="B80">
        <v>-0.10056200000000001</v>
      </c>
      <c r="C80">
        <v>-0.14686199999999999</v>
      </c>
      <c r="D80">
        <v>-5.2061999999999997E-2</v>
      </c>
      <c r="E80">
        <v>4.1338E-2</v>
      </c>
      <c r="F80">
        <v>-4.8862000000000003E-2</v>
      </c>
      <c r="G80">
        <v>-5.1562000000000004E-2</v>
      </c>
      <c r="H80">
        <v>-3.5962000000000001E-2</v>
      </c>
      <c r="I80">
        <f t="shared" si="1"/>
        <v>1.6644153591442282E-2</v>
      </c>
    </row>
    <row r="81" spans="1:9" x14ac:dyDescent="0.2">
      <c r="A81" t="s">
        <v>87</v>
      </c>
      <c r="B81">
        <v>-8.6504999999999999E-2</v>
      </c>
      <c r="C81">
        <v>-4.7905000000000003E-2</v>
      </c>
      <c r="D81">
        <v>1.3895000000000001E-2</v>
      </c>
      <c r="E81">
        <v>-2.1604999999999999E-2</v>
      </c>
      <c r="F81">
        <v>-4.9904999999999998E-2</v>
      </c>
      <c r="G81">
        <v>8.6794999999999997E-2</v>
      </c>
      <c r="H81">
        <v>8.6949999999999996E-3</v>
      </c>
      <c r="I81">
        <f t="shared" si="1"/>
        <v>6.841470819644381E-2</v>
      </c>
    </row>
    <row r="82" spans="1:9" x14ac:dyDescent="0.2">
      <c r="A82" t="s">
        <v>88</v>
      </c>
      <c r="B82">
        <v>8.3752999999999994E-2</v>
      </c>
      <c r="C82">
        <v>0.190553</v>
      </c>
      <c r="D82">
        <v>5.7852999999999995E-2</v>
      </c>
      <c r="E82">
        <v>5.3952999999999994E-2</v>
      </c>
      <c r="F82">
        <v>-2.8470000000000001E-3</v>
      </c>
      <c r="G82">
        <v>-3.9147000000000001E-2</v>
      </c>
      <c r="H82">
        <v>3.2452999999999996E-2</v>
      </c>
      <c r="I82">
        <f t="shared" si="1"/>
        <v>-0.12864057619455899</v>
      </c>
    </row>
    <row r="83" spans="1:9" x14ac:dyDescent="0.2">
      <c r="A83" t="s">
        <v>89</v>
      </c>
      <c r="B83">
        <v>4.1588E-2</v>
      </c>
      <c r="C83">
        <v>6.4587999999999993E-2</v>
      </c>
      <c r="D83">
        <v>-7.2119999999999997E-3</v>
      </c>
      <c r="E83">
        <v>4.7087999999999998E-2</v>
      </c>
      <c r="F83">
        <v>3.2488000000000003E-2</v>
      </c>
      <c r="G83">
        <v>-3.8011999999999997E-2</v>
      </c>
      <c r="H83">
        <v>1.1588000000000001E-2</v>
      </c>
      <c r="I83">
        <f t="shared" si="1"/>
        <v>-4.411087930880412E-2</v>
      </c>
    </row>
    <row r="84" spans="1:9" x14ac:dyDescent="0.2">
      <c r="A84" t="s">
        <v>90</v>
      </c>
      <c r="B84">
        <v>-0.156695</v>
      </c>
      <c r="C84">
        <v>-0.236095</v>
      </c>
      <c r="D84">
        <v>-8.9094999999999994E-2</v>
      </c>
      <c r="E84">
        <v>-6.5494999999999998E-2</v>
      </c>
      <c r="F84">
        <v>5.6104999999999995E-2</v>
      </c>
      <c r="G84">
        <v>-2.3494999999999999E-2</v>
      </c>
      <c r="H84">
        <v>-4.7395E-2</v>
      </c>
      <c r="I84">
        <f t="shared" si="1"/>
        <v>0.1075441042477516</v>
      </c>
    </row>
    <row r="85" spans="1:9" x14ac:dyDescent="0.2">
      <c r="A85" t="s">
        <v>91</v>
      </c>
      <c r="B85">
        <v>-0.106821</v>
      </c>
      <c r="C85">
        <v>-0.168521</v>
      </c>
      <c r="D85">
        <v>8.4778999999999993E-2</v>
      </c>
      <c r="E85">
        <v>8.1790000000000005E-3</v>
      </c>
      <c r="F85">
        <v>-6.1209999999999997E-3</v>
      </c>
      <c r="G85">
        <v>-0.16912099999999999</v>
      </c>
      <c r="H85">
        <v>-1.1521E-2</v>
      </c>
      <c r="I85">
        <f t="shared" si="1"/>
        <v>-6.1791587354627739E-2</v>
      </c>
    </row>
    <row r="86" spans="1:9" x14ac:dyDescent="0.2">
      <c r="A86" t="s">
        <v>92</v>
      </c>
      <c r="B86">
        <v>-1.583E-2</v>
      </c>
      <c r="C86">
        <v>0.13097</v>
      </c>
      <c r="D86">
        <v>-6.6830000000000001E-2</v>
      </c>
      <c r="E86">
        <v>-0.10453</v>
      </c>
      <c r="F86">
        <v>6.5070000000000003E-2</v>
      </c>
      <c r="G86">
        <v>0.10596999999999999</v>
      </c>
      <c r="H86">
        <v>-6.3629999999999992E-2</v>
      </c>
      <c r="I86">
        <f t="shared" si="1"/>
        <v>-1.8096224557256506E-2</v>
      </c>
    </row>
    <row r="87" spans="1:9" x14ac:dyDescent="0.2">
      <c r="A87" t="s">
        <v>93</v>
      </c>
      <c r="B87">
        <v>-1.7925E-2</v>
      </c>
      <c r="C87">
        <v>-0.168325</v>
      </c>
      <c r="D87">
        <v>-9.6425000000000011E-2</v>
      </c>
      <c r="E87">
        <v>-6.5925000000000011E-2</v>
      </c>
      <c r="F87">
        <v>-2.4025000000000001E-2</v>
      </c>
      <c r="G87">
        <v>-4.9525E-2</v>
      </c>
      <c r="H87">
        <v>-3.6124999999999997E-2</v>
      </c>
      <c r="I87">
        <f t="shared" si="1"/>
        <v>5.4892238356460732E-2</v>
      </c>
    </row>
    <row r="88" spans="1:9" x14ac:dyDescent="0.2">
      <c r="A88" t="s">
        <v>94</v>
      </c>
      <c r="B88">
        <v>-0.12586900000000001</v>
      </c>
      <c r="C88">
        <v>-0.18356900000000001</v>
      </c>
      <c r="D88">
        <v>9.7730999999999998E-2</v>
      </c>
      <c r="E88">
        <v>1.7309999999999997E-3</v>
      </c>
      <c r="F88">
        <v>6.5431000000000003E-2</v>
      </c>
      <c r="G88">
        <v>-3.8569000000000006E-2</v>
      </c>
      <c r="H88">
        <v>-7.869000000000001E-3</v>
      </c>
      <c r="I88">
        <f t="shared" si="1"/>
        <v>6.378578077181099E-2</v>
      </c>
    </row>
    <row r="89" spans="1:9" x14ac:dyDescent="0.2">
      <c r="A89" t="s">
        <v>95</v>
      </c>
      <c r="B89">
        <v>0.443075</v>
      </c>
      <c r="C89">
        <v>0.216775</v>
      </c>
      <c r="D89">
        <v>2.0074999999999999E-2</v>
      </c>
      <c r="E89">
        <v>7.1175000000000002E-2</v>
      </c>
      <c r="F89">
        <v>9.9574999999999997E-2</v>
      </c>
      <c r="G89">
        <v>4.7275000000000005E-2</v>
      </c>
      <c r="H89">
        <v>4.6475000000000002E-2</v>
      </c>
      <c r="I89">
        <f t="shared" si="1"/>
        <v>3.2799859767574796E-2</v>
      </c>
    </row>
    <row r="90" spans="1:9" x14ac:dyDescent="0.2">
      <c r="A90" t="s">
        <v>96</v>
      </c>
      <c r="B90">
        <v>-0.17774600000000002</v>
      </c>
      <c r="C90">
        <v>-0.25474600000000003</v>
      </c>
      <c r="D90">
        <v>2.9754000000000003E-2</v>
      </c>
      <c r="E90">
        <v>-1.2459999999999999E-3</v>
      </c>
      <c r="F90">
        <v>-9.4600000000000001E-4</v>
      </c>
      <c r="G90">
        <v>5.9540000000000001E-3</v>
      </c>
      <c r="H90">
        <v>9.7539999999999988E-3</v>
      </c>
      <c r="I90">
        <f t="shared" si="1"/>
        <v>0.13665291789567316</v>
      </c>
    </row>
    <row r="91" spans="1:9" x14ac:dyDescent="0.2">
      <c r="A91" t="s">
        <v>97</v>
      </c>
      <c r="B91">
        <v>-0.29435</v>
      </c>
      <c r="C91">
        <v>-0.32924999999999999</v>
      </c>
      <c r="D91">
        <v>-0.15734999999999999</v>
      </c>
      <c r="E91">
        <v>-8.1549999999999997E-2</v>
      </c>
      <c r="F91">
        <v>-2.8450000000000003E-2</v>
      </c>
      <c r="G91">
        <v>-0.13045000000000001</v>
      </c>
      <c r="H91">
        <v>-8.7749999999999995E-2</v>
      </c>
      <c r="I91">
        <f t="shared" si="1"/>
        <v>2.5951184174836904E-2</v>
      </c>
    </row>
    <row r="92" spans="1:9" x14ac:dyDescent="0.2">
      <c r="A92" t="s">
        <v>98</v>
      </c>
      <c r="B92">
        <v>-3.5399999999999997E-3</v>
      </c>
      <c r="C92">
        <v>-3.884E-2</v>
      </c>
      <c r="D92">
        <v>-7.5839999999999991E-2</v>
      </c>
      <c r="E92">
        <v>-2.8140000000000002E-2</v>
      </c>
      <c r="F92">
        <v>4.1660000000000003E-2</v>
      </c>
      <c r="G92">
        <v>-2.8539999999999999E-2</v>
      </c>
      <c r="H92">
        <v>-1.1340000000000001E-2</v>
      </c>
      <c r="I92">
        <f t="shared" si="1"/>
        <v>1.9125377382962456E-2</v>
      </c>
    </row>
    <row r="93" spans="1:9" x14ac:dyDescent="0.2">
      <c r="A93" t="s">
        <v>99</v>
      </c>
      <c r="B93">
        <v>-7.2082000000000007E-2</v>
      </c>
      <c r="C93">
        <v>-9.7982E-2</v>
      </c>
      <c r="D93">
        <v>3.7018000000000002E-2</v>
      </c>
      <c r="E93">
        <v>3.0418000000000001E-2</v>
      </c>
      <c r="F93">
        <v>1.0518E-2</v>
      </c>
      <c r="G93">
        <v>0.17471799999999998</v>
      </c>
      <c r="H93">
        <v>1.0918000000000001E-2</v>
      </c>
      <c r="I93">
        <f t="shared" si="1"/>
        <v>0.18909256325371948</v>
      </c>
    </row>
    <row r="94" spans="1:9" x14ac:dyDescent="0.2">
      <c r="A94" t="s">
        <v>100</v>
      </c>
      <c r="B94">
        <v>0.16436999999999999</v>
      </c>
      <c r="C94">
        <v>-5.6529999999999997E-2</v>
      </c>
      <c r="D94">
        <v>-0.12873000000000001</v>
      </c>
      <c r="E94">
        <v>-8.7830000000000005E-2</v>
      </c>
      <c r="F94">
        <v>1.2369999999999999E-2</v>
      </c>
      <c r="G94">
        <v>-7.6429999999999998E-2</v>
      </c>
      <c r="H94">
        <v>-9.2330000000000009E-2</v>
      </c>
      <c r="I94">
        <f t="shared" si="1"/>
        <v>-1.8900230465007085E-2</v>
      </c>
    </row>
    <row r="95" spans="1:9" x14ac:dyDescent="0.2">
      <c r="A95" t="s">
        <v>101</v>
      </c>
      <c r="B95">
        <v>-0.579592</v>
      </c>
      <c r="C95">
        <v>-0.38809199999999999</v>
      </c>
      <c r="D95">
        <v>-2.6492000000000002E-2</v>
      </c>
      <c r="E95">
        <v>-6.0892000000000002E-2</v>
      </c>
      <c r="F95">
        <v>-6.8891999999999995E-2</v>
      </c>
      <c r="G95">
        <v>-0.182892</v>
      </c>
      <c r="H95">
        <v>-0.17019199999999998</v>
      </c>
      <c r="I95">
        <f t="shared" si="1"/>
        <v>-0.10495626312457912</v>
      </c>
    </row>
    <row r="96" spans="1:9" x14ac:dyDescent="0.2">
      <c r="A96" t="s">
        <v>102</v>
      </c>
      <c r="B96">
        <v>0.228072</v>
      </c>
      <c r="C96">
        <v>-9.5228000000000007E-2</v>
      </c>
      <c r="D96">
        <v>6.6671999999999995E-2</v>
      </c>
      <c r="E96">
        <v>0.100172</v>
      </c>
      <c r="F96">
        <v>1.072E-3</v>
      </c>
      <c r="G96">
        <v>-0.154228</v>
      </c>
      <c r="H96">
        <v>-7.5028000000000011E-2</v>
      </c>
      <c r="I96">
        <f t="shared" si="1"/>
        <v>-5.5121454692601539E-2</v>
      </c>
    </row>
    <row r="97" spans="1:9" x14ac:dyDescent="0.2">
      <c r="A97" t="s">
        <v>103</v>
      </c>
      <c r="B97">
        <v>-0.148729</v>
      </c>
      <c r="C97">
        <v>-0.38932899999999998</v>
      </c>
      <c r="D97">
        <v>-2.1289999999999998E-3</v>
      </c>
      <c r="E97">
        <v>3.8270999999999999E-2</v>
      </c>
      <c r="F97">
        <v>7.5709999999999996E-3</v>
      </c>
      <c r="G97">
        <v>2.2771E-2</v>
      </c>
      <c r="H97">
        <v>7.7709999999999993E-3</v>
      </c>
      <c r="I97">
        <f t="shared" si="1"/>
        <v>0.25260623106296359</v>
      </c>
    </row>
    <row r="98" spans="1:9" x14ac:dyDescent="0.2">
      <c r="A98" t="s">
        <v>104</v>
      </c>
      <c r="B98">
        <v>-0.183423</v>
      </c>
      <c r="C98">
        <v>-5.9423000000000004E-2</v>
      </c>
      <c r="D98">
        <v>-0.123123</v>
      </c>
      <c r="E98">
        <v>-0.106223</v>
      </c>
      <c r="F98">
        <v>-0.159523</v>
      </c>
      <c r="G98">
        <v>-9.6422999999999995E-2</v>
      </c>
      <c r="H98">
        <v>-8.5722999999999994E-2</v>
      </c>
      <c r="I98">
        <f t="shared" si="1"/>
        <v>-0.14539450948161689</v>
      </c>
    </row>
    <row r="99" spans="1:9" x14ac:dyDescent="0.2">
      <c r="A99" t="s">
        <v>105</v>
      </c>
      <c r="B99">
        <v>6.9353000000000012E-2</v>
      </c>
      <c r="C99">
        <v>-0.25264700000000001</v>
      </c>
      <c r="D99">
        <v>-3.4647000000000004E-2</v>
      </c>
      <c r="E99">
        <v>-4.5047000000000004E-2</v>
      </c>
      <c r="F99">
        <v>4.4852999999999997E-2</v>
      </c>
      <c r="G99">
        <v>-8.7846999999999995E-2</v>
      </c>
      <c r="H99">
        <v>-0.11004699999999999</v>
      </c>
      <c r="I99">
        <f t="shared" si="1"/>
        <v>6.9261077403238905E-2</v>
      </c>
    </row>
    <row r="100" spans="1:9" x14ac:dyDescent="0.2">
      <c r="A100" t="s">
        <v>106</v>
      </c>
      <c r="B100">
        <v>0.31484099999999998</v>
      </c>
      <c r="C100">
        <v>-0.137959</v>
      </c>
      <c r="D100">
        <v>6.0040999999999997E-2</v>
      </c>
      <c r="E100">
        <v>5.8341000000000004E-2</v>
      </c>
      <c r="F100">
        <v>6.4040999999999987E-2</v>
      </c>
      <c r="G100">
        <v>0.214641</v>
      </c>
      <c r="H100">
        <v>8.5240999999999997E-2</v>
      </c>
      <c r="I100">
        <f t="shared" si="1"/>
        <v>0.37153375291457608</v>
      </c>
    </row>
    <row r="101" spans="1:9" x14ac:dyDescent="0.2">
      <c r="A101" t="s">
        <v>107</v>
      </c>
      <c r="B101">
        <v>1.2736750000000001</v>
      </c>
      <c r="C101">
        <v>-1.0425E-2</v>
      </c>
      <c r="D101">
        <v>3.2875000000000001E-2</v>
      </c>
      <c r="E101">
        <v>1.9074999999999998E-2</v>
      </c>
      <c r="F101">
        <v>-3.2724999999999997E-2</v>
      </c>
      <c r="G101">
        <v>0.19967500000000002</v>
      </c>
      <c r="H101">
        <v>9.3774999999999997E-2</v>
      </c>
      <c r="I101">
        <f t="shared" si="1"/>
        <v>0.44082703191608918</v>
      </c>
    </row>
    <row r="102" spans="1:9" x14ac:dyDescent="0.2">
      <c r="A102" t="s">
        <v>108</v>
      </c>
      <c r="B102">
        <v>-3.8517000000000003E-2</v>
      </c>
      <c r="C102">
        <v>-0.6094170000000001</v>
      </c>
      <c r="D102">
        <v>-3.2417000000000001E-2</v>
      </c>
      <c r="E102">
        <v>-3.5617000000000003E-2</v>
      </c>
      <c r="F102">
        <v>-7.7169999999999999E-3</v>
      </c>
      <c r="G102">
        <v>-4.3917000000000005E-2</v>
      </c>
      <c r="H102">
        <v>5.3082999999999998E-2</v>
      </c>
      <c r="I102">
        <f t="shared" si="1"/>
        <v>0.38552998306866293</v>
      </c>
    </row>
    <row r="103" spans="1:9" x14ac:dyDescent="0.2">
      <c r="A103" t="s">
        <v>109</v>
      </c>
      <c r="B103">
        <v>5.5625000000000001E-2</v>
      </c>
      <c r="C103">
        <v>5.0125000000000003E-2</v>
      </c>
      <c r="D103">
        <v>1.9250000000000001E-3</v>
      </c>
      <c r="E103">
        <v>5.0125000000000003E-2</v>
      </c>
      <c r="F103">
        <v>-2.6175E-2</v>
      </c>
      <c r="G103">
        <v>4.2249999999999996E-3</v>
      </c>
      <c r="H103">
        <v>1.25E-4</v>
      </c>
      <c r="I103">
        <f t="shared" si="1"/>
        <v>-2.2792186179592534E-2</v>
      </c>
    </row>
    <row r="104" spans="1:9" x14ac:dyDescent="0.2">
      <c r="A104" t="s">
        <v>110</v>
      </c>
      <c r="B104">
        <v>0.31788100000000002</v>
      </c>
      <c r="C104">
        <v>6.0281000000000001E-2</v>
      </c>
      <c r="D104">
        <v>7.4281E-2</v>
      </c>
      <c r="E104">
        <v>6.0281000000000001E-2</v>
      </c>
      <c r="F104">
        <v>2.9581E-2</v>
      </c>
      <c r="G104">
        <v>0.104981</v>
      </c>
      <c r="H104">
        <v>7.3981000000000005E-2</v>
      </c>
      <c r="I104">
        <f t="shared" si="1"/>
        <v>0.14054862273991797</v>
      </c>
    </row>
    <row r="105" spans="1:9" x14ac:dyDescent="0.2">
      <c r="A105" t="s">
        <v>111</v>
      </c>
      <c r="B105">
        <v>-5.0116000000000001E-2</v>
      </c>
      <c r="C105">
        <v>-3.2215999999999995E-2</v>
      </c>
      <c r="D105">
        <v>-7.0159999999999997E-3</v>
      </c>
      <c r="E105">
        <v>-3.2215999999999995E-2</v>
      </c>
      <c r="F105">
        <v>2.5283999999999997E-2</v>
      </c>
      <c r="G105">
        <v>8.1484000000000001E-2</v>
      </c>
      <c r="H105">
        <v>3.3484E-2</v>
      </c>
      <c r="I105">
        <f t="shared" si="1"/>
        <v>9.7279539469921128E-2</v>
      </c>
    </row>
    <row r="106" spans="1:9" x14ac:dyDescent="0.2">
      <c r="A106" t="s">
        <v>112</v>
      </c>
      <c r="B106">
        <v>-5.1379000000000001E-2</v>
      </c>
      <c r="C106">
        <v>-2.4878999999999998E-2</v>
      </c>
      <c r="D106">
        <v>3.6821E-2</v>
      </c>
      <c r="E106">
        <v>-2.4878999999999998E-2</v>
      </c>
      <c r="F106">
        <v>-3.5079000000000006E-2</v>
      </c>
      <c r="G106">
        <v>-6.8789999999999997E-3</v>
      </c>
      <c r="H106">
        <v>3.5621E-2</v>
      </c>
      <c r="I106">
        <f t="shared" si="1"/>
        <v>1.8993558949564164E-3</v>
      </c>
    </row>
    <row r="107" spans="1:9" x14ac:dyDescent="0.2">
      <c r="A107" t="s">
        <v>113</v>
      </c>
      <c r="B107">
        <v>-2.9139999999999999E-2</v>
      </c>
      <c r="C107">
        <v>-6.7400000000000003E-3</v>
      </c>
      <c r="D107">
        <v>-3.474E-2</v>
      </c>
      <c r="E107">
        <v>-6.7400000000000003E-3</v>
      </c>
      <c r="F107">
        <v>1.196E-2</v>
      </c>
      <c r="G107">
        <v>3.746E-2</v>
      </c>
      <c r="H107">
        <v>-1.984E-2</v>
      </c>
      <c r="I107">
        <f t="shared" si="1"/>
        <v>2.6050917205905036E-2</v>
      </c>
    </row>
    <row r="108" spans="1:9" x14ac:dyDescent="0.2">
      <c r="A108" t="s">
        <v>114</v>
      </c>
      <c r="B108">
        <v>0.26999600000000001</v>
      </c>
      <c r="C108">
        <v>9.7996E-2</v>
      </c>
      <c r="D108">
        <v>4.9496000000000005E-2</v>
      </c>
      <c r="E108">
        <v>6.3196000000000002E-2</v>
      </c>
      <c r="F108">
        <v>9.7996E-2</v>
      </c>
      <c r="G108">
        <v>-3.5203999999999999E-2</v>
      </c>
      <c r="H108">
        <v>5.7396000000000003E-2</v>
      </c>
      <c r="I108">
        <f t="shared" si="1"/>
        <v>1.3385488301524948E-2</v>
      </c>
    </row>
    <row r="109" spans="1:9" x14ac:dyDescent="0.2">
      <c r="A109" t="s">
        <v>115</v>
      </c>
      <c r="B109">
        <v>0.12483799999999999</v>
      </c>
      <c r="C109">
        <v>-1.5262E-2</v>
      </c>
      <c r="D109">
        <v>4.0438000000000002E-2</v>
      </c>
      <c r="E109">
        <v>5.3038000000000002E-2</v>
      </c>
      <c r="F109">
        <v>-1.5262E-2</v>
      </c>
      <c r="G109">
        <v>3.8837999999999998E-2</v>
      </c>
      <c r="H109">
        <v>1.7738E-2</v>
      </c>
      <c r="I109">
        <f t="shared" si="1"/>
        <v>6.5750404374793445E-2</v>
      </c>
    </row>
    <row r="110" spans="1:9" x14ac:dyDescent="0.2">
      <c r="A110" t="s">
        <v>116</v>
      </c>
      <c r="B110">
        <v>8.3972000000000005E-2</v>
      </c>
      <c r="C110">
        <v>-4.28E-4</v>
      </c>
      <c r="D110">
        <v>-8.1528000000000003E-2</v>
      </c>
      <c r="E110">
        <v>-9.8827999999999999E-2</v>
      </c>
      <c r="F110">
        <v>-4.28E-4</v>
      </c>
      <c r="G110">
        <v>5.9971999999999998E-2</v>
      </c>
      <c r="H110">
        <v>-3.7027999999999998E-2</v>
      </c>
      <c r="I110">
        <f t="shared" si="1"/>
        <v>5.0217093692161929E-2</v>
      </c>
    </row>
    <row r="111" spans="1:9" x14ac:dyDescent="0.2">
      <c r="A111" t="s">
        <v>117</v>
      </c>
      <c r="B111">
        <v>8.2990000000000008E-2</v>
      </c>
      <c r="C111">
        <v>1.1990000000000001E-2</v>
      </c>
      <c r="D111">
        <v>-2.171E-2</v>
      </c>
      <c r="E111">
        <v>-1.6709999999999999E-2</v>
      </c>
      <c r="F111">
        <v>1.1990000000000001E-2</v>
      </c>
      <c r="G111">
        <v>8.2900000000000005E-3</v>
      </c>
      <c r="H111">
        <v>2.8490000000000001E-2</v>
      </c>
      <c r="I111">
        <f t="shared" si="1"/>
        <v>3.4973925917176837E-2</v>
      </c>
    </row>
    <row r="112" spans="1:9" x14ac:dyDescent="0.2">
      <c r="A112" t="s">
        <v>118</v>
      </c>
      <c r="B112">
        <v>7.0632E-2</v>
      </c>
      <c r="C112">
        <v>3.4032E-2</v>
      </c>
      <c r="D112">
        <v>4.1432000000000004E-2</v>
      </c>
      <c r="E112">
        <v>7.2132000000000002E-2</v>
      </c>
      <c r="F112">
        <v>3.4032E-2</v>
      </c>
      <c r="G112">
        <v>2.0932000000000003E-2</v>
      </c>
      <c r="H112">
        <v>5.8731999999999999E-2</v>
      </c>
      <c r="I112">
        <f t="shared" si="1"/>
        <v>4.5128138967326308E-2</v>
      </c>
    </row>
    <row r="113" spans="1:9" x14ac:dyDescent="0.2">
      <c r="A113" t="s">
        <v>119</v>
      </c>
      <c r="B113">
        <v>3.5688999999999999E-2</v>
      </c>
      <c r="C113">
        <v>8.1088999999999994E-2</v>
      </c>
      <c r="D113">
        <v>2.4889000000000001E-2</v>
      </c>
      <c r="E113">
        <v>-5.3810999999999998E-2</v>
      </c>
      <c r="F113">
        <v>-3.5410999999999998E-2</v>
      </c>
      <c r="G113">
        <v>8.1088999999999994E-2</v>
      </c>
      <c r="H113">
        <v>1.4689000000000001E-2</v>
      </c>
      <c r="I113">
        <f t="shared" si="1"/>
        <v>6.1785151093431906E-3</v>
      </c>
    </row>
    <row r="114" spans="1:9" x14ac:dyDescent="0.2">
      <c r="A114" t="s">
        <v>120</v>
      </c>
      <c r="B114">
        <v>-9.9211999999999995E-2</v>
      </c>
      <c r="C114">
        <v>-3.8212000000000003E-2</v>
      </c>
      <c r="D114">
        <v>-6.7612000000000005E-2</v>
      </c>
      <c r="E114">
        <v>-4.7912000000000003E-2</v>
      </c>
      <c r="F114">
        <v>-5.2111999999999999E-2</v>
      </c>
      <c r="G114">
        <v>-3.8212000000000003E-2</v>
      </c>
      <c r="H114">
        <v>-8.2112000000000004E-2</v>
      </c>
      <c r="I114">
        <f t="shared" si="1"/>
        <v>-7.2139937069353968E-2</v>
      </c>
    </row>
    <row r="115" spans="1:9" x14ac:dyDescent="0.2">
      <c r="A115" t="s">
        <v>121</v>
      </c>
      <c r="B115">
        <v>-0.14082699999999998</v>
      </c>
      <c r="C115">
        <v>-9.8427000000000001E-2</v>
      </c>
      <c r="D115">
        <v>-4.627E-3</v>
      </c>
      <c r="E115">
        <v>1.8073000000000002E-2</v>
      </c>
      <c r="F115">
        <v>-4.9327000000000003E-2</v>
      </c>
      <c r="G115">
        <v>-9.8427000000000001E-2</v>
      </c>
      <c r="H115">
        <v>-5.4027000000000006E-2</v>
      </c>
      <c r="I115">
        <f t="shared" si="1"/>
        <v>-7.7861835486172579E-2</v>
      </c>
    </row>
    <row r="116" spans="1:9" x14ac:dyDescent="0.2">
      <c r="A116" t="s">
        <v>122</v>
      </c>
      <c r="B116">
        <v>0.26675800000000005</v>
      </c>
      <c r="C116">
        <v>4.3557999999999999E-2</v>
      </c>
      <c r="D116">
        <v>9.0757999999999991E-2</v>
      </c>
      <c r="E116">
        <v>0.125058</v>
      </c>
      <c r="F116">
        <v>6.4757999999999996E-2</v>
      </c>
      <c r="G116">
        <v>4.3557999999999999E-2</v>
      </c>
      <c r="H116">
        <v>6.8657999999999997E-2</v>
      </c>
      <c r="I116">
        <f t="shared" si="1"/>
        <v>0.10302588351317532</v>
      </c>
    </row>
    <row r="117" spans="1:9" x14ac:dyDescent="0.2">
      <c r="A117" t="s">
        <v>123</v>
      </c>
      <c r="B117">
        <v>-0.116426</v>
      </c>
      <c r="C117">
        <v>1.5739999999999999E-3</v>
      </c>
      <c r="D117">
        <v>4.1874000000000001E-2</v>
      </c>
      <c r="E117">
        <v>1.6073999999999998E-2</v>
      </c>
      <c r="F117">
        <v>-1.4825999999999999E-2</v>
      </c>
      <c r="G117">
        <v>1.5739999999999999E-3</v>
      </c>
      <c r="H117">
        <v>-4.7525999999999999E-2</v>
      </c>
      <c r="I117">
        <f t="shared" si="1"/>
        <v>-5.6705353249860618E-2</v>
      </c>
    </row>
    <row r="118" spans="1:9" x14ac:dyDescent="0.2">
      <c r="A118" t="s">
        <v>124</v>
      </c>
      <c r="B118">
        <v>8.4474999999999995E-2</v>
      </c>
      <c r="C118">
        <v>3.6775000000000002E-2</v>
      </c>
      <c r="D118">
        <v>5.7974999999999999E-2</v>
      </c>
      <c r="E118">
        <v>0.103475</v>
      </c>
      <c r="F118">
        <v>6.7275000000000001E-2</v>
      </c>
      <c r="G118">
        <v>4.4475000000000001E-2</v>
      </c>
      <c r="H118">
        <v>8.7474999999999997E-2</v>
      </c>
      <c r="I118">
        <f t="shared" si="1"/>
        <v>8.7467655199938765E-2</v>
      </c>
    </row>
    <row r="119" spans="1:9" x14ac:dyDescent="0.2">
      <c r="A119" t="s">
        <v>125</v>
      </c>
      <c r="B119">
        <v>0.15428800000000001</v>
      </c>
      <c r="C119">
        <v>-3.4812000000000003E-2</v>
      </c>
      <c r="D119">
        <v>1.1688E-2</v>
      </c>
      <c r="E119">
        <v>1.1088000000000001E-2</v>
      </c>
      <c r="F119">
        <v>1.1988E-2</v>
      </c>
      <c r="G119">
        <v>-2.8212000000000001E-2</v>
      </c>
      <c r="H119">
        <v>3.6788000000000001E-2</v>
      </c>
      <c r="I119">
        <f t="shared" si="1"/>
        <v>5.1815852463942352E-2</v>
      </c>
    </row>
    <row r="120" spans="1:9" x14ac:dyDescent="0.2">
      <c r="A120" t="s">
        <v>126</v>
      </c>
      <c r="B120">
        <v>0.12798599999999999</v>
      </c>
      <c r="C120">
        <v>1.8599999999999997E-4</v>
      </c>
      <c r="D120">
        <v>-2.5714000000000001E-2</v>
      </c>
      <c r="E120">
        <v>-1.4614E-2</v>
      </c>
      <c r="F120">
        <v>-1.614E-3</v>
      </c>
      <c r="G120">
        <v>0.101086</v>
      </c>
      <c r="H120">
        <v>-2.4139999999999999E-3</v>
      </c>
      <c r="I120">
        <f t="shared" si="1"/>
        <v>0.10392808378585941</v>
      </c>
    </row>
    <row r="121" spans="1:9" x14ac:dyDescent="0.2">
      <c r="A121" t="s">
        <v>127</v>
      </c>
      <c r="B121">
        <v>5.3159999999999999E-2</v>
      </c>
      <c r="C121">
        <v>7.7659999999999993E-2</v>
      </c>
      <c r="D121">
        <v>5.706E-2</v>
      </c>
      <c r="E121">
        <v>0.11766</v>
      </c>
      <c r="F121">
        <v>2.4599999999999999E-3</v>
      </c>
      <c r="G121">
        <v>5.586E-2</v>
      </c>
      <c r="H121">
        <v>6.5159999999999996E-2</v>
      </c>
      <c r="I121">
        <f t="shared" si="1"/>
        <v>3.5291474593869672E-2</v>
      </c>
    </row>
    <row r="122" spans="1:9" x14ac:dyDescent="0.2">
      <c r="A122" t="s">
        <v>128</v>
      </c>
      <c r="B122">
        <v>-5.0065999999999999E-2</v>
      </c>
      <c r="C122">
        <v>-1.0066E-2</v>
      </c>
      <c r="D122">
        <v>-4.9565999999999999E-2</v>
      </c>
      <c r="E122">
        <v>8.8339999999999998E-3</v>
      </c>
      <c r="F122">
        <v>3.9634000000000003E-2</v>
      </c>
      <c r="G122">
        <v>-8.8165999999999994E-2</v>
      </c>
      <c r="H122">
        <v>2.2533999999999998E-2</v>
      </c>
      <c r="I122">
        <f t="shared" si="1"/>
        <v>-3.9479775067634726E-2</v>
      </c>
    </row>
    <row r="123" spans="1:9" x14ac:dyDescent="0.2">
      <c r="A123" t="s">
        <v>129</v>
      </c>
      <c r="B123">
        <v>-5.6521999999999996E-2</v>
      </c>
      <c r="C123">
        <v>-8.1222000000000003E-2</v>
      </c>
      <c r="D123">
        <v>3.1077999999999998E-2</v>
      </c>
      <c r="E123">
        <v>3.6378000000000001E-2</v>
      </c>
      <c r="F123">
        <v>-7.3022000000000004E-2</v>
      </c>
      <c r="G123">
        <v>-3.7221999999999998E-2</v>
      </c>
      <c r="H123">
        <v>3.1878000000000004E-2</v>
      </c>
      <c r="I123">
        <f t="shared" si="1"/>
        <v>7.2634252295205384E-3</v>
      </c>
    </row>
    <row r="124" spans="1:9" x14ac:dyDescent="0.2">
      <c r="A124" t="s">
        <v>130</v>
      </c>
      <c r="B124">
        <v>-9.3669999999999986E-3</v>
      </c>
      <c r="C124">
        <v>-7.4666999999999997E-2</v>
      </c>
      <c r="D124">
        <v>7.8533000000000006E-2</v>
      </c>
      <c r="E124">
        <v>4.3833000000000004E-2</v>
      </c>
      <c r="F124">
        <v>8.2330000000000007E-3</v>
      </c>
      <c r="G124">
        <v>-4.8367E-2</v>
      </c>
      <c r="H124">
        <v>-1.067E-3</v>
      </c>
      <c r="I124">
        <f t="shared" si="1"/>
        <v>1.3834374297905783E-3</v>
      </c>
    </row>
    <row r="125" spans="1:9" x14ac:dyDescent="0.2">
      <c r="A125" t="s">
        <v>131</v>
      </c>
      <c r="B125">
        <v>3.7547000000000004E-2</v>
      </c>
      <c r="C125">
        <v>3.4147000000000004E-2</v>
      </c>
      <c r="D125">
        <v>3.0946999999999999E-2</v>
      </c>
      <c r="E125">
        <v>-7.1530000000000005E-3</v>
      </c>
      <c r="F125">
        <v>5.6247000000000005E-2</v>
      </c>
      <c r="G125">
        <v>-1.8253000000000002E-2</v>
      </c>
      <c r="H125">
        <v>2.8447E-2</v>
      </c>
      <c r="I125">
        <f t="shared" si="1"/>
        <v>-4.7231313984055084E-3</v>
      </c>
    </row>
    <row r="126" spans="1:9" x14ac:dyDescent="0.2">
      <c r="A126" t="s">
        <v>132</v>
      </c>
      <c r="B126">
        <v>-3.5612999999999999E-2</v>
      </c>
      <c r="C126">
        <v>-8.7130000000000003E-3</v>
      </c>
      <c r="D126">
        <v>1.4086999999999999E-2</v>
      </c>
      <c r="E126">
        <v>-2.2512999999999998E-2</v>
      </c>
      <c r="F126">
        <v>1.0986999999999999E-2</v>
      </c>
      <c r="G126">
        <v>1.3786999999999999E-2</v>
      </c>
      <c r="H126">
        <v>-1.3513000000000001E-2</v>
      </c>
      <c r="I126">
        <f t="shared" si="1"/>
        <v>1.5828448182321226E-3</v>
      </c>
    </row>
    <row r="127" spans="1:9" x14ac:dyDescent="0.2">
      <c r="A127" t="s">
        <v>133</v>
      </c>
      <c r="B127">
        <v>-7.5734999999999997E-2</v>
      </c>
      <c r="C127">
        <v>-4.5635000000000002E-2</v>
      </c>
      <c r="D127">
        <v>-4.8349999999999999E-3</v>
      </c>
      <c r="E127">
        <v>8.0649999999999993E-3</v>
      </c>
      <c r="F127">
        <v>-3.7734999999999998E-2</v>
      </c>
      <c r="G127">
        <v>-5.2935000000000003E-2</v>
      </c>
      <c r="H127">
        <v>-1.8335000000000001E-2</v>
      </c>
      <c r="I127">
        <f t="shared" si="1"/>
        <v>-4.392376240282047E-2</v>
      </c>
    </row>
    <row r="128" spans="1:9" x14ac:dyDescent="0.2">
      <c r="A128" t="s">
        <v>134</v>
      </c>
      <c r="B128">
        <v>-0.11457199999999999</v>
      </c>
      <c r="C128">
        <v>-8.8272000000000003E-2</v>
      </c>
      <c r="D128">
        <v>-5.5571999999999996E-2</v>
      </c>
      <c r="E128">
        <v>-3.9772000000000002E-2</v>
      </c>
      <c r="F128">
        <v>-8.0719999999999993E-3</v>
      </c>
      <c r="G128">
        <v>9.7628000000000006E-2</v>
      </c>
      <c r="H128">
        <v>-2.1471999999999998E-2</v>
      </c>
      <c r="I128">
        <f t="shared" si="1"/>
        <v>0.1040889024155857</v>
      </c>
    </row>
    <row r="129" spans="1:9" x14ac:dyDescent="0.2">
      <c r="A129" t="s">
        <v>135</v>
      </c>
      <c r="B129">
        <v>-8.9383000000000004E-2</v>
      </c>
      <c r="C129">
        <v>-0.13198299999999999</v>
      </c>
      <c r="D129">
        <v>-2.6783000000000001E-2</v>
      </c>
      <c r="E129">
        <v>2.4716999999999999E-2</v>
      </c>
      <c r="F129">
        <v>1.6617E-2</v>
      </c>
      <c r="G129">
        <v>9.5169999999999994E-3</v>
      </c>
      <c r="H129">
        <v>-5.6883000000000003E-2</v>
      </c>
      <c r="I129">
        <f t="shared" si="1"/>
        <v>5.7892175394527665E-2</v>
      </c>
    </row>
    <row r="130" spans="1:9" x14ac:dyDescent="0.2">
      <c r="A130" t="s">
        <v>136</v>
      </c>
      <c r="B130">
        <v>-0.13039899999999999</v>
      </c>
      <c r="C130">
        <v>-0.16019900000000001</v>
      </c>
      <c r="D130">
        <v>1.4009999999999999E-3</v>
      </c>
      <c r="E130">
        <v>1.7601000000000002E-2</v>
      </c>
      <c r="F130">
        <v>-2.4298999999999998E-2</v>
      </c>
      <c r="G130">
        <v>-5.0899E-2</v>
      </c>
      <c r="H130">
        <v>-7.1799000000000002E-2</v>
      </c>
      <c r="I130">
        <f t="shared" si="1"/>
        <v>-2.202380268922069E-3</v>
      </c>
    </row>
    <row r="131" spans="1:9" x14ac:dyDescent="0.2">
      <c r="A131" t="s">
        <v>137</v>
      </c>
      <c r="B131">
        <v>0.20788600000000002</v>
      </c>
      <c r="C131">
        <v>0.28098600000000001</v>
      </c>
      <c r="D131">
        <v>4.3285999999999998E-2</v>
      </c>
      <c r="E131">
        <v>1.8886E-2</v>
      </c>
      <c r="F131">
        <v>9.2885999999999996E-2</v>
      </c>
      <c r="G131">
        <v>0.116386</v>
      </c>
      <c r="H131">
        <v>0.107686</v>
      </c>
      <c r="I131">
        <f t="shared" ref="I131:I194" si="2">SUMPRODUCT(B131:H131,$N$6:$T$6)</f>
        <v>2.0907769813597717E-2</v>
      </c>
    </row>
    <row r="132" spans="1:9" x14ac:dyDescent="0.2">
      <c r="A132" t="s">
        <v>138</v>
      </c>
      <c r="B132">
        <v>-9.2504000000000003E-2</v>
      </c>
      <c r="C132">
        <v>-0.17640400000000001</v>
      </c>
      <c r="D132">
        <v>-1.1304E-2</v>
      </c>
      <c r="E132">
        <v>2.0295999999999998E-2</v>
      </c>
      <c r="F132">
        <v>3.8396E-2</v>
      </c>
      <c r="G132">
        <v>-3.2003999999999998E-2</v>
      </c>
      <c r="H132">
        <v>-5.104E-3</v>
      </c>
      <c r="I132">
        <f t="shared" si="2"/>
        <v>8.4150778389402561E-2</v>
      </c>
    </row>
    <row r="133" spans="1:9" x14ac:dyDescent="0.2">
      <c r="A133" t="s">
        <v>139</v>
      </c>
      <c r="B133">
        <v>1.5100000000000001E-2</v>
      </c>
      <c r="C133">
        <v>-4.7899999999999998E-2</v>
      </c>
      <c r="D133">
        <v>4.3499999999999997E-2</v>
      </c>
      <c r="E133">
        <v>6.3299999999999995E-2</v>
      </c>
      <c r="F133">
        <v>2.0899999999999998E-2</v>
      </c>
      <c r="G133">
        <v>-2.81E-2</v>
      </c>
      <c r="H133">
        <v>8.5000000000000006E-3</v>
      </c>
      <c r="I133">
        <f t="shared" si="2"/>
        <v>1.9826299654510961E-2</v>
      </c>
    </row>
    <row r="134" spans="1:9" x14ac:dyDescent="0.2">
      <c r="A134" t="s">
        <v>140</v>
      </c>
      <c r="B134">
        <v>0.159002</v>
      </c>
      <c r="C134">
        <v>0.185002</v>
      </c>
      <c r="D134">
        <v>-1.2997999999999999E-2</v>
      </c>
      <c r="E134">
        <v>-4.9097999999999996E-2</v>
      </c>
      <c r="F134">
        <v>2.6801999999999999E-2</v>
      </c>
      <c r="G134">
        <v>-7.9979999999999999E-3</v>
      </c>
      <c r="H134">
        <v>4.3602000000000002E-2</v>
      </c>
      <c r="I134">
        <f t="shared" si="2"/>
        <v>-6.7927010949682232E-2</v>
      </c>
    </row>
    <row r="135" spans="1:9" x14ac:dyDescent="0.2">
      <c r="A135" t="s">
        <v>141</v>
      </c>
      <c r="B135">
        <v>-3.2310000000000004E-3</v>
      </c>
      <c r="C135">
        <v>8.3268999999999996E-2</v>
      </c>
      <c r="D135">
        <v>4.0068999999999994E-2</v>
      </c>
      <c r="E135">
        <v>1.1869000000000001E-2</v>
      </c>
      <c r="F135">
        <v>-3.7231E-2</v>
      </c>
      <c r="G135">
        <v>0.122069</v>
      </c>
      <c r="H135">
        <v>4.0568999999999994E-2</v>
      </c>
      <c r="I135">
        <f t="shared" si="2"/>
        <v>4.3651504451410514E-2</v>
      </c>
    </row>
    <row r="136" spans="1:9" x14ac:dyDescent="0.2">
      <c r="A136" t="s">
        <v>142</v>
      </c>
      <c r="B136">
        <v>7.6540000000000002E-3</v>
      </c>
      <c r="C136">
        <v>-1.4246E-2</v>
      </c>
      <c r="D136">
        <v>2.0853999999999998E-2</v>
      </c>
      <c r="E136">
        <v>3.0539999999999999E-3</v>
      </c>
      <c r="F136">
        <v>4.2754E-2</v>
      </c>
      <c r="G136">
        <v>2.7854E-2</v>
      </c>
      <c r="H136">
        <v>3.1254000000000004E-2</v>
      </c>
      <c r="I136">
        <f t="shared" si="2"/>
        <v>5.6796997711015151E-2</v>
      </c>
    </row>
    <row r="137" spans="1:9" x14ac:dyDescent="0.2">
      <c r="A137" t="s">
        <v>143</v>
      </c>
      <c r="B137">
        <v>-9.1829000000000008E-2</v>
      </c>
      <c r="C137">
        <v>-0.103329</v>
      </c>
      <c r="D137">
        <v>6.8770999999999999E-2</v>
      </c>
      <c r="E137">
        <v>7.0271E-2</v>
      </c>
      <c r="F137">
        <v>-3.7429000000000004E-2</v>
      </c>
      <c r="G137">
        <v>-5.7290000000000006E-3</v>
      </c>
      <c r="H137">
        <v>-7.5290000000000001E-3</v>
      </c>
      <c r="I137">
        <f t="shared" si="2"/>
        <v>2.4665035734349545E-2</v>
      </c>
    </row>
    <row r="138" spans="1:9" x14ac:dyDescent="0.2">
      <c r="A138" t="s">
        <v>144</v>
      </c>
      <c r="B138">
        <v>-6.3864999999999991E-2</v>
      </c>
      <c r="C138">
        <v>-3.4865E-2</v>
      </c>
      <c r="D138">
        <v>3.8234999999999998E-2</v>
      </c>
      <c r="E138">
        <v>3.1134999999999999E-2</v>
      </c>
      <c r="F138">
        <v>0.124735</v>
      </c>
      <c r="G138">
        <v>4.8349999999999999E-3</v>
      </c>
      <c r="H138">
        <v>-6.2765000000000001E-2</v>
      </c>
      <c r="I138">
        <f t="shared" si="2"/>
        <v>1.1905890832390645E-2</v>
      </c>
    </row>
    <row r="139" spans="1:9" x14ac:dyDescent="0.2">
      <c r="A139" t="s">
        <v>145</v>
      </c>
      <c r="B139">
        <v>-9.192199999999999E-2</v>
      </c>
      <c r="C139">
        <v>-0.11172199999999999</v>
      </c>
      <c r="D139">
        <v>4.3577999999999999E-2</v>
      </c>
      <c r="E139">
        <v>6.7178000000000002E-2</v>
      </c>
      <c r="F139">
        <v>5.9277999999999997E-2</v>
      </c>
      <c r="G139">
        <v>4.7779999999999993E-3</v>
      </c>
      <c r="H139">
        <v>3.9578000000000002E-2</v>
      </c>
      <c r="I139">
        <f t="shared" si="2"/>
        <v>9.3085283929386753E-2</v>
      </c>
    </row>
    <row r="140" spans="1:9" x14ac:dyDescent="0.2">
      <c r="A140" t="s">
        <v>146</v>
      </c>
      <c r="B140">
        <v>-3.6531999999999995E-2</v>
      </c>
      <c r="C140">
        <v>-5.3200000000000003E-4</v>
      </c>
      <c r="D140">
        <v>7.6567999999999997E-2</v>
      </c>
      <c r="E140">
        <v>2.7167999999999998E-2</v>
      </c>
      <c r="F140">
        <v>6.7567999999999989E-2</v>
      </c>
      <c r="G140">
        <v>4.2268E-2</v>
      </c>
      <c r="H140">
        <v>1.2567999999999999E-2</v>
      </c>
      <c r="I140">
        <f t="shared" si="2"/>
        <v>3.9933217976483436E-2</v>
      </c>
    </row>
    <row r="141" spans="1:9" x14ac:dyDescent="0.2">
      <c r="A141" t="s">
        <v>147</v>
      </c>
      <c r="B141">
        <v>1.635E-2</v>
      </c>
      <c r="C141">
        <v>8.3150000000000002E-2</v>
      </c>
      <c r="D141">
        <v>-3.3849999999999998E-2</v>
      </c>
      <c r="E141">
        <v>-4.8750000000000002E-2</v>
      </c>
      <c r="F141">
        <v>-1.9450000000000002E-2</v>
      </c>
      <c r="G141">
        <v>6.275E-2</v>
      </c>
      <c r="H141">
        <v>1.975E-2</v>
      </c>
      <c r="I141">
        <f t="shared" si="2"/>
        <v>4.1921548695288934E-3</v>
      </c>
    </row>
    <row r="142" spans="1:9" x14ac:dyDescent="0.2">
      <c r="A142" t="s">
        <v>148</v>
      </c>
      <c r="B142">
        <v>5.5633000000000002E-2</v>
      </c>
      <c r="C142">
        <v>6.5533000000000008E-2</v>
      </c>
      <c r="D142">
        <v>2.8832999999999998E-2</v>
      </c>
      <c r="E142">
        <v>6.1133E-2</v>
      </c>
      <c r="F142">
        <v>1.6433E-2</v>
      </c>
      <c r="G142">
        <v>-9.7669999999999996E-3</v>
      </c>
      <c r="H142">
        <v>2.4132999999999998E-2</v>
      </c>
      <c r="I142">
        <f t="shared" si="2"/>
        <v>-2.330454917264578E-2</v>
      </c>
    </row>
    <row r="143" spans="1:9" x14ac:dyDescent="0.2">
      <c r="A143" t="s">
        <v>149</v>
      </c>
      <c r="B143">
        <v>0.13686299999999998</v>
      </c>
      <c r="C143">
        <v>0.120863</v>
      </c>
      <c r="D143">
        <v>-7.1836999999999998E-2</v>
      </c>
      <c r="E143">
        <v>-9.7370000000000009E-3</v>
      </c>
      <c r="F143">
        <v>1.6463000000000002E-2</v>
      </c>
      <c r="G143">
        <v>4.3630000000000006E-3</v>
      </c>
      <c r="H143">
        <v>-1.9837E-2</v>
      </c>
      <c r="I143">
        <f t="shared" si="2"/>
        <v>-4.3661717786218149E-2</v>
      </c>
    </row>
    <row r="144" spans="1:9" x14ac:dyDescent="0.2">
      <c r="A144" t="s">
        <v>150</v>
      </c>
      <c r="B144">
        <v>2.5915000000000001E-2</v>
      </c>
      <c r="C144">
        <v>1.4815E-2</v>
      </c>
      <c r="D144">
        <v>-1.3384999999999999E-2</v>
      </c>
      <c r="E144">
        <v>-1.1684999999999999E-2</v>
      </c>
      <c r="F144">
        <v>-4.0085000000000003E-2</v>
      </c>
      <c r="G144">
        <v>-4.1850000000000004E-3</v>
      </c>
      <c r="H144">
        <v>2.715E-3</v>
      </c>
      <c r="I144">
        <f t="shared" si="2"/>
        <v>-1.6102789458934046E-2</v>
      </c>
    </row>
    <row r="145" spans="1:9" x14ac:dyDescent="0.2">
      <c r="A145" t="s">
        <v>151</v>
      </c>
      <c r="B145">
        <v>0.13089700000000001</v>
      </c>
      <c r="C145">
        <v>0.113897</v>
      </c>
      <c r="D145">
        <v>-1.2403000000000001E-2</v>
      </c>
      <c r="E145">
        <v>-1.9403E-2</v>
      </c>
      <c r="F145">
        <v>-4.7502999999999997E-2</v>
      </c>
      <c r="G145">
        <v>-6.2803000000000012E-2</v>
      </c>
      <c r="H145">
        <v>6.9970000000000006E-3</v>
      </c>
      <c r="I145">
        <f t="shared" si="2"/>
        <v>-0.10633832364805276</v>
      </c>
    </row>
    <row r="146" spans="1:9" x14ac:dyDescent="0.2">
      <c r="A146" t="s">
        <v>152</v>
      </c>
      <c r="B146">
        <v>7.2779999999999997E-3</v>
      </c>
      <c r="C146">
        <v>-2.5722000000000002E-2</v>
      </c>
      <c r="D146">
        <v>4.5578E-2</v>
      </c>
      <c r="E146">
        <v>1.9878E-2</v>
      </c>
      <c r="F146">
        <v>2.5177999999999999E-2</v>
      </c>
      <c r="G146">
        <v>2.0978E-2</v>
      </c>
      <c r="H146">
        <v>5.0377999999999999E-2</v>
      </c>
      <c r="I146">
        <f t="shared" si="2"/>
        <v>6.098397862453124E-2</v>
      </c>
    </row>
    <row r="147" spans="1:9" x14ac:dyDescent="0.2">
      <c r="A147" t="s">
        <v>153</v>
      </c>
      <c r="B147">
        <v>-2.6353999999999999E-2</v>
      </c>
      <c r="C147">
        <v>-3.3554E-2</v>
      </c>
      <c r="D147">
        <v>3.2146000000000001E-2</v>
      </c>
      <c r="E147">
        <v>6.6946000000000006E-2</v>
      </c>
      <c r="F147">
        <v>1.1846000000000001E-2</v>
      </c>
      <c r="G147">
        <v>4.8246000000000004E-2</v>
      </c>
      <c r="H147">
        <v>1.1046E-2</v>
      </c>
      <c r="I147">
        <f t="shared" si="2"/>
        <v>6.2205882862240346E-2</v>
      </c>
    </row>
    <row r="148" spans="1:9" x14ac:dyDescent="0.2">
      <c r="A148" t="s">
        <v>154</v>
      </c>
      <c r="B148">
        <v>4.2758999999999998E-2</v>
      </c>
      <c r="C148">
        <v>2.4659E-2</v>
      </c>
      <c r="D148">
        <v>2.1659000000000001E-2</v>
      </c>
      <c r="E148">
        <v>5.6259000000000003E-2</v>
      </c>
      <c r="F148">
        <v>6.3959000000000002E-2</v>
      </c>
      <c r="G148">
        <v>8.7159E-2</v>
      </c>
      <c r="H148">
        <v>3.5958999999999998E-2</v>
      </c>
      <c r="I148">
        <f t="shared" si="2"/>
        <v>9.5566344802342523E-2</v>
      </c>
    </row>
    <row r="149" spans="1:9" x14ac:dyDescent="0.2">
      <c r="A149" t="s">
        <v>155</v>
      </c>
      <c r="B149">
        <v>4.2562999999999997E-2</v>
      </c>
      <c r="C149">
        <v>0.10856300000000001</v>
      </c>
      <c r="D149">
        <v>3.3162999999999998E-2</v>
      </c>
      <c r="E149">
        <v>0.108263</v>
      </c>
      <c r="F149">
        <v>3.8563E-2</v>
      </c>
      <c r="G149">
        <v>3.0763000000000002E-2</v>
      </c>
      <c r="H149">
        <v>1.8063000000000003E-2</v>
      </c>
      <c r="I149">
        <f t="shared" si="2"/>
        <v>-1.7268639140066745E-2</v>
      </c>
    </row>
    <row r="150" spans="1:9" x14ac:dyDescent="0.2">
      <c r="A150" t="s">
        <v>156</v>
      </c>
      <c r="B150">
        <v>0.15218799999999999</v>
      </c>
      <c r="C150">
        <v>9.8888000000000004E-2</v>
      </c>
      <c r="D150">
        <v>-6.5911999999999998E-2</v>
      </c>
      <c r="E150">
        <v>-0.100712</v>
      </c>
      <c r="F150">
        <v>-3.1312E-2</v>
      </c>
      <c r="G150">
        <v>-9.9120000000000007E-3</v>
      </c>
      <c r="H150">
        <v>2.0787999999999997E-2</v>
      </c>
      <c r="I150">
        <f t="shared" si="2"/>
        <v>-3.6829040726773413E-2</v>
      </c>
    </row>
    <row r="151" spans="1:9" x14ac:dyDescent="0.2">
      <c r="A151" t="s">
        <v>157</v>
      </c>
      <c r="B151">
        <v>-1.3413000000000001E-2</v>
      </c>
      <c r="C151">
        <v>-1.7113E-2</v>
      </c>
      <c r="D151">
        <v>1.1686999999999999E-2</v>
      </c>
      <c r="E151">
        <v>3.8386999999999998E-2</v>
      </c>
      <c r="F151">
        <v>-4.7130000000000002E-3</v>
      </c>
      <c r="G151">
        <v>-9.2130000000000007E-3</v>
      </c>
      <c r="H151">
        <v>-1.5013E-2</v>
      </c>
      <c r="I151">
        <f t="shared" si="2"/>
        <v>-6.8089198348896367E-3</v>
      </c>
    </row>
    <row r="152" spans="1:9" x14ac:dyDescent="0.2">
      <c r="A152" t="s">
        <v>158</v>
      </c>
      <c r="B152">
        <v>9.7591000000000011E-2</v>
      </c>
      <c r="C152">
        <v>7.6891000000000001E-2</v>
      </c>
      <c r="D152">
        <v>8.8909999999999996E-3</v>
      </c>
      <c r="E152">
        <v>-7.2090000000000001E-3</v>
      </c>
      <c r="F152">
        <v>4.6290999999999999E-2</v>
      </c>
      <c r="G152">
        <v>3.4691E-2</v>
      </c>
      <c r="H152">
        <v>4.9491E-2</v>
      </c>
      <c r="I152">
        <f t="shared" si="2"/>
        <v>3.1435471858153125E-2</v>
      </c>
    </row>
    <row r="153" spans="1:9" x14ac:dyDescent="0.2">
      <c r="A153" t="s">
        <v>159</v>
      </c>
      <c r="B153">
        <v>-4.0909000000000001E-2</v>
      </c>
      <c r="C153">
        <v>-4.9909000000000002E-2</v>
      </c>
      <c r="D153">
        <v>-4.0809000000000005E-2</v>
      </c>
      <c r="E153">
        <v>-4.2409000000000002E-2</v>
      </c>
      <c r="F153">
        <v>-5.8009000000000005E-2</v>
      </c>
      <c r="G153">
        <v>-0.105809</v>
      </c>
      <c r="H153">
        <v>-3.1309000000000003E-2</v>
      </c>
      <c r="I153">
        <f t="shared" si="2"/>
        <v>-8.4845970006478089E-2</v>
      </c>
    </row>
    <row r="154" spans="1:9" x14ac:dyDescent="0.2">
      <c r="A154" t="s">
        <v>160</v>
      </c>
      <c r="B154">
        <v>4.1992000000000002E-2</v>
      </c>
      <c r="C154">
        <v>5.5492E-2</v>
      </c>
      <c r="D154">
        <v>-3.0799999999999995E-4</v>
      </c>
      <c r="E154">
        <v>-1.4907999999999999E-2</v>
      </c>
      <c r="F154">
        <v>1.3392000000000001E-2</v>
      </c>
      <c r="G154">
        <v>1.0592000000000001E-2</v>
      </c>
      <c r="H154">
        <v>2.9791999999999999E-2</v>
      </c>
      <c r="I154">
        <f t="shared" si="2"/>
        <v>-2.004601052957064E-3</v>
      </c>
    </row>
    <row r="155" spans="1:9" x14ac:dyDescent="0.2">
      <c r="A155" t="s">
        <v>161</v>
      </c>
      <c r="B155">
        <v>2.0083E-2</v>
      </c>
      <c r="C155">
        <v>2.7182999999999999E-2</v>
      </c>
      <c r="D155">
        <v>8.4883E-2</v>
      </c>
      <c r="E155">
        <v>9.4583E-2</v>
      </c>
      <c r="F155">
        <v>3.7682999999999994E-2</v>
      </c>
      <c r="G155">
        <v>1.2683E-2</v>
      </c>
      <c r="H155">
        <v>4.4582999999999998E-2</v>
      </c>
      <c r="I155">
        <f t="shared" si="2"/>
        <v>2.1508943163586907E-2</v>
      </c>
    </row>
    <row r="156" spans="1:9" x14ac:dyDescent="0.2">
      <c r="A156" t="s">
        <v>162</v>
      </c>
      <c r="B156">
        <v>-1.8319999999999999E-3</v>
      </c>
      <c r="C156">
        <v>4.8168000000000002E-2</v>
      </c>
      <c r="D156">
        <v>-2.7332000000000002E-2</v>
      </c>
      <c r="E156">
        <v>-1.7632000000000002E-2</v>
      </c>
      <c r="F156">
        <v>5.5468000000000003E-2</v>
      </c>
      <c r="G156">
        <v>-6.9319999999999998E-3</v>
      </c>
      <c r="H156">
        <v>2.7968E-2</v>
      </c>
      <c r="I156">
        <f t="shared" si="2"/>
        <v>-4.1721074774760374E-3</v>
      </c>
    </row>
    <row r="157" spans="1:9" x14ac:dyDescent="0.2">
      <c r="A157" t="s">
        <v>163</v>
      </c>
      <c r="B157">
        <v>-9.6623000000000001E-2</v>
      </c>
      <c r="C157">
        <v>5.5277E-2</v>
      </c>
      <c r="D157">
        <v>-1.423E-3</v>
      </c>
      <c r="E157">
        <v>-9.7230000000000007E-3</v>
      </c>
      <c r="F157">
        <v>-2.2922999999999999E-2</v>
      </c>
      <c r="G157">
        <v>-1.0323000000000001E-2</v>
      </c>
      <c r="H157">
        <v>2.3577000000000001E-2</v>
      </c>
      <c r="I157">
        <f t="shared" si="2"/>
        <v>-5.7279981574784644E-2</v>
      </c>
    </row>
    <row r="158" spans="1:9" x14ac:dyDescent="0.2">
      <c r="A158" t="s">
        <v>164</v>
      </c>
      <c r="B158">
        <v>-2.2512000000000001E-2</v>
      </c>
      <c r="C158">
        <v>-0.117212</v>
      </c>
      <c r="D158">
        <v>-3.9612000000000001E-2</v>
      </c>
      <c r="E158">
        <v>-1.2112E-2</v>
      </c>
      <c r="F158">
        <v>-5.1011999999999995E-2</v>
      </c>
      <c r="G158">
        <v>-0.104812</v>
      </c>
      <c r="H158">
        <v>-3.5611999999999998E-2</v>
      </c>
      <c r="I158">
        <f t="shared" si="2"/>
        <v>-3.4914898508891026E-2</v>
      </c>
    </row>
    <row r="159" spans="1:9" x14ac:dyDescent="0.2">
      <c r="A159" t="s">
        <v>165</v>
      </c>
      <c r="B159">
        <v>2.8655E-2</v>
      </c>
      <c r="C159">
        <v>3.2550000000000001E-3</v>
      </c>
      <c r="D159">
        <v>-4.1745000000000004E-2</v>
      </c>
      <c r="E159">
        <v>-9.2449999999999997E-3</v>
      </c>
      <c r="F159">
        <v>2.5499999999999996E-4</v>
      </c>
      <c r="G159">
        <v>0.112555</v>
      </c>
      <c r="H159">
        <v>4.3054999999999996E-2</v>
      </c>
      <c r="I159">
        <f t="shared" si="2"/>
        <v>0.11863482624870146</v>
      </c>
    </row>
    <row r="160" spans="1:9" x14ac:dyDescent="0.2">
      <c r="A160" t="s">
        <v>166</v>
      </c>
      <c r="B160">
        <v>1.3571999999999999E-2</v>
      </c>
      <c r="C160">
        <v>-4.0828000000000003E-2</v>
      </c>
      <c r="D160">
        <v>9.8271999999999998E-2</v>
      </c>
      <c r="E160">
        <v>-2.2800000000000001E-4</v>
      </c>
      <c r="F160">
        <v>2.9672E-2</v>
      </c>
      <c r="G160">
        <v>-3.2528000000000001E-2</v>
      </c>
      <c r="H160">
        <v>6.8719999999999996E-3</v>
      </c>
      <c r="I160">
        <f t="shared" si="2"/>
        <v>-5.2753928935584705E-4</v>
      </c>
    </row>
    <row r="161" spans="1:9" x14ac:dyDescent="0.2">
      <c r="A161" t="s">
        <v>167</v>
      </c>
      <c r="B161">
        <v>4.3284999999999997E-2</v>
      </c>
      <c r="C161">
        <v>1.6849999999999999E-3</v>
      </c>
      <c r="D161">
        <v>3.1184999999999997E-2</v>
      </c>
      <c r="E161">
        <v>-6.9150000000000001E-3</v>
      </c>
      <c r="F161">
        <v>4.2885E-2</v>
      </c>
      <c r="G161">
        <v>2.0485E-2</v>
      </c>
      <c r="H161">
        <v>6.1849999999999995E-3</v>
      </c>
      <c r="I161">
        <f t="shared" si="2"/>
        <v>3.2257500767673579E-2</v>
      </c>
    </row>
    <row r="162" spans="1:9" x14ac:dyDescent="0.2">
      <c r="A162" t="s">
        <v>168</v>
      </c>
      <c r="B162">
        <v>1.7991999999999998E-2</v>
      </c>
      <c r="C162">
        <v>2.8919999999999996E-3</v>
      </c>
      <c r="D162">
        <v>-6.4080000000000005E-3</v>
      </c>
      <c r="E162">
        <v>6.9092000000000001E-2</v>
      </c>
      <c r="F162">
        <v>-3.1008000000000001E-2</v>
      </c>
      <c r="G162">
        <v>-7.400799999999999E-2</v>
      </c>
      <c r="H162">
        <v>2.0992E-2</v>
      </c>
      <c r="I162">
        <f t="shared" si="2"/>
        <v>-4.7218952448867473E-2</v>
      </c>
    </row>
    <row r="163" spans="1:9" x14ac:dyDescent="0.2">
      <c r="A163" t="s">
        <v>169</v>
      </c>
      <c r="B163">
        <v>4.8680000000000001E-2</v>
      </c>
      <c r="C163">
        <v>5.8380000000000001E-2</v>
      </c>
      <c r="D163">
        <v>-3.1199999999999999E-3</v>
      </c>
      <c r="E163">
        <v>-2.0619999999999999E-2</v>
      </c>
      <c r="F163">
        <v>-2.2120000000000001E-2</v>
      </c>
      <c r="G163">
        <v>2.0980000000000002E-2</v>
      </c>
      <c r="H163">
        <v>1.908E-2</v>
      </c>
      <c r="I163">
        <f t="shared" si="2"/>
        <v>-9.814505885736546E-3</v>
      </c>
    </row>
    <row r="164" spans="1:9" x14ac:dyDescent="0.2">
      <c r="A164" t="s">
        <v>170</v>
      </c>
      <c r="B164">
        <v>-5.7130000000000002E-3</v>
      </c>
      <c r="C164">
        <v>-6.8312999999999999E-2</v>
      </c>
      <c r="D164">
        <v>1.9487000000000001E-2</v>
      </c>
      <c r="E164">
        <v>4.1687000000000002E-2</v>
      </c>
      <c r="F164">
        <v>-1.9813000000000001E-2</v>
      </c>
      <c r="G164">
        <v>2.8287E-2</v>
      </c>
      <c r="H164">
        <v>-1.5113000000000001E-2</v>
      </c>
      <c r="I164">
        <f t="shared" si="2"/>
        <v>5.1738528752318012E-2</v>
      </c>
    </row>
    <row r="165" spans="1:9" x14ac:dyDescent="0.2">
      <c r="A165" t="s">
        <v>171</v>
      </c>
      <c r="B165">
        <v>2.2897000000000001E-2</v>
      </c>
      <c r="C165">
        <v>2.8997000000000002E-2</v>
      </c>
      <c r="D165">
        <v>-1.7703E-2</v>
      </c>
      <c r="E165">
        <v>-1.1903E-2</v>
      </c>
      <c r="F165">
        <v>3.2696999999999997E-2</v>
      </c>
      <c r="G165">
        <v>1.6997000000000002E-2</v>
      </c>
      <c r="H165">
        <v>3.7696999999999994E-2</v>
      </c>
      <c r="I165">
        <f t="shared" si="2"/>
        <v>2.9081635511912972E-2</v>
      </c>
    </row>
    <row r="166" spans="1:9" x14ac:dyDescent="0.2">
      <c r="A166" t="s">
        <v>172</v>
      </c>
      <c r="B166">
        <v>-0.150504</v>
      </c>
      <c r="C166">
        <v>-7.3903999999999997E-2</v>
      </c>
      <c r="D166">
        <v>7.9959999999999996E-3</v>
      </c>
      <c r="E166">
        <v>3.3959999999999997E-3</v>
      </c>
      <c r="F166">
        <v>1.2796E-2</v>
      </c>
      <c r="G166">
        <v>4.3396000000000004E-2</v>
      </c>
      <c r="H166">
        <v>-1.5504E-2</v>
      </c>
      <c r="I166">
        <f t="shared" si="2"/>
        <v>4.7179477923403899E-2</v>
      </c>
    </row>
    <row r="167" spans="1:9" x14ac:dyDescent="0.2">
      <c r="A167" t="s">
        <v>173</v>
      </c>
      <c r="B167">
        <v>-3.8811999999999999E-2</v>
      </c>
      <c r="C167">
        <v>-1.6912E-2</v>
      </c>
      <c r="D167">
        <v>1.588E-3</v>
      </c>
      <c r="E167">
        <v>1.6287999999999997E-2</v>
      </c>
      <c r="F167">
        <v>-2.6119999999999997E-3</v>
      </c>
      <c r="G167">
        <v>-1.3712E-2</v>
      </c>
      <c r="H167">
        <v>2.3187999999999997E-2</v>
      </c>
      <c r="I167">
        <f t="shared" si="2"/>
        <v>5.1318722878069016E-3</v>
      </c>
    </row>
    <row r="168" spans="1:9" x14ac:dyDescent="0.2">
      <c r="A168" t="s">
        <v>174</v>
      </c>
      <c r="B168">
        <v>0.116401</v>
      </c>
      <c r="C168">
        <v>6.4601000000000006E-2</v>
      </c>
      <c r="D168">
        <v>1.5500999999999999E-2</v>
      </c>
      <c r="E168">
        <v>6.8009999999999998E-3</v>
      </c>
      <c r="F168">
        <v>0.14780099999999999</v>
      </c>
      <c r="G168">
        <v>0.20630100000000001</v>
      </c>
      <c r="H168">
        <v>2.4501000000000002E-2</v>
      </c>
      <c r="I168">
        <f t="shared" si="2"/>
        <v>0.19005284667143468</v>
      </c>
    </row>
    <row r="169" spans="1:9" x14ac:dyDescent="0.2">
      <c r="A169" t="s">
        <v>175</v>
      </c>
      <c r="B169">
        <v>-1.4605E-2</v>
      </c>
      <c r="C169">
        <v>5.3895000000000005E-2</v>
      </c>
      <c r="D169">
        <v>-5.0604999999999997E-2</v>
      </c>
      <c r="E169">
        <v>-7.5305000000000011E-2</v>
      </c>
      <c r="F169">
        <v>-1.3405E-2</v>
      </c>
      <c r="G169">
        <v>2.5794999999999998E-2</v>
      </c>
      <c r="H169">
        <v>-4.2049999999999995E-3</v>
      </c>
      <c r="I169">
        <f t="shared" si="2"/>
        <v>-2.0794202549861356E-2</v>
      </c>
    </row>
    <row r="170" spans="1:9" x14ac:dyDescent="0.2">
      <c r="A170" t="s">
        <v>176</v>
      </c>
      <c r="B170">
        <v>-4.1112999999999997E-2</v>
      </c>
      <c r="C170">
        <v>-6.5613000000000005E-2</v>
      </c>
      <c r="D170">
        <v>-6.1130000000000004E-3</v>
      </c>
      <c r="E170">
        <v>-1.1213000000000001E-2</v>
      </c>
      <c r="F170">
        <v>-1.0513000000000002E-2</v>
      </c>
      <c r="G170">
        <v>-3.0313E-2</v>
      </c>
      <c r="H170">
        <v>-3.1012999999999999E-2</v>
      </c>
      <c r="I170">
        <f t="shared" si="2"/>
        <v>-6.9599933970053429E-3</v>
      </c>
    </row>
    <row r="171" spans="1:9" x14ac:dyDescent="0.2">
      <c r="A171" t="s">
        <v>177</v>
      </c>
      <c r="B171">
        <v>0.11082099999999999</v>
      </c>
      <c r="C171">
        <v>0.143821</v>
      </c>
      <c r="D171">
        <v>4.9820999999999997E-2</v>
      </c>
      <c r="E171">
        <v>8.1820999999999991E-2</v>
      </c>
      <c r="F171">
        <v>-1.2378999999999999E-2</v>
      </c>
      <c r="G171">
        <v>5.0921000000000001E-2</v>
      </c>
      <c r="H171">
        <v>5.4920999999999998E-2</v>
      </c>
      <c r="I171">
        <f t="shared" si="2"/>
        <v>-1.130580698408391E-2</v>
      </c>
    </row>
    <row r="172" spans="1:9" x14ac:dyDescent="0.2">
      <c r="A172" t="s">
        <v>178</v>
      </c>
      <c r="B172">
        <v>-1.2192000000000001E-2</v>
      </c>
      <c r="C172">
        <v>1.3108E-2</v>
      </c>
      <c r="D172">
        <v>-5.5292000000000001E-2</v>
      </c>
      <c r="E172">
        <v>-1.6591999999999999E-2</v>
      </c>
      <c r="F172">
        <v>-1.4092E-2</v>
      </c>
      <c r="G172">
        <v>6.8207999999999991E-2</v>
      </c>
      <c r="H172">
        <v>-1.7391999999999998E-2</v>
      </c>
      <c r="I172">
        <f t="shared" si="2"/>
        <v>3.6864758772153013E-2</v>
      </c>
    </row>
    <row r="173" spans="1:9" x14ac:dyDescent="0.2">
      <c r="A173" t="s">
        <v>179</v>
      </c>
      <c r="B173">
        <v>-1.1929E-2</v>
      </c>
      <c r="C173">
        <v>-6.5129000000000006E-2</v>
      </c>
      <c r="D173">
        <v>7.6171000000000003E-2</v>
      </c>
      <c r="E173">
        <v>4.8771000000000002E-2</v>
      </c>
      <c r="F173">
        <v>-5.1129000000000001E-2</v>
      </c>
      <c r="G173">
        <v>-3.9529000000000002E-2</v>
      </c>
      <c r="H173">
        <v>8.4710000000000011E-3</v>
      </c>
      <c r="I173">
        <f t="shared" si="2"/>
        <v>-9.2030489632775256E-3</v>
      </c>
    </row>
    <row r="174" spans="1:9" x14ac:dyDescent="0.2">
      <c r="A174" t="s">
        <v>180</v>
      </c>
      <c r="B174">
        <v>-3.9895E-2</v>
      </c>
      <c r="C174">
        <v>2.6005E-2</v>
      </c>
      <c r="D174">
        <v>-2.895E-3</v>
      </c>
      <c r="E174">
        <v>-1.9795E-2</v>
      </c>
      <c r="F174">
        <v>-4.2395000000000002E-2</v>
      </c>
      <c r="G174">
        <v>1.2905E-2</v>
      </c>
      <c r="H174">
        <v>1.0505E-2</v>
      </c>
      <c r="I174">
        <f t="shared" si="2"/>
        <v>-2.1878913004645631E-2</v>
      </c>
    </row>
    <row r="175" spans="1:9" x14ac:dyDescent="0.2">
      <c r="A175" t="s">
        <v>181</v>
      </c>
      <c r="B175">
        <v>-1.0504000000000001E-2</v>
      </c>
      <c r="C175">
        <v>-6.3904000000000002E-2</v>
      </c>
      <c r="D175">
        <v>2.8396000000000001E-2</v>
      </c>
      <c r="E175">
        <v>-5.7203999999999998E-2</v>
      </c>
      <c r="F175">
        <v>-4.5003999999999995E-2</v>
      </c>
      <c r="G175">
        <v>2.9096E-2</v>
      </c>
      <c r="H175">
        <v>-2.1004000000000002E-2</v>
      </c>
      <c r="I175">
        <f t="shared" si="2"/>
        <v>3.0237343044781845E-2</v>
      </c>
    </row>
    <row r="176" spans="1:9" x14ac:dyDescent="0.2">
      <c r="A176" t="s">
        <v>182</v>
      </c>
      <c r="B176">
        <v>-2.163E-3</v>
      </c>
      <c r="C176">
        <v>-5.4563E-2</v>
      </c>
      <c r="D176">
        <v>-8.6629999999999988E-3</v>
      </c>
      <c r="E176">
        <v>1.5736999999999998E-2</v>
      </c>
      <c r="F176">
        <v>1.4837000000000001E-2</v>
      </c>
      <c r="G176">
        <v>2.7370000000000003E-3</v>
      </c>
      <c r="H176">
        <v>1.9736999999999998E-2</v>
      </c>
      <c r="I176">
        <f t="shared" si="2"/>
        <v>5.4167432433472225E-2</v>
      </c>
    </row>
    <row r="177" spans="1:9" x14ac:dyDescent="0.2">
      <c r="A177" t="s">
        <v>183</v>
      </c>
      <c r="B177">
        <v>-6.4726999999999993E-2</v>
      </c>
      <c r="C177">
        <v>-6.5726999999999994E-2</v>
      </c>
      <c r="D177">
        <v>-4.4326999999999998E-2</v>
      </c>
      <c r="E177">
        <v>-1.6726999999999999E-2</v>
      </c>
      <c r="F177">
        <v>-9.4727000000000006E-2</v>
      </c>
      <c r="G177">
        <v>-4.3826999999999998E-2</v>
      </c>
      <c r="H177">
        <v>-6.2627000000000002E-2</v>
      </c>
      <c r="I177">
        <f t="shared" si="2"/>
        <v>-5.523861843212545E-2</v>
      </c>
    </row>
    <row r="178" spans="1:9" x14ac:dyDescent="0.2">
      <c r="A178" t="s">
        <v>184</v>
      </c>
      <c r="B178">
        <v>-2.1594000000000002E-2</v>
      </c>
      <c r="C178">
        <v>3.1905999999999997E-2</v>
      </c>
      <c r="D178">
        <v>-1.8694000000000002E-2</v>
      </c>
      <c r="E178">
        <v>-5.4294000000000002E-2</v>
      </c>
      <c r="F178">
        <v>1.7059999999999998E-3</v>
      </c>
      <c r="G178">
        <v>1.2206000000000002E-2</v>
      </c>
      <c r="H178">
        <v>-2.6394000000000001E-2</v>
      </c>
      <c r="I178">
        <f t="shared" si="2"/>
        <v>-2.9395199358050017E-2</v>
      </c>
    </row>
    <row r="179" spans="1:9" x14ac:dyDescent="0.2">
      <c r="A179" t="s">
        <v>185</v>
      </c>
      <c r="B179">
        <v>0.102327</v>
      </c>
      <c r="C179">
        <v>0.16292699999999999</v>
      </c>
      <c r="D179">
        <v>4.3126999999999999E-2</v>
      </c>
      <c r="E179">
        <v>9.1327000000000005E-2</v>
      </c>
      <c r="F179">
        <v>-0.117173</v>
      </c>
      <c r="G179">
        <v>-1.8773000000000001E-2</v>
      </c>
      <c r="H179">
        <v>8.3027000000000004E-2</v>
      </c>
      <c r="I179">
        <f t="shared" si="2"/>
        <v>-9.1605123043342826E-2</v>
      </c>
    </row>
    <row r="180" spans="1:9" x14ac:dyDescent="0.2">
      <c r="A180" t="s">
        <v>186</v>
      </c>
      <c r="B180">
        <v>-3.2419999999999997E-2</v>
      </c>
      <c r="C180">
        <v>3.6979999999999999E-2</v>
      </c>
      <c r="D180">
        <v>4.7799999999999995E-3</v>
      </c>
      <c r="E180">
        <v>-3.0519999999999999E-2</v>
      </c>
      <c r="F180">
        <v>2.7980000000000001E-2</v>
      </c>
      <c r="G180">
        <v>-5.3420000000000002E-2</v>
      </c>
      <c r="H180">
        <v>4.8000000000000001E-4</v>
      </c>
      <c r="I180">
        <f t="shared" si="2"/>
        <v>-6.6524200107546907E-2</v>
      </c>
    </row>
    <row r="181" spans="1:9" x14ac:dyDescent="0.2">
      <c r="A181" t="s">
        <v>187</v>
      </c>
      <c r="B181">
        <v>-1.6802999999999998E-2</v>
      </c>
      <c r="C181">
        <v>-5.1003E-2</v>
      </c>
      <c r="D181">
        <v>2.1897E-2</v>
      </c>
      <c r="E181">
        <v>1.6796999999999999E-2</v>
      </c>
      <c r="F181">
        <v>5.0497E-2</v>
      </c>
      <c r="G181">
        <v>1.397E-3</v>
      </c>
      <c r="H181">
        <v>-1.7603000000000001E-2</v>
      </c>
      <c r="I181">
        <f t="shared" si="2"/>
        <v>3.3492764603749649E-2</v>
      </c>
    </row>
    <row r="182" spans="1:9" x14ac:dyDescent="0.2">
      <c r="A182" t="s">
        <v>188</v>
      </c>
      <c r="B182">
        <v>-0.12403699999999999</v>
      </c>
      <c r="C182">
        <v>-0.12853700000000001</v>
      </c>
      <c r="D182">
        <v>6.266300000000001E-2</v>
      </c>
      <c r="E182">
        <v>9.4563000000000008E-2</v>
      </c>
      <c r="F182">
        <v>8.2463000000000009E-2</v>
      </c>
      <c r="G182">
        <v>-2.637E-3</v>
      </c>
      <c r="H182">
        <v>-5.0737000000000004E-2</v>
      </c>
      <c r="I182">
        <f t="shared" si="2"/>
        <v>5.0719348349522346E-2</v>
      </c>
    </row>
    <row r="183" spans="1:9" x14ac:dyDescent="0.2">
      <c r="A183" t="s">
        <v>189</v>
      </c>
      <c r="B183">
        <v>4.7495000000000002E-2</v>
      </c>
      <c r="C183">
        <v>-6.9050000000000005E-3</v>
      </c>
      <c r="D183">
        <v>2.4494999999999999E-2</v>
      </c>
      <c r="E183">
        <v>1.4995E-2</v>
      </c>
      <c r="F183">
        <v>-5.0500000000000002E-4</v>
      </c>
      <c r="G183">
        <v>9.1694999999999999E-2</v>
      </c>
      <c r="H183">
        <v>-4.3050000000000007E-3</v>
      </c>
      <c r="I183">
        <f t="shared" si="2"/>
        <v>7.8806288392468893E-2</v>
      </c>
    </row>
    <row r="184" spans="1:9" x14ac:dyDescent="0.2">
      <c r="A184" t="s">
        <v>190</v>
      </c>
      <c r="B184">
        <v>7.8910000000000008E-2</v>
      </c>
      <c r="C184">
        <v>8.0710000000000004E-2</v>
      </c>
      <c r="D184">
        <v>5.9909999999999998E-2</v>
      </c>
      <c r="E184">
        <v>6.5810000000000007E-2</v>
      </c>
      <c r="F184">
        <v>3.9909999999999994E-2</v>
      </c>
      <c r="G184">
        <v>4.861E-2</v>
      </c>
      <c r="H184">
        <v>6.5810000000000007E-2</v>
      </c>
      <c r="I184">
        <f t="shared" si="2"/>
        <v>3.9222110090251248E-2</v>
      </c>
    </row>
    <row r="185" spans="1:9" x14ac:dyDescent="0.2">
      <c r="A185" t="s">
        <v>191</v>
      </c>
      <c r="B185">
        <v>1.5448999999999999E-2</v>
      </c>
      <c r="C185">
        <v>1.1748999999999999E-2</v>
      </c>
      <c r="D185">
        <v>3.349E-3</v>
      </c>
      <c r="E185">
        <v>-4.8150999999999999E-2</v>
      </c>
      <c r="F185">
        <v>-2.3750999999999998E-2</v>
      </c>
      <c r="G185">
        <v>-3.3850999999999999E-2</v>
      </c>
      <c r="H185">
        <v>2.6490000000000003E-3</v>
      </c>
      <c r="I185">
        <f t="shared" si="2"/>
        <v>-3.9829097909777331E-2</v>
      </c>
    </row>
    <row r="186" spans="1:9" x14ac:dyDescent="0.2">
      <c r="A186" t="s">
        <v>192</v>
      </c>
      <c r="B186">
        <v>-5.3149999999999994E-3</v>
      </c>
      <c r="C186">
        <v>-1.6515000000000002E-2</v>
      </c>
      <c r="D186">
        <v>8.3850000000000001E-3</v>
      </c>
      <c r="E186">
        <v>-9.1500000000000001E-4</v>
      </c>
      <c r="F186">
        <v>6.6284999999999997E-2</v>
      </c>
      <c r="G186">
        <v>-0.128415</v>
      </c>
      <c r="H186">
        <v>1.5184999999999999E-2</v>
      </c>
      <c r="I186">
        <f t="shared" si="2"/>
        <v>-6.4487022056241641E-2</v>
      </c>
    </row>
    <row r="187" spans="1:9" x14ac:dyDescent="0.2">
      <c r="A187" t="s">
        <v>193</v>
      </c>
      <c r="B187">
        <v>-6.838799999999999E-2</v>
      </c>
      <c r="C187">
        <v>-8.3787999999999987E-2</v>
      </c>
      <c r="D187">
        <v>0.10351200000000001</v>
      </c>
      <c r="E187">
        <v>9.6912000000000012E-2</v>
      </c>
      <c r="F187">
        <v>3.1412000000000002E-2</v>
      </c>
      <c r="G187">
        <v>1.4912E-2</v>
      </c>
      <c r="H187">
        <v>7.1199999999999996E-4</v>
      </c>
      <c r="I187">
        <f t="shared" si="2"/>
        <v>5.1470395003868422E-2</v>
      </c>
    </row>
    <row r="188" spans="1:9" x14ac:dyDescent="0.2">
      <c r="A188" t="s">
        <v>194</v>
      </c>
      <c r="B188">
        <v>1.7929E-2</v>
      </c>
      <c r="C188">
        <v>0.114329</v>
      </c>
      <c r="D188">
        <v>1.2829E-2</v>
      </c>
      <c r="E188">
        <v>2.1289999999999998E-3</v>
      </c>
      <c r="F188">
        <v>-8.7100000000000003E-4</v>
      </c>
      <c r="G188">
        <v>7.8728999999999993E-2</v>
      </c>
      <c r="H188">
        <v>3.5429000000000002E-2</v>
      </c>
      <c r="I188">
        <f t="shared" si="2"/>
        <v>5.2915868243694208E-3</v>
      </c>
    </row>
    <row r="189" spans="1:9" x14ac:dyDescent="0.2">
      <c r="A189" t="s">
        <v>195</v>
      </c>
      <c r="B189">
        <v>-4.8650000000000004E-3</v>
      </c>
      <c r="C189">
        <v>1.1835E-2</v>
      </c>
      <c r="D189">
        <v>-5.5864999999999998E-2</v>
      </c>
      <c r="E189">
        <v>-5.5764999999999995E-2</v>
      </c>
      <c r="F189">
        <v>-1.4465E-2</v>
      </c>
      <c r="G189">
        <v>-6.0964999999999998E-2</v>
      </c>
      <c r="H189">
        <v>-1.3649999999999999E-3</v>
      </c>
      <c r="I189">
        <f t="shared" si="2"/>
        <v>-5.4776578549888696E-2</v>
      </c>
    </row>
    <row r="190" spans="1:9" x14ac:dyDescent="0.2">
      <c r="A190" t="s">
        <v>196</v>
      </c>
      <c r="B190">
        <v>-4.2318999999999996E-2</v>
      </c>
      <c r="C190">
        <v>6.9809999999999994E-3</v>
      </c>
      <c r="D190">
        <v>-6.8190000000000004E-3</v>
      </c>
      <c r="E190">
        <v>-6.9189999999999998E-3</v>
      </c>
      <c r="F190">
        <v>9.2809999999999993E-3</v>
      </c>
      <c r="G190">
        <v>-2.1718999999999999E-2</v>
      </c>
      <c r="H190">
        <v>-1.4189999999999999E-3</v>
      </c>
      <c r="I190">
        <f t="shared" si="2"/>
        <v>-2.6945328493071866E-2</v>
      </c>
    </row>
    <row r="191" spans="1:9" x14ac:dyDescent="0.2">
      <c r="A191" t="s">
        <v>197</v>
      </c>
      <c r="B191">
        <v>-1.5167999999999999E-2</v>
      </c>
      <c r="C191">
        <v>-5.568E-3</v>
      </c>
      <c r="D191">
        <v>-8.3168000000000006E-2</v>
      </c>
      <c r="E191">
        <v>-6.4168000000000003E-2</v>
      </c>
      <c r="F191">
        <v>-2.9268000000000002E-2</v>
      </c>
      <c r="G191">
        <v>5.3199999999999992E-4</v>
      </c>
      <c r="H191">
        <v>-1.9568000000000002E-2</v>
      </c>
      <c r="I191">
        <f t="shared" si="2"/>
        <v>-7.4997494142012774E-3</v>
      </c>
    </row>
    <row r="192" spans="1:9" x14ac:dyDescent="0.2">
      <c r="A192" t="s">
        <v>198</v>
      </c>
      <c r="B192">
        <v>1.8564000000000001E-2</v>
      </c>
      <c r="C192">
        <v>9.2564000000000007E-2</v>
      </c>
      <c r="D192">
        <v>4.9864000000000006E-2</v>
      </c>
      <c r="E192">
        <v>3.7264000000000005E-2</v>
      </c>
      <c r="F192">
        <v>5.764E-3</v>
      </c>
      <c r="G192">
        <v>0.13306400000000002</v>
      </c>
      <c r="H192">
        <v>3.4064000000000004E-2</v>
      </c>
      <c r="I192">
        <f t="shared" si="2"/>
        <v>5.8813005608938596E-2</v>
      </c>
    </row>
    <row r="193" spans="1:9" x14ac:dyDescent="0.2">
      <c r="A193" t="s">
        <v>199</v>
      </c>
      <c r="B193">
        <v>1.3961000000000001E-2</v>
      </c>
      <c r="C193">
        <v>1.9761000000000001E-2</v>
      </c>
      <c r="D193">
        <v>0.100761</v>
      </c>
      <c r="E193">
        <v>6.9460999999999995E-2</v>
      </c>
      <c r="F193">
        <v>-1.1838999999999999E-2</v>
      </c>
      <c r="G193">
        <v>-6.5139000000000002E-2</v>
      </c>
      <c r="H193">
        <v>1.7961000000000001E-2</v>
      </c>
      <c r="I193">
        <f t="shared" si="2"/>
        <v>-6.6447096348087001E-2</v>
      </c>
    </row>
    <row r="194" spans="1:9" x14ac:dyDescent="0.2">
      <c r="A194" t="s">
        <v>200</v>
      </c>
      <c r="B194">
        <v>3.5042000000000004E-2</v>
      </c>
      <c r="C194">
        <v>5.0442000000000001E-2</v>
      </c>
      <c r="D194">
        <v>2.7419999999999996E-3</v>
      </c>
      <c r="E194">
        <v>-7.2258000000000003E-2</v>
      </c>
      <c r="F194">
        <v>-3.4757999999999997E-2</v>
      </c>
      <c r="G194">
        <v>-0.107658</v>
      </c>
      <c r="H194">
        <v>1.7541999999999999E-2</v>
      </c>
      <c r="I194">
        <f t="shared" si="2"/>
        <v>-0.115088508846393</v>
      </c>
    </row>
    <row r="195" spans="1:9" x14ac:dyDescent="0.2">
      <c r="A195" t="s">
        <v>201</v>
      </c>
      <c r="B195">
        <v>1.3436E-2</v>
      </c>
      <c r="C195">
        <v>5.9360000000000003E-3</v>
      </c>
      <c r="D195">
        <v>-9.1640000000000003E-3</v>
      </c>
      <c r="E195">
        <v>1.2336E-2</v>
      </c>
      <c r="F195">
        <v>6.2435999999999992E-2</v>
      </c>
      <c r="G195">
        <v>-8.0464000000000008E-2</v>
      </c>
      <c r="H195">
        <v>3.6835999999999994E-2</v>
      </c>
      <c r="I195">
        <f t="shared" ref="I195:I253" si="3">SUMPRODUCT(B195:H195,$N$6:$T$6)</f>
        <v>-2.4690364078331768E-2</v>
      </c>
    </row>
    <row r="196" spans="1:9" x14ac:dyDescent="0.2">
      <c r="A196" t="s">
        <v>202</v>
      </c>
      <c r="B196">
        <v>-7.1353E-2</v>
      </c>
      <c r="C196">
        <v>-3.0752999999999999E-2</v>
      </c>
      <c r="D196">
        <v>-6.0530000000000002E-3</v>
      </c>
      <c r="E196">
        <v>-1.8053E-2</v>
      </c>
      <c r="F196">
        <v>2.3247E-2</v>
      </c>
      <c r="G196">
        <v>-6.1253000000000002E-2</v>
      </c>
      <c r="H196">
        <v>-7.5299999999999998E-4</v>
      </c>
      <c r="I196">
        <f t="shared" si="3"/>
        <v>-3.5005101048337026E-2</v>
      </c>
    </row>
    <row r="197" spans="1:9" x14ac:dyDescent="0.2">
      <c r="A197" t="s">
        <v>203</v>
      </c>
      <c r="B197">
        <v>-1.8370000000000001E-3</v>
      </c>
      <c r="C197">
        <v>-2.0937000000000001E-2</v>
      </c>
      <c r="D197">
        <v>-3.5237000000000004E-2</v>
      </c>
      <c r="E197">
        <v>-4.7537000000000003E-2</v>
      </c>
      <c r="F197">
        <v>4.2462999999999994E-2</v>
      </c>
      <c r="G197">
        <v>1.1463000000000001E-2</v>
      </c>
      <c r="H197">
        <v>8.5630000000000012E-3</v>
      </c>
      <c r="I197">
        <f t="shared" si="3"/>
        <v>4.0853433075296097E-2</v>
      </c>
    </row>
    <row r="198" spans="1:9" x14ac:dyDescent="0.2">
      <c r="A198" t="s">
        <v>204</v>
      </c>
      <c r="B198">
        <v>-3.1113999999999999E-2</v>
      </c>
      <c r="C198">
        <v>-2.1114000000000001E-2</v>
      </c>
      <c r="D198">
        <v>-2.8413999999999998E-2</v>
      </c>
      <c r="E198">
        <v>1.5286000000000001E-2</v>
      </c>
      <c r="F198">
        <v>5.1785999999999999E-2</v>
      </c>
      <c r="G198">
        <v>-2.4139999999999999E-3</v>
      </c>
      <c r="H198">
        <v>1.0985999999999999E-2</v>
      </c>
      <c r="I198">
        <f t="shared" si="3"/>
        <v>3.1680365828881611E-2</v>
      </c>
    </row>
    <row r="199" spans="1:9" x14ac:dyDescent="0.2">
      <c r="A199" t="s">
        <v>205</v>
      </c>
      <c r="B199">
        <v>5.6829999999999997E-3</v>
      </c>
      <c r="C199">
        <v>4.0282999999999999E-2</v>
      </c>
      <c r="D199">
        <v>-2.1416999999999999E-2</v>
      </c>
      <c r="E199">
        <v>-4.3117000000000003E-2</v>
      </c>
      <c r="F199">
        <v>-3.7816999999999996E-2</v>
      </c>
      <c r="G199">
        <v>-5.2517000000000001E-2</v>
      </c>
      <c r="H199">
        <v>4.1829999999999992E-3</v>
      </c>
      <c r="I199">
        <f t="shared" si="3"/>
        <v>-7.330668322277957E-2</v>
      </c>
    </row>
    <row r="200" spans="1:9" x14ac:dyDescent="0.2">
      <c r="A200" t="s">
        <v>206</v>
      </c>
      <c r="B200">
        <v>1.4777999999999999E-2</v>
      </c>
      <c r="C200">
        <v>2.9377999999999998E-2</v>
      </c>
      <c r="D200">
        <v>4.6578000000000001E-2</v>
      </c>
      <c r="E200">
        <v>9.7378000000000006E-2</v>
      </c>
      <c r="F200">
        <v>5.6278000000000002E-2</v>
      </c>
      <c r="G200">
        <v>8.3077999999999999E-2</v>
      </c>
      <c r="H200">
        <v>1.8578000000000001E-2</v>
      </c>
      <c r="I200">
        <f t="shared" si="3"/>
        <v>7.1559368797545209E-2</v>
      </c>
    </row>
    <row r="201" spans="1:9" x14ac:dyDescent="0.2">
      <c r="A201" t="s">
        <v>207</v>
      </c>
      <c r="B201">
        <v>-1.7727E-2</v>
      </c>
      <c r="C201">
        <v>1.4773E-2</v>
      </c>
      <c r="D201">
        <v>-4.0327000000000002E-2</v>
      </c>
      <c r="E201">
        <v>-9.7269999999999995E-3</v>
      </c>
      <c r="F201">
        <v>-1.8727000000000001E-2</v>
      </c>
      <c r="G201">
        <v>-2.7927E-2</v>
      </c>
      <c r="H201">
        <v>-3.2700000000000003E-4</v>
      </c>
      <c r="I201">
        <f t="shared" si="3"/>
        <v>-3.3792789800050294E-2</v>
      </c>
    </row>
    <row r="202" spans="1:9" x14ac:dyDescent="0.2">
      <c r="A202" t="s">
        <v>208</v>
      </c>
      <c r="B202">
        <v>8.4255999999999998E-2</v>
      </c>
      <c r="C202">
        <v>0.11555600000000001</v>
      </c>
      <c r="D202">
        <v>4.4656000000000001E-2</v>
      </c>
      <c r="E202">
        <v>3.0755999999999999E-2</v>
      </c>
      <c r="F202">
        <v>-4.4000000000000094E-5</v>
      </c>
      <c r="G202">
        <v>8.1255999999999995E-2</v>
      </c>
      <c r="H202">
        <v>1.8356000000000001E-2</v>
      </c>
      <c r="I202">
        <f t="shared" si="3"/>
        <v>7.2792689365333355E-3</v>
      </c>
    </row>
    <row r="203" spans="1:9" x14ac:dyDescent="0.2">
      <c r="A203" t="s">
        <v>209</v>
      </c>
      <c r="B203">
        <v>3.696E-2</v>
      </c>
      <c r="C203">
        <v>6.3560000000000005E-2</v>
      </c>
      <c r="D203">
        <v>-0.13084000000000001</v>
      </c>
      <c r="E203">
        <v>-2.1840000000000002E-2</v>
      </c>
      <c r="F203">
        <v>0.11656000000000001</v>
      </c>
      <c r="G203">
        <v>-3.4000000000000002E-4</v>
      </c>
      <c r="H203">
        <v>2.1360000000000001E-2</v>
      </c>
      <c r="I203">
        <f t="shared" si="3"/>
        <v>2.8756334502819954E-2</v>
      </c>
    </row>
    <row r="204" spans="1:9" x14ac:dyDescent="0.2">
      <c r="A204" t="s">
        <v>210</v>
      </c>
      <c r="B204">
        <v>1.9574000000000001E-2</v>
      </c>
      <c r="C204">
        <v>1.774E-3</v>
      </c>
      <c r="D204">
        <v>8.0274000000000012E-2</v>
      </c>
      <c r="E204">
        <v>6.2274000000000003E-2</v>
      </c>
      <c r="F204">
        <v>0.11277400000000001</v>
      </c>
      <c r="G204">
        <v>2.4174000000000001E-2</v>
      </c>
      <c r="H204">
        <v>2.7274E-2</v>
      </c>
      <c r="I204">
        <f t="shared" si="3"/>
        <v>5.711629907396823E-2</v>
      </c>
    </row>
    <row r="205" spans="1:9" x14ac:dyDescent="0.2">
      <c r="A205" t="s">
        <v>211</v>
      </c>
      <c r="B205">
        <v>-3.2839999999999996E-3</v>
      </c>
      <c r="C205">
        <v>-4.0984E-2</v>
      </c>
      <c r="D205">
        <v>6.7816000000000001E-2</v>
      </c>
      <c r="E205">
        <v>3.9215999999999994E-2</v>
      </c>
      <c r="F205">
        <v>2.0116000000000002E-2</v>
      </c>
      <c r="G205">
        <v>8.8416000000000008E-2</v>
      </c>
      <c r="H205">
        <v>8.9160000000000003E-3</v>
      </c>
      <c r="I205">
        <f t="shared" si="3"/>
        <v>9.5688923614894936E-2</v>
      </c>
    </row>
    <row r="206" spans="1:9" x14ac:dyDescent="0.2">
      <c r="A206" t="s">
        <v>212</v>
      </c>
      <c r="B206">
        <v>-0.10072099999999999</v>
      </c>
      <c r="C206">
        <v>3.3479000000000002E-2</v>
      </c>
      <c r="D206">
        <v>-2.5021000000000002E-2</v>
      </c>
      <c r="E206">
        <v>3.2079000000000003E-2</v>
      </c>
      <c r="F206">
        <v>7.8379000000000004E-2</v>
      </c>
      <c r="G206">
        <v>0.15167899999999998</v>
      </c>
      <c r="H206">
        <v>5.5079000000000003E-2</v>
      </c>
      <c r="I206">
        <f t="shared" si="3"/>
        <v>0.13180374389830077</v>
      </c>
    </row>
    <row r="207" spans="1:9" x14ac:dyDescent="0.2">
      <c r="A207" t="s">
        <v>213</v>
      </c>
      <c r="B207">
        <v>-3.3873E-2</v>
      </c>
      <c r="C207">
        <v>-7.3273000000000005E-2</v>
      </c>
      <c r="D207">
        <v>-3.1773000000000003E-2</v>
      </c>
      <c r="E207">
        <v>-0.118173</v>
      </c>
      <c r="F207">
        <v>-0.15667299999999998</v>
      </c>
      <c r="G207">
        <v>1.0027000000000001E-2</v>
      </c>
      <c r="H207">
        <v>-3.9972999999999995E-2</v>
      </c>
      <c r="I207">
        <f t="shared" si="3"/>
        <v>-1.7411802830446264E-2</v>
      </c>
    </row>
    <row r="208" spans="1:9" x14ac:dyDescent="0.2">
      <c r="A208" t="s">
        <v>214</v>
      </c>
      <c r="B208">
        <v>4.4039000000000002E-2</v>
      </c>
      <c r="C208">
        <v>-6.7460999999999993E-2</v>
      </c>
      <c r="D208">
        <v>-1.8161E-2</v>
      </c>
      <c r="E208">
        <v>1.439E-3</v>
      </c>
      <c r="F208">
        <v>-5.9610000000000002E-3</v>
      </c>
      <c r="G208">
        <v>-7.9560999999999993E-2</v>
      </c>
      <c r="H208">
        <v>-2.7161000000000001E-2</v>
      </c>
      <c r="I208">
        <f t="shared" si="3"/>
        <v>-2.1127816665187857E-2</v>
      </c>
    </row>
    <row r="209" spans="1:9" x14ac:dyDescent="0.2">
      <c r="A209" t="s">
        <v>215</v>
      </c>
      <c r="B209">
        <v>2.6866999999999999E-2</v>
      </c>
      <c r="C209">
        <v>9.5669999999999991E-3</v>
      </c>
      <c r="D209">
        <v>-7.1133000000000002E-2</v>
      </c>
      <c r="E209">
        <v>4.3567000000000002E-2</v>
      </c>
      <c r="F209">
        <v>-7.1330000000000005E-3</v>
      </c>
      <c r="G209">
        <v>4.4267000000000001E-2</v>
      </c>
      <c r="H209">
        <v>1.2670000000000001E-3</v>
      </c>
      <c r="I209">
        <f t="shared" si="3"/>
        <v>4.6635311456628102E-2</v>
      </c>
    </row>
    <row r="210" spans="1:9" x14ac:dyDescent="0.2">
      <c r="A210" t="s">
        <v>216</v>
      </c>
      <c r="B210">
        <v>2.6199E-2</v>
      </c>
      <c r="C210">
        <v>0.160799</v>
      </c>
      <c r="D210">
        <v>-1.3000999999999999E-2</v>
      </c>
      <c r="E210">
        <v>-3.5401000000000002E-2</v>
      </c>
      <c r="F210">
        <v>-6.2501000000000001E-2</v>
      </c>
      <c r="G210">
        <v>1.1099000000000001E-2</v>
      </c>
      <c r="H210">
        <v>2.0199000000000002E-2</v>
      </c>
      <c r="I210">
        <f t="shared" si="3"/>
        <v>-9.8615049285953701E-2</v>
      </c>
    </row>
    <row r="211" spans="1:9" x14ac:dyDescent="0.2">
      <c r="A211" t="s">
        <v>217</v>
      </c>
      <c r="B211">
        <v>-4.3007999999999998E-2</v>
      </c>
      <c r="C211">
        <v>-7.0708000000000007E-2</v>
      </c>
      <c r="D211">
        <v>-7.9080000000000001E-3</v>
      </c>
      <c r="E211">
        <v>5.3991999999999998E-2</v>
      </c>
      <c r="F211">
        <v>3.6291999999999998E-2</v>
      </c>
      <c r="G211">
        <v>4.2892E-2</v>
      </c>
      <c r="H211">
        <v>3.3919999999999992E-3</v>
      </c>
      <c r="I211">
        <f t="shared" si="3"/>
        <v>8.7769820852122593E-2</v>
      </c>
    </row>
    <row r="212" spans="1:9" x14ac:dyDescent="0.2">
      <c r="A212" t="s">
        <v>218</v>
      </c>
      <c r="B212">
        <v>-8.1757999999999997E-2</v>
      </c>
      <c r="C212">
        <v>-3.9357999999999997E-2</v>
      </c>
      <c r="D212">
        <v>9.5420000000000001E-3</v>
      </c>
      <c r="E212">
        <v>3.6842E-2</v>
      </c>
      <c r="F212">
        <v>4.0242E-2</v>
      </c>
      <c r="G212">
        <v>5.8342000000000005E-2</v>
      </c>
      <c r="H212">
        <v>3.4442E-2</v>
      </c>
      <c r="I212">
        <f t="shared" si="3"/>
        <v>8.4668647773183781E-2</v>
      </c>
    </row>
    <row r="213" spans="1:9" x14ac:dyDescent="0.2">
      <c r="A213" t="s">
        <v>219</v>
      </c>
      <c r="B213">
        <v>-5.7375000000000002E-2</v>
      </c>
      <c r="C213">
        <v>-5.0674999999999998E-2</v>
      </c>
      <c r="D213">
        <v>-2.4749999999999998E-3</v>
      </c>
      <c r="E213">
        <v>5.1325000000000003E-2</v>
      </c>
      <c r="F213">
        <v>7.9025000000000012E-2</v>
      </c>
      <c r="G213">
        <v>9.132499999999999E-2</v>
      </c>
      <c r="H213">
        <v>2.8725000000000001E-2</v>
      </c>
      <c r="I213">
        <f t="shared" si="3"/>
        <v>0.1328811846326991</v>
      </c>
    </row>
    <row r="214" spans="1:9" x14ac:dyDescent="0.2">
      <c r="A214" t="s">
        <v>220</v>
      </c>
      <c r="B214">
        <v>-2.579E-2</v>
      </c>
      <c r="C214">
        <v>-5.7189999999999998E-2</v>
      </c>
      <c r="D214">
        <v>4.981E-2</v>
      </c>
      <c r="E214">
        <v>-1.949E-2</v>
      </c>
      <c r="F214">
        <v>-2.1789999999999997E-2</v>
      </c>
      <c r="G214">
        <v>6.6099999999999996E-3</v>
      </c>
      <c r="H214">
        <v>2.81E-3</v>
      </c>
      <c r="I214">
        <f t="shared" si="3"/>
        <v>2.3275429936914154E-2</v>
      </c>
    </row>
    <row r="215" spans="1:9" x14ac:dyDescent="0.2">
      <c r="A215" t="s">
        <v>221</v>
      </c>
      <c r="B215">
        <v>4.8909999999999995E-2</v>
      </c>
      <c r="C215">
        <v>8.4809999999999997E-2</v>
      </c>
      <c r="D215">
        <v>-7.4590000000000004E-2</v>
      </c>
      <c r="E215">
        <v>7.911E-2</v>
      </c>
      <c r="F215">
        <v>6.5909999999999996E-2</v>
      </c>
      <c r="G215">
        <v>-5.3790000000000004E-2</v>
      </c>
      <c r="H215">
        <v>-7.1290000000000006E-2</v>
      </c>
      <c r="I215">
        <f t="shared" si="3"/>
        <v>-8.807133892457164E-2</v>
      </c>
    </row>
    <row r="216" spans="1:9" x14ac:dyDescent="0.2">
      <c r="A216" t="s">
        <v>222</v>
      </c>
      <c r="B216">
        <v>-1.6494999999999999E-2</v>
      </c>
      <c r="C216">
        <v>3.5404999999999999E-2</v>
      </c>
      <c r="D216">
        <v>1.6504999999999999E-2</v>
      </c>
      <c r="E216">
        <v>5.4405000000000002E-2</v>
      </c>
      <c r="F216">
        <v>-2.7995000000000003E-2</v>
      </c>
      <c r="G216">
        <v>-0.145395</v>
      </c>
      <c r="H216">
        <v>1.6104999999999998E-2</v>
      </c>
      <c r="I216">
        <f t="shared" si="3"/>
        <v>-0.13661730458064128</v>
      </c>
    </row>
    <row r="217" spans="1:9" x14ac:dyDescent="0.2">
      <c r="A217" t="s">
        <v>223</v>
      </c>
      <c r="B217">
        <v>-0.18892999999999999</v>
      </c>
      <c r="C217">
        <v>-0.11113000000000001</v>
      </c>
      <c r="D217">
        <v>-8.8330000000000006E-2</v>
      </c>
      <c r="E217">
        <v>-6.9629999999999997E-2</v>
      </c>
      <c r="F217">
        <v>-4.2730000000000004E-2</v>
      </c>
      <c r="G217">
        <v>-7.0529999999999995E-2</v>
      </c>
      <c r="H217">
        <v>-9.3730000000000008E-2</v>
      </c>
      <c r="I217">
        <f t="shared" si="3"/>
        <v>-6.8039381640038782E-2</v>
      </c>
    </row>
    <row r="218" spans="1:9" x14ac:dyDescent="0.2">
      <c r="A218" t="s">
        <v>224</v>
      </c>
      <c r="B218">
        <v>0.16818</v>
      </c>
      <c r="C218">
        <v>0.16458</v>
      </c>
      <c r="D218">
        <v>6.9179999999999992E-2</v>
      </c>
      <c r="E218">
        <v>-1.222E-2</v>
      </c>
      <c r="F218">
        <v>2.6879999999999998E-2</v>
      </c>
      <c r="G218">
        <v>0.10267999999999999</v>
      </c>
      <c r="H218">
        <v>7.6780000000000001E-2</v>
      </c>
      <c r="I218">
        <f t="shared" si="3"/>
        <v>3.8273448112750137E-2</v>
      </c>
    </row>
    <row r="219" spans="1:9" x14ac:dyDescent="0.2">
      <c r="A219" t="s">
        <v>225</v>
      </c>
      <c r="B219">
        <v>-5.2090000000000001E-3</v>
      </c>
      <c r="C219">
        <v>9.9909999999999999E-3</v>
      </c>
      <c r="D219">
        <v>3.3491E-2</v>
      </c>
      <c r="E219">
        <v>3.1990999999999999E-2</v>
      </c>
      <c r="F219">
        <v>3.1191E-2</v>
      </c>
      <c r="G219">
        <v>1.9909999999999997E-3</v>
      </c>
      <c r="H219">
        <v>2.7890999999999999E-2</v>
      </c>
      <c r="I219">
        <f t="shared" si="3"/>
        <v>1.3543491667327091E-2</v>
      </c>
    </row>
    <row r="220" spans="1:9" x14ac:dyDescent="0.2">
      <c r="A220" t="s">
        <v>226</v>
      </c>
      <c r="B220">
        <v>-8.3500000000000002E-4</v>
      </c>
      <c r="C220">
        <v>-5.2835E-2</v>
      </c>
      <c r="D220">
        <v>5.7650000000000002E-3</v>
      </c>
      <c r="E220">
        <v>3.6865000000000002E-2</v>
      </c>
      <c r="F220">
        <v>-1.1335000000000001E-2</v>
      </c>
      <c r="G220">
        <v>0.10296499999999999</v>
      </c>
      <c r="H220">
        <v>1.5965E-2</v>
      </c>
      <c r="I220">
        <f t="shared" si="3"/>
        <v>0.12034415867424757</v>
      </c>
    </row>
    <row r="221" spans="1:9" x14ac:dyDescent="0.2">
      <c r="A221" t="s">
        <v>227</v>
      </c>
      <c r="B221">
        <v>0.206875</v>
      </c>
      <c r="C221">
        <v>4.7774999999999998E-2</v>
      </c>
      <c r="D221">
        <v>9.7499999999999974E-4</v>
      </c>
      <c r="E221">
        <v>-2.4925000000000003E-2</v>
      </c>
      <c r="F221">
        <v>5.2274999999999995E-2</v>
      </c>
      <c r="G221">
        <v>-3.7525000000000003E-2</v>
      </c>
      <c r="H221">
        <v>3.7175E-2</v>
      </c>
      <c r="I221">
        <f t="shared" si="3"/>
        <v>1.132827421125009E-2</v>
      </c>
    </row>
    <row r="222" spans="1:9" x14ac:dyDescent="0.2">
      <c r="A222" t="s">
        <v>228</v>
      </c>
      <c r="B222">
        <v>-9.0982999999999994E-2</v>
      </c>
      <c r="C222">
        <v>-0.145983</v>
      </c>
      <c r="D222">
        <v>-1.4283000000000001E-2</v>
      </c>
      <c r="E222">
        <v>-5.1683E-2</v>
      </c>
      <c r="F222">
        <v>-1.0383E-2</v>
      </c>
      <c r="G222">
        <v>4.6517000000000003E-2</v>
      </c>
      <c r="H222">
        <v>-6.7782999999999996E-2</v>
      </c>
      <c r="I222">
        <f t="shared" si="3"/>
        <v>7.4779227827646344E-2</v>
      </c>
    </row>
    <row r="223" spans="1:9" x14ac:dyDescent="0.2">
      <c r="A223" t="s">
        <v>229</v>
      </c>
      <c r="B223">
        <v>7.2747000000000006E-2</v>
      </c>
      <c r="C223">
        <v>0.16624700000000001</v>
      </c>
      <c r="D223">
        <v>9.3947000000000003E-2</v>
      </c>
      <c r="E223">
        <v>4.9347000000000002E-2</v>
      </c>
      <c r="F223">
        <v>8.7347000000000008E-2</v>
      </c>
      <c r="G223">
        <v>7.4747000000000008E-2</v>
      </c>
      <c r="H223">
        <v>6.7047000000000009E-2</v>
      </c>
      <c r="I223">
        <f t="shared" si="3"/>
        <v>9.0332292568631734E-3</v>
      </c>
    </row>
    <row r="224" spans="1:9" x14ac:dyDescent="0.2">
      <c r="A224" t="s">
        <v>230</v>
      </c>
      <c r="B224">
        <v>-5.6283E-2</v>
      </c>
      <c r="C224">
        <v>4.5217E-2</v>
      </c>
      <c r="D224">
        <v>2.9817000000000003E-2</v>
      </c>
      <c r="E224">
        <v>-2.3983000000000001E-2</v>
      </c>
      <c r="F224">
        <v>-2.7829999999999999E-3</v>
      </c>
      <c r="G224">
        <v>-4.1830000000000001E-3</v>
      </c>
      <c r="H224">
        <v>1.1317000000000001E-2</v>
      </c>
      <c r="I224">
        <f t="shared" si="3"/>
        <v>-4.52241139384785E-2</v>
      </c>
    </row>
    <row r="225" spans="1:9" x14ac:dyDescent="0.2">
      <c r="A225" t="s">
        <v>231</v>
      </c>
      <c r="B225">
        <v>-3.9708E-2</v>
      </c>
      <c r="C225">
        <v>-8.2508000000000012E-2</v>
      </c>
      <c r="D225">
        <v>3.3591999999999997E-2</v>
      </c>
      <c r="E225">
        <v>5.0391999999999999E-2</v>
      </c>
      <c r="F225">
        <v>3.8292E-2</v>
      </c>
      <c r="G225">
        <v>0.24649200000000002</v>
      </c>
      <c r="H225">
        <v>-2.0008000000000001E-2</v>
      </c>
      <c r="I225">
        <f t="shared" si="3"/>
        <v>0.23410151517941488</v>
      </c>
    </row>
    <row r="226" spans="1:9" x14ac:dyDescent="0.2">
      <c r="A226" t="s">
        <v>232</v>
      </c>
      <c r="B226">
        <v>-2.8870000000000002E-3</v>
      </c>
      <c r="C226">
        <v>1.8613000000000001E-2</v>
      </c>
      <c r="D226">
        <v>7.1413000000000004E-2</v>
      </c>
      <c r="E226">
        <v>3.6013000000000003E-2</v>
      </c>
      <c r="F226">
        <v>3.6913000000000001E-2</v>
      </c>
      <c r="G226">
        <v>-2.9870000000000001E-3</v>
      </c>
      <c r="H226">
        <v>1.5413E-2</v>
      </c>
      <c r="I226">
        <f t="shared" si="3"/>
        <v>-6.4197429160808353E-3</v>
      </c>
    </row>
    <row r="227" spans="1:9" x14ac:dyDescent="0.2">
      <c r="A227" t="s">
        <v>233</v>
      </c>
      <c r="B227">
        <v>-4.8131E-2</v>
      </c>
      <c r="C227">
        <v>-1.0031E-2</v>
      </c>
      <c r="D227">
        <v>2.9668999999999997E-2</v>
      </c>
      <c r="E227">
        <v>1.0669000000000001E-2</v>
      </c>
      <c r="F227">
        <v>-1.3531E-2</v>
      </c>
      <c r="G227">
        <v>-1.531E-3</v>
      </c>
      <c r="H227">
        <v>1.8869E-2</v>
      </c>
      <c r="I227">
        <f t="shared" si="3"/>
        <v>-2.1138740307636295E-3</v>
      </c>
    </row>
    <row r="228" spans="1:9" x14ac:dyDescent="0.2">
      <c r="A228" t="s">
        <v>234</v>
      </c>
      <c r="B228">
        <v>5.3502999999999995E-2</v>
      </c>
      <c r="C228">
        <v>-3.2396999999999995E-2</v>
      </c>
      <c r="D228">
        <v>-2.9996999999999999E-2</v>
      </c>
      <c r="E228">
        <v>-4.9969999999999997E-3</v>
      </c>
      <c r="F228">
        <v>1.4402999999999999E-2</v>
      </c>
      <c r="G228">
        <v>0.17510300000000001</v>
      </c>
      <c r="H228">
        <v>3.2802999999999999E-2</v>
      </c>
      <c r="I228">
        <f t="shared" si="3"/>
        <v>0.19180231426202635</v>
      </c>
    </row>
    <row r="229" spans="1:9" x14ac:dyDescent="0.2">
      <c r="A229" t="s">
        <v>235</v>
      </c>
      <c r="B229">
        <v>2.5068999999999998E-2</v>
      </c>
      <c r="C229">
        <v>2.6168999999999998E-2</v>
      </c>
      <c r="D229">
        <v>4.4068999999999997E-2</v>
      </c>
      <c r="E229">
        <v>1.7868999999999999E-2</v>
      </c>
      <c r="F229">
        <v>9.6899999999999959E-4</v>
      </c>
      <c r="G229">
        <v>2.4169E-2</v>
      </c>
      <c r="H229">
        <v>2.7168999999999999E-2</v>
      </c>
      <c r="I229">
        <f t="shared" si="3"/>
        <v>1.4429587020769163E-2</v>
      </c>
    </row>
    <row r="230" spans="1:9" x14ac:dyDescent="0.2">
      <c r="A230" t="s">
        <v>236</v>
      </c>
      <c r="B230">
        <v>-3.6763999999999998E-2</v>
      </c>
      <c r="C230">
        <v>-8.8863999999999999E-2</v>
      </c>
      <c r="D230">
        <v>-2.5663999999999999E-2</v>
      </c>
      <c r="E230">
        <v>-2.2963999999999998E-2</v>
      </c>
      <c r="F230">
        <v>-3.7763999999999999E-2</v>
      </c>
      <c r="G230">
        <v>-0.137464</v>
      </c>
      <c r="H230">
        <v>-2.764E-3</v>
      </c>
      <c r="I230">
        <f t="shared" si="3"/>
        <v>-6.3852278117000408E-2</v>
      </c>
    </row>
    <row r="231" spans="1:9" x14ac:dyDescent="0.2">
      <c r="A231" t="s">
        <v>237</v>
      </c>
      <c r="B231">
        <v>-0.21210799999999999</v>
      </c>
      <c r="C231">
        <v>-8.7807999999999997E-2</v>
      </c>
      <c r="D231">
        <v>-6.5007999999999996E-2</v>
      </c>
      <c r="E231">
        <v>-9.0008000000000005E-2</v>
      </c>
      <c r="F231">
        <v>-6.0707999999999998E-2</v>
      </c>
      <c r="G231">
        <v>-6.5907999999999994E-2</v>
      </c>
      <c r="H231">
        <v>-8.5307999999999995E-2</v>
      </c>
      <c r="I231">
        <f t="shared" si="3"/>
        <v>-9.0122784120957589E-2</v>
      </c>
    </row>
    <row r="232" spans="1:9" x14ac:dyDescent="0.2">
      <c r="A232" t="s">
        <v>238</v>
      </c>
      <c r="B232">
        <v>-0.30726799999999999</v>
      </c>
      <c r="C232">
        <v>-0.31136799999999998</v>
      </c>
      <c r="D232">
        <v>-0.173568</v>
      </c>
      <c r="E232">
        <v>-9.1680000000000008E-3</v>
      </c>
      <c r="F232">
        <v>5.8632000000000004E-2</v>
      </c>
      <c r="G232">
        <v>-9.8668000000000006E-2</v>
      </c>
      <c r="H232">
        <v>-0.12636799999999998</v>
      </c>
      <c r="I232">
        <f t="shared" si="3"/>
        <v>4.8004308334877663E-2</v>
      </c>
    </row>
    <row r="233" spans="1:9" x14ac:dyDescent="0.2">
      <c r="A233" t="s">
        <v>239</v>
      </c>
      <c r="B233">
        <v>5.3796999999999998E-2</v>
      </c>
      <c r="C233">
        <v>7.2696999999999998E-2</v>
      </c>
      <c r="D233">
        <v>6.3496999999999998E-2</v>
      </c>
      <c r="E233">
        <v>8.0696999999999991E-2</v>
      </c>
      <c r="F233">
        <v>6.9796999999999998E-2</v>
      </c>
      <c r="G233">
        <v>0.180397</v>
      </c>
      <c r="H233">
        <v>0.12679699999999999</v>
      </c>
      <c r="I233">
        <f t="shared" si="3"/>
        <v>0.18113239902343684</v>
      </c>
    </row>
    <row r="234" spans="1:9" x14ac:dyDescent="0.2">
      <c r="A234" t="s">
        <v>240</v>
      </c>
      <c r="B234">
        <v>0.121741</v>
      </c>
      <c r="C234">
        <v>0.16104099999999999</v>
      </c>
      <c r="D234">
        <v>1.2741000000000001E-2</v>
      </c>
      <c r="E234">
        <v>-1.2589999999999999E-3</v>
      </c>
      <c r="F234">
        <v>2.5141E-2</v>
      </c>
      <c r="G234">
        <v>0.120641</v>
      </c>
      <c r="H234">
        <v>4.5241000000000003E-2</v>
      </c>
      <c r="I234">
        <f t="shared" si="3"/>
        <v>3.8968802240651537E-2</v>
      </c>
    </row>
    <row r="235" spans="1:9" x14ac:dyDescent="0.2">
      <c r="A235" t="s">
        <v>241</v>
      </c>
      <c r="B235">
        <v>6.4688999999999997E-2</v>
      </c>
      <c r="C235">
        <v>-2.2511E-2</v>
      </c>
      <c r="D235">
        <v>-2.0511000000000001E-2</v>
      </c>
      <c r="E235">
        <v>-3.9310999999999999E-2</v>
      </c>
      <c r="F235">
        <v>-3.4611000000000003E-2</v>
      </c>
      <c r="G235">
        <v>-1.9710999999999999E-2</v>
      </c>
      <c r="H235">
        <v>1.8289E-2</v>
      </c>
      <c r="I235">
        <f t="shared" si="3"/>
        <v>1.2629827098985403E-2</v>
      </c>
    </row>
    <row r="236" spans="1:9" x14ac:dyDescent="0.2">
      <c r="A236" t="s">
        <v>242</v>
      </c>
      <c r="B236">
        <v>8.7104000000000001E-2</v>
      </c>
      <c r="C236">
        <v>-1.6295999999999998E-2</v>
      </c>
      <c r="D236">
        <v>-4.3959999999999997E-3</v>
      </c>
      <c r="E236">
        <v>5.4404000000000001E-2</v>
      </c>
      <c r="F236">
        <v>8.0203999999999998E-2</v>
      </c>
      <c r="G236">
        <v>4.9503999999999999E-2</v>
      </c>
      <c r="H236">
        <v>5.5004000000000004E-2</v>
      </c>
      <c r="I236">
        <f t="shared" si="3"/>
        <v>0.12042612100068548</v>
      </c>
    </row>
    <row r="237" spans="1:9" x14ac:dyDescent="0.2">
      <c r="A237" t="s">
        <v>243</v>
      </c>
      <c r="B237">
        <v>3.1720999999999999E-2</v>
      </c>
      <c r="C237">
        <v>0.19032100000000002</v>
      </c>
      <c r="D237">
        <v>7.7209999999999996E-3</v>
      </c>
      <c r="E237">
        <v>3.1021E-2</v>
      </c>
      <c r="F237">
        <v>7.7321000000000001E-2</v>
      </c>
      <c r="G237">
        <v>0.207121</v>
      </c>
      <c r="H237">
        <v>7.0021E-2</v>
      </c>
      <c r="I237">
        <f t="shared" si="3"/>
        <v>9.9242960943375813E-2</v>
      </c>
    </row>
    <row r="238" spans="1:9" x14ac:dyDescent="0.2">
      <c r="A238" t="s">
        <v>244</v>
      </c>
      <c r="B238">
        <v>-2.3576E-2</v>
      </c>
      <c r="C238">
        <v>-1.4759999999999999E-3</v>
      </c>
      <c r="D238">
        <v>-4.3676E-2</v>
      </c>
      <c r="E238">
        <v>3.6240000000000001E-3</v>
      </c>
      <c r="F238">
        <v>7.5240000000000003E-3</v>
      </c>
      <c r="G238">
        <v>4.1023999999999998E-2</v>
      </c>
      <c r="H238">
        <v>-3.9275999999999998E-2</v>
      </c>
      <c r="I238">
        <f t="shared" si="3"/>
        <v>1.740560279532409E-2</v>
      </c>
    </row>
    <row r="239" spans="1:9" x14ac:dyDescent="0.2">
      <c r="A239" t="s">
        <v>245</v>
      </c>
      <c r="B239">
        <v>0.16062700000000002</v>
      </c>
      <c r="C239">
        <v>0.166827</v>
      </c>
      <c r="D239">
        <v>-3.5073E-2</v>
      </c>
      <c r="E239">
        <v>-3.1972999999999994E-2</v>
      </c>
      <c r="F239">
        <v>-8.3730000000000002E-3</v>
      </c>
      <c r="G239">
        <v>-3.3072999999999998E-2</v>
      </c>
      <c r="H239">
        <v>-2.7772999999999999E-2</v>
      </c>
      <c r="I239">
        <f t="shared" si="3"/>
        <v>-0.1165844872568198</v>
      </c>
    </row>
    <row r="240" spans="1:9" x14ac:dyDescent="0.2">
      <c r="A240" t="s">
        <v>246</v>
      </c>
      <c r="B240">
        <v>0.17453399999999999</v>
      </c>
      <c r="C240">
        <v>0.269534</v>
      </c>
      <c r="D240">
        <v>6.3934000000000005E-2</v>
      </c>
      <c r="E240">
        <v>5.9934000000000001E-2</v>
      </c>
      <c r="F240">
        <v>0.101134</v>
      </c>
      <c r="G240">
        <v>0.18423399999999998</v>
      </c>
      <c r="H240">
        <v>0.107434</v>
      </c>
      <c r="I240">
        <f t="shared" si="3"/>
        <v>7.5718656956139385E-2</v>
      </c>
    </row>
    <row r="241" spans="1:9" x14ac:dyDescent="0.2">
      <c r="A241" t="s">
        <v>247</v>
      </c>
      <c r="B241">
        <v>-3.1959999999999995E-2</v>
      </c>
      <c r="C241">
        <v>-5.0259999999999999E-2</v>
      </c>
      <c r="D241">
        <v>2.3999999999999998E-4</v>
      </c>
      <c r="E241">
        <v>-2.7560000000000001E-2</v>
      </c>
      <c r="F241">
        <v>-5.3159999999999999E-2</v>
      </c>
      <c r="G241">
        <v>-1.6760000000000001E-2</v>
      </c>
      <c r="H241">
        <v>3.7040000000000003E-2</v>
      </c>
      <c r="I241">
        <f t="shared" si="3"/>
        <v>1.6344212351723966E-2</v>
      </c>
    </row>
    <row r="242" spans="1:9" x14ac:dyDescent="0.2">
      <c r="A242" t="s">
        <v>248</v>
      </c>
      <c r="B242">
        <v>0.19795400000000002</v>
      </c>
      <c r="C242">
        <v>0.217054</v>
      </c>
      <c r="D242">
        <v>1.3254E-2</v>
      </c>
      <c r="E242">
        <v>-5.8145999999999996E-2</v>
      </c>
      <c r="F242">
        <v>-2.5446E-2</v>
      </c>
      <c r="G242">
        <v>2.6254E-2</v>
      </c>
      <c r="H242">
        <v>-1.1146E-2</v>
      </c>
      <c r="I242">
        <f t="shared" si="3"/>
        <v>-0.10263176299638622</v>
      </c>
    </row>
    <row r="243" spans="1:9" x14ac:dyDescent="0.2">
      <c r="A243" t="s">
        <v>249</v>
      </c>
      <c r="B243">
        <v>0.111055</v>
      </c>
      <c r="C243">
        <v>1.2755000000000001E-2</v>
      </c>
      <c r="D243">
        <v>-2.5845E-2</v>
      </c>
      <c r="E243">
        <v>9.9550000000000003E-3</v>
      </c>
      <c r="F243">
        <v>-7.5245000000000006E-2</v>
      </c>
      <c r="G243">
        <v>1.6055E-2</v>
      </c>
      <c r="H243">
        <v>2.6055000000000002E-2</v>
      </c>
      <c r="I243">
        <f t="shared" si="3"/>
        <v>2.3170834597161419E-2</v>
      </c>
    </row>
    <row r="244" spans="1:9" x14ac:dyDescent="0.2">
      <c r="A244" t="s">
        <v>250</v>
      </c>
      <c r="B244">
        <v>4.6973000000000001E-2</v>
      </c>
      <c r="C244">
        <v>0.11937300000000001</v>
      </c>
      <c r="D244">
        <v>8.5273000000000002E-2</v>
      </c>
      <c r="E244">
        <v>5.1472999999999998E-2</v>
      </c>
      <c r="F244">
        <v>4.9873000000000001E-2</v>
      </c>
      <c r="G244">
        <v>7.9772999999999997E-2</v>
      </c>
      <c r="H244">
        <v>4.2373000000000001E-2</v>
      </c>
      <c r="I244">
        <f t="shared" si="3"/>
        <v>1.7183580219173992E-2</v>
      </c>
    </row>
    <row r="245" spans="1:9" x14ac:dyDescent="0.2">
      <c r="A245" t="s">
        <v>251</v>
      </c>
      <c r="B245">
        <v>-5.8014000000000003E-2</v>
      </c>
      <c r="C245">
        <v>-4.2139999999999999E-3</v>
      </c>
      <c r="D245">
        <v>5.5585999999999997E-2</v>
      </c>
      <c r="E245">
        <v>4.5859999999999998E-3</v>
      </c>
      <c r="F245">
        <v>2.9985999999999999E-2</v>
      </c>
      <c r="G245">
        <v>4.6385999999999997E-2</v>
      </c>
      <c r="H245">
        <v>5.2386000000000002E-2</v>
      </c>
      <c r="I245">
        <f t="shared" si="3"/>
        <v>5.3520249231981919E-2</v>
      </c>
    </row>
    <row r="246" spans="1:9" x14ac:dyDescent="0.2">
      <c r="A246" t="s">
        <v>252</v>
      </c>
      <c r="B246">
        <v>0.25909500000000002</v>
      </c>
      <c r="C246">
        <v>3.6495E-2</v>
      </c>
      <c r="D246">
        <v>-6.3005000000000005E-2</v>
      </c>
      <c r="E246">
        <v>-2.2505000000000001E-2</v>
      </c>
      <c r="F246">
        <v>1.9094999999999997E-2</v>
      </c>
      <c r="G246">
        <v>9.8494999999999999E-2</v>
      </c>
      <c r="H246">
        <v>5.4949999999999999E-3</v>
      </c>
      <c r="I246">
        <f t="shared" si="3"/>
        <v>0.11890178249920769</v>
      </c>
    </row>
    <row r="247" spans="1:9" x14ac:dyDescent="0.2">
      <c r="A247" t="s">
        <v>253</v>
      </c>
      <c r="B247">
        <v>2.2696000000000001E-2</v>
      </c>
      <c r="C247">
        <v>-2.4039999999999999E-3</v>
      </c>
      <c r="D247">
        <v>-2.2104000000000002E-2</v>
      </c>
      <c r="E247">
        <v>-8.1040000000000001E-3</v>
      </c>
      <c r="F247">
        <v>-7.1040000000000001E-3</v>
      </c>
      <c r="G247">
        <v>6.5295999999999993E-2</v>
      </c>
      <c r="H247">
        <v>2.2196E-2</v>
      </c>
      <c r="I247">
        <f t="shared" si="3"/>
        <v>6.8828181486311743E-2</v>
      </c>
    </row>
    <row r="248" spans="1:9" x14ac:dyDescent="0.2">
      <c r="A248" t="s">
        <v>254</v>
      </c>
      <c r="B248">
        <v>-6.1231000000000001E-2</v>
      </c>
      <c r="C248">
        <v>-3.9431000000000001E-2</v>
      </c>
      <c r="D248">
        <v>-7.4310000000000001E-3</v>
      </c>
      <c r="E248">
        <v>6.7689999999999998E-3</v>
      </c>
      <c r="F248">
        <v>1.0769000000000001E-2</v>
      </c>
      <c r="G248">
        <v>7.9868999999999996E-2</v>
      </c>
      <c r="H248">
        <v>2.2669000000000002E-2</v>
      </c>
      <c r="I248">
        <f t="shared" si="3"/>
        <v>9.1829258878636924E-2</v>
      </c>
    </row>
    <row r="249" spans="1:9" x14ac:dyDescent="0.2">
      <c r="A249" t="s">
        <v>255</v>
      </c>
      <c r="B249">
        <v>-6.6048999999999997E-2</v>
      </c>
      <c r="C249">
        <v>-0.137849</v>
      </c>
      <c r="D249">
        <v>-2.2549E-2</v>
      </c>
      <c r="E249">
        <v>-1.4049000000000001E-2</v>
      </c>
      <c r="F249">
        <v>4.2750999999999997E-2</v>
      </c>
      <c r="G249">
        <v>-5.0649E-2</v>
      </c>
      <c r="H249">
        <v>2.8951000000000001E-2</v>
      </c>
      <c r="I249">
        <f t="shared" si="3"/>
        <v>6.7928317363020879E-2</v>
      </c>
    </row>
    <row r="250" spans="1:9" x14ac:dyDescent="0.2">
      <c r="A250" t="s">
        <v>256</v>
      </c>
      <c r="B250">
        <v>8.6666999999999994E-2</v>
      </c>
      <c r="C250">
        <v>7.5466999999999992E-2</v>
      </c>
      <c r="D250">
        <v>-1.5032999999999999E-2</v>
      </c>
      <c r="E250">
        <v>-1.8032999999999997E-2</v>
      </c>
      <c r="F250">
        <v>-5.8932999999999999E-2</v>
      </c>
      <c r="G250">
        <v>-7.3733000000000007E-2</v>
      </c>
      <c r="H250">
        <v>-4.7633000000000002E-2</v>
      </c>
      <c r="I250">
        <f t="shared" si="3"/>
        <v>-0.12889106048072915</v>
      </c>
    </row>
    <row r="251" spans="1:9" x14ac:dyDescent="0.2">
      <c r="A251" t="s">
        <v>257</v>
      </c>
      <c r="B251">
        <v>0.20616299999999999</v>
      </c>
      <c r="C251">
        <v>3.2562999999999995E-2</v>
      </c>
      <c r="D251">
        <v>-4.6837000000000004E-2</v>
      </c>
      <c r="E251">
        <v>-7.2369999999999995E-3</v>
      </c>
      <c r="F251">
        <v>7.1962999999999999E-2</v>
      </c>
      <c r="G251">
        <v>0.13486299999999998</v>
      </c>
      <c r="H251">
        <v>6.9062999999999999E-2</v>
      </c>
      <c r="I251">
        <f t="shared" si="3"/>
        <v>0.18490995395063725</v>
      </c>
    </row>
    <row r="252" spans="1:9" x14ac:dyDescent="0.2">
      <c r="A252" t="s">
        <v>258</v>
      </c>
      <c r="B252">
        <v>0.12925600000000001</v>
      </c>
      <c r="C252">
        <v>6.3156000000000004E-2</v>
      </c>
      <c r="D252">
        <v>-9.6243999999999996E-2</v>
      </c>
      <c r="E252">
        <v>-5.1344000000000001E-2</v>
      </c>
      <c r="F252">
        <v>-5.8844E-2</v>
      </c>
      <c r="G252">
        <v>-5.7644000000000001E-2</v>
      </c>
      <c r="H252">
        <v>-8.3440000000000007E-3</v>
      </c>
      <c r="I252">
        <f t="shared" si="3"/>
        <v>-6.867600577646113E-2</v>
      </c>
    </row>
    <row r="253" spans="1:9" x14ac:dyDescent="0.2">
      <c r="A253" t="s">
        <v>259</v>
      </c>
      <c r="B253">
        <v>8.2233000000000001E-2</v>
      </c>
      <c r="C253">
        <v>1.3033000000000001E-2</v>
      </c>
      <c r="D253">
        <v>7.7433000000000002E-2</v>
      </c>
      <c r="E253">
        <v>3.3533E-2</v>
      </c>
      <c r="F253">
        <v>3.2933000000000004E-2</v>
      </c>
      <c r="G253">
        <v>-5.0966999999999998E-2</v>
      </c>
      <c r="H253">
        <v>4.3533000000000002E-2</v>
      </c>
      <c r="I253">
        <f t="shared" si="3"/>
        <v>-1.1096499132000715E-2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Treynor Black Portfolio</vt:lpstr>
      <vt:lpstr>Optimal Risky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Obreja</dc:creator>
  <cp:lastModifiedBy>Iulian Obreja</cp:lastModifiedBy>
  <dcterms:created xsi:type="dcterms:W3CDTF">2025-11-03T06:18:06Z</dcterms:created>
  <dcterms:modified xsi:type="dcterms:W3CDTF">2025-11-05T13:55:26Z</dcterms:modified>
</cp:coreProperties>
</file>