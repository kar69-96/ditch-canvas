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Class Work/"/>
    </mc:Choice>
  </mc:AlternateContent>
  <xr:revisionPtr revIDLastSave="0" documentId="8_{FD2FEF85-6DBF-B143-9697-17E0DD980CCB}" xr6:coauthVersionLast="47" xr6:coauthVersionMax="47" xr10:uidLastSave="{00000000-0000-0000-0000-000000000000}"/>
  <bookViews>
    <workbookView xWindow="6280" yWindow="500" windowWidth="22520" windowHeight="16280" activeTab="1" xr2:uid="{6F77253E-F6BA-4145-BD55-EFCF0CFFA73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C18" i="2"/>
  <c r="C14" i="2"/>
  <c r="G11" i="2"/>
  <c r="E11" i="2"/>
  <c r="F11" i="2"/>
  <c r="D11" i="2"/>
  <c r="G9" i="2"/>
  <c r="E2" i="2"/>
  <c r="E3" i="2" s="1"/>
  <c r="F2" i="2"/>
  <c r="F3" i="2" s="1"/>
  <c r="E4" i="2"/>
  <c r="F4" i="2" s="1"/>
  <c r="G4" i="2" s="1"/>
  <c r="E5" i="2"/>
  <c r="F5" i="2"/>
  <c r="G5" i="2" s="1"/>
  <c r="E6" i="2"/>
  <c r="F6" i="2"/>
  <c r="G6" i="2"/>
  <c r="D8" i="2"/>
  <c r="D6" i="2"/>
  <c r="D5" i="2"/>
  <c r="D4" i="2"/>
  <c r="D3" i="2"/>
  <c r="D2" i="2"/>
  <c r="C8" i="2"/>
  <c r="C3" i="2"/>
  <c r="C18" i="1"/>
  <c r="C16" i="1"/>
  <c r="C13" i="1"/>
  <c r="G11" i="1"/>
  <c r="E11" i="1"/>
  <c r="F11" i="1"/>
  <c r="D11" i="1"/>
  <c r="G9" i="1"/>
  <c r="D8" i="1"/>
  <c r="E8" i="1"/>
  <c r="F8" i="1"/>
  <c r="G8" i="1"/>
  <c r="E2" i="1"/>
  <c r="F2" i="1" s="1"/>
  <c r="E4" i="1"/>
  <c r="F4" i="1"/>
  <c r="G4" i="1"/>
  <c r="E5" i="1"/>
  <c r="F5" i="1"/>
  <c r="G5" i="1"/>
  <c r="E6" i="1"/>
  <c r="F6" i="1" s="1"/>
  <c r="G6" i="1" s="1"/>
  <c r="D6" i="1"/>
  <c r="D5" i="1"/>
  <c r="D4" i="1"/>
  <c r="D3" i="1"/>
  <c r="D2" i="1"/>
  <c r="C3" i="1"/>
  <c r="C8" i="1" s="1"/>
  <c r="D20" i="2"/>
  <c r="D18" i="2"/>
  <c r="D14" i="2"/>
  <c r="G12" i="2"/>
  <c r="D12" i="2"/>
  <c r="H9" i="2"/>
  <c r="H3" i="2"/>
  <c r="H8" i="2"/>
  <c r="H4" i="2"/>
  <c r="H5" i="2"/>
  <c r="H6" i="2"/>
  <c r="H2" i="2"/>
  <c r="D18" i="1"/>
  <c r="D16" i="1"/>
  <c r="D13" i="1"/>
  <c r="G12" i="1"/>
  <c r="D12" i="1"/>
  <c r="H9" i="1"/>
  <c r="H3" i="1"/>
  <c r="H8" i="1"/>
  <c r="H4" i="1"/>
  <c r="H5" i="1"/>
  <c r="H6" i="1"/>
  <c r="H2" i="1"/>
  <c r="E8" i="2" l="1"/>
  <c r="G2" i="2"/>
  <c r="F8" i="2"/>
  <c r="G2" i="1"/>
  <c r="G3" i="1" s="1"/>
  <c r="F3" i="1"/>
  <c r="E3" i="1"/>
  <c r="G3" i="2" l="1"/>
  <c r="G8" i="2" s="1"/>
</calcChain>
</file>

<file path=xl/sharedStrings.xml><?xml version="1.0" encoding="utf-8"?>
<sst xmlns="http://schemas.openxmlformats.org/spreadsheetml/2006/main" count="30" uniqueCount="17">
  <si>
    <t>Timeline</t>
  </si>
  <si>
    <t>EBIT</t>
  </si>
  <si>
    <t>Taxes @34%</t>
  </si>
  <si>
    <t>Depreciation</t>
  </si>
  <si>
    <t>CapEX</t>
  </si>
  <si>
    <t>Ch NWC</t>
  </si>
  <si>
    <t>FFCF</t>
  </si>
  <si>
    <t>Rates</t>
  </si>
  <si>
    <t>V_T</t>
  </si>
  <si>
    <t>DFFCF</t>
  </si>
  <si>
    <t>V_0</t>
  </si>
  <si>
    <t>E_0</t>
  </si>
  <si>
    <t>D_0</t>
  </si>
  <si>
    <t>(Given)</t>
  </si>
  <si>
    <t>P_0</t>
  </si>
  <si>
    <t>CapEx</t>
  </si>
  <si>
    <t>Ch in NWC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</si>
</sst>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F876-AC1A-9E47-ABF9-D8F9AA8966D8}">
  <dimension ref="A1:H18"/>
  <sheetViews>
    <sheetView zoomScale="160" zoomScaleNormal="160" workbookViewId="0">
      <selection activeCell="E19" sqref="E19"/>
    </sheetView>
  </sheetViews>
  <sheetFormatPr baseColWidth="10" defaultRowHeight="16" x14ac:dyDescent="0.2"/>
  <cols>
    <col min="2" max="2" width="12.1640625" customWidth="1"/>
    <col min="3" max="3" width="11.6640625" customWidth="1"/>
  </cols>
  <sheetData>
    <row r="1" spans="1:8" x14ac:dyDescent="0.2">
      <c r="A1" t="s">
        <v>7</v>
      </c>
      <c r="B1" t="s">
        <v>0</v>
      </c>
      <c r="C1">
        <v>2024</v>
      </c>
      <c r="D1">
        <v>2025</v>
      </c>
      <c r="E1">
        <v>2026</v>
      </c>
      <c r="F1">
        <v>2027</v>
      </c>
      <c r="G1">
        <v>2028</v>
      </c>
    </row>
    <row r="2" spans="1:8" x14ac:dyDescent="0.2">
      <c r="A2" s="1">
        <v>0.2</v>
      </c>
      <c r="B2" t="s">
        <v>1</v>
      </c>
      <c r="C2">
        <v>480</v>
      </c>
      <c r="D2">
        <f>C2*(1+$A$2)</f>
        <v>576</v>
      </c>
      <c r="E2">
        <f t="shared" ref="E2:G2" si="0">D2*(1+$A$2)</f>
        <v>691.19999999999993</v>
      </c>
      <c r="F2">
        <f t="shared" si="0"/>
        <v>829.43999999999994</v>
      </c>
      <c r="G2">
        <f t="shared" si="0"/>
        <v>995.32799999999986</v>
      </c>
      <c r="H2" t="str">
        <f ca="1">_xlfn.FORMULATEXT(G2)</f>
        <v>=F2*(1+$A$2)</v>
      </c>
    </row>
    <row r="3" spans="1:8" x14ac:dyDescent="0.2">
      <c r="B3" t="s">
        <v>2</v>
      </c>
      <c r="C3">
        <f>C2*34%</f>
        <v>163.20000000000002</v>
      </c>
      <c r="D3">
        <f>D2*34%</f>
        <v>195.84</v>
      </c>
      <c r="E3">
        <f t="shared" ref="E3:G3" si="1">E2*34%</f>
        <v>235.00799999999998</v>
      </c>
      <c r="F3">
        <f t="shared" si="1"/>
        <v>282.00959999999998</v>
      </c>
      <c r="G3">
        <f t="shared" si="1"/>
        <v>338.41152</v>
      </c>
      <c r="H3" t="str">
        <f t="shared" ref="H3:H9" ca="1" si="2">_xlfn.FORMULATEXT(G3)</f>
        <v>=G2*34%</v>
      </c>
    </row>
    <row r="4" spans="1:8" x14ac:dyDescent="0.2">
      <c r="A4" s="1">
        <v>0.15</v>
      </c>
      <c r="B4" t="s">
        <v>3</v>
      </c>
      <c r="C4">
        <v>96</v>
      </c>
      <c r="D4">
        <f>C4*(1+$A$4)</f>
        <v>110.39999999999999</v>
      </c>
      <c r="E4">
        <f t="shared" ref="E4:G4" si="3">D4*(1+$A$4)</f>
        <v>126.95999999999998</v>
      </c>
      <c r="F4">
        <f t="shared" si="3"/>
        <v>146.00399999999996</v>
      </c>
      <c r="G4">
        <f t="shared" si="3"/>
        <v>167.90459999999993</v>
      </c>
      <c r="H4" t="str">
        <f t="shared" ca="1" si="2"/>
        <v>=F4*(1+$A$4)</v>
      </c>
    </row>
    <row r="5" spans="1:8" x14ac:dyDescent="0.2">
      <c r="A5" s="1">
        <v>0.25</v>
      </c>
      <c r="B5" t="s">
        <v>4</v>
      </c>
      <c r="C5">
        <v>120</v>
      </c>
      <c r="D5">
        <f>C5*(1+$A$5)</f>
        <v>150</v>
      </c>
      <c r="E5">
        <f t="shared" ref="E5:G5" si="4">D5*(1+$A$5)</f>
        <v>187.5</v>
      </c>
      <c r="F5">
        <f t="shared" si="4"/>
        <v>234.375</v>
      </c>
      <c r="G5">
        <f t="shared" si="4"/>
        <v>292.96875</v>
      </c>
      <c r="H5" t="str">
        <f t="shared" ca="1" si="2"/>
        <v>=F5*(1+$A$5)</v>
      </c>
    </row>
    <row r="6" spans="1:8" x14ac:dyDescent="0.2">
      <c r="A6" s="1">
        <v>0.15</v>
      </c>
      <c r="B6" t="s">
        <v>5</v>
      </c>
      <c r="C6">
        <v>48</v>
      </c>
      <c r="D6">
        <f>C6*(1+$A$6)</f>
        <v>55.199999999999996</v>
      </c>
      <c r="E6">
        <f t="shared" ref="E6:G6" si="5">D6*(1+$A$6)</f>
        <v>63.47999999999999</v>
      </c>
      <c r="F6">
        <f t="shared" si="5"/>
        <v>73.001999999999981</v>
      </c>
      <c r="G6">
        <f t="shared" si="5"/>
        <v>83.952299999999966</v>
      </c>
      <c r="H6" t="str">
        <f t="shared" ca="1" si="2"/>
        <v>=F6*(1+$A$6)</v>
      </c>
    </row>
    <row r="8" spans="1:8" x14ac:dyDescent="0.2">
      <c r="A8" s="1">
        <v>0.05</v>
      </c>
      <c r="B8" t="s">
        <v>6</v>
      </c>
      <c r="C8">
        <f>C2-C3+C4-C5-C6</f>
        <v>244.79999999999995</v>
      </c>
      <c r="D8">
        <f t="shared" ref="D8:G8" si="6">D2-D3+D4-D5-D6</f>
        <v>285.35999999999996</v>
      </c>
      <c r="E8">
        <f t="shared" si="6"/>
        <v>332.17199999999991</v>
      </c>
      <c r="F8">
        <f t="shared" si="6"/>
        <v>386.05739999999992</v>
      </c>
      <c r="G8">
        <f t="shared" si="6"/>
        <v>447.90002999999984</v>
      </c>
      <c r="H8" t="str">
        <f t="shared" ca="1" si="2"/>
        <v>=G2-G3+G4-G5-G6</v>
      </c>
    </row>
    <row r="9" spans="1:8" x14ac:dyDescent="0.2">
      <c r="B9" t="s">
        <v>8</v>
      </c>
      <c r="G9">
        <f>G8*(1+A8)/(14%-A8)</f>
        <v>5225.5003499999984</v>
      </c>
      <c r="H9" t="str">
        <f t="shared" ca="1" si="2"/>
        <v>=G8*(1+A8)/(14%-A8)</v>
      </c>
    </row>
    <row r="11" spans="1:8" x14ac:dyDescent="0.2">
      <c r="B11" t="s">
        <v>9</v>
      </c>
      <c r="D11">
        <f>D8/(1+14%)^(D1-$C$1)</f>
        <v>250.31578947368413</v>
      </c>
      <c r="E11">
        <f t="shared" ref="E11:G11" si="7">E8/(1+14%)^(E1-$C$1)</f>
        <v>255.59556786703587</v>
      </c>
      <c r="F11">
        <f t="shared" si="7"/>
        <v>260.57774861900816</v>
      </c>
      <c r="G11">
        <f>(G8 + G9)/(1+14%)^(G1-$C$1)</f>
        <v>3359.108470622537</v>
      </c>
    </row>
    <row r="12" spans="1:8" x14ac:dyDescent="0.2">
      <c r="D12" t="str">
        <f ca="1">_xlfn.FORMULATEXT(D11)</f>
        <v>=D8/(1+14%)^(D1-$C$1)</v>
      </c>
      <c r="G12" t="str">
        <f ca="1">_xlfn.FORMULATEXT(G11)</f>
        <v>=(G8 + G9)/(1+14%)^(G1-$C$1)</v>
      </c>
    </row>
    <row r="13" spans="1:8" x14ac:dyDescent="0.2">
      <c r="B13" t="s">
        <v>10</v>
      </c>
      <c r="C13">
        <f>SUM(D11:G11)</f>
        <v>4125.597576582265</v>
      </c>
      <c r="D13" t="str">
        <f ca="1">_xlfn.FORMULATEXT(C13)</f>
        <v>=SUM(D11:G11)</v>
      </c>
    </row>
    <row r="15" spans="1:8" x14ac:dyDescent="0.2">
      <c r="B15" t="s">
        <v>12</v>
      </c>
      <c r="C15">
        <v>450</v>
      </c>
      <c r="D15" t="s">
        <v>13</v>
      </c>
    </row>
    <row r="16" spans="1:8" x14ac:dyDescent="0.2">
      <c r="B16" t="s">
        <v>11</v>
      </c>
      <c r="C16">
        <f>C13-C15</f>
        <v>3675.597576582265</v>
      </c>
      <c r="D16" t="str">
        <f ca="1">_xlfn.FORMULATEXT(C16)</f>
        <v>=C13-C15</v>
      </c>
    </row>
    <row r="18" spans="2:4" x14ac:dyDescent="0.2">
      <c r="B18" t="s">
        <v>14</v>
      </c>
      <c r="C18">
        <f>C16/10</f>
        <v>367.55975765822649</v>
      </c>
      <c r="D18" t="str">
        <f t="shared" ref="D17:D18" ca="1" si="8">_xlfn.FORMULATEXT(C18)</f>
        <v>=C16/10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024C-546D-3E41-83A6-C9EFFA45E788}">
  <dimension ref="A1:H20"/>
  <sheetViews>
    <sheetView tabSelected="1" zoomScale="160" zoomScaleNormal="160" workbookViewId="0">
      <selection activeCell="E20" sqref="E20"/>
    </sheetView>
  </sheetViews>
  <sheetFormatPr baseColWidth="10" defaultRowHeight="16" x14ac:dyDescent="0.2"/>
  <cols>
    <col min="2" max="2" width="12" customWidth="1"/>
  </cols>
  <sheetData>
    <row r="1" spans="1:8" x14ac:dyDescent="0.2">
      <c r="A1" t="s">
        <v>7</v>
      </c>
      <c r="B1" t="s">
        <v>0</v>
      </c>
      <c r="C1">
        <v>2024</v>
      </c>
      <c r="D1">
        <v>2025</v>
      </c>
      <c r="E1">
        <v>2026</v>
      </c>
      <c r="F1">
        <v>2027</v>
      </c>
      <c r="G1">
        <v>2028</v>
      </c>
    </row>
    <row r="2" spans="1:8" x14ac:dyDescent="0.2">
      <c r="A2" s="1">
        <v>0.2</v>
      </c>
      <c r="B2" t="s">
        <v>1</v>
      </c>
      <c r="C2">
        <v>480</v>
      </c>
      <c r="D2">
        <f>C2*(1+$A$2)</f>
        <v>576</v>
      </c>
      <c r="E2">
        <f t="shared" ref="E2:G2" si="0">D2*(1+$A$2)</f>
        <v>691.19999999999993</v>
      </c>
      <c r="F2">
        <f t="shared" si="0"/>
        <v>829.43999999999994</v>
      </c>
      <c r="G2">
        <f t="shared" si="0"/>
        <v>995.32799999999986</v>
      </c>
      <c r="H2" t="str">
        <f ca="1">_xlfn.FORMULATEXT(G2)</f>
        <v>=F2*(1+$A$2)</v>
      </c>
    </row>
    <row r="3" spans="1:8" x14ac:dyDescent="0.2">
      <c r="B3" t="s">
        <v>2</v>
      </c>
      <c r="C3">
        <f>C2*34%</f>
        <v>163.20000000000002</v>
      </c>
      <c r="D3">
        <f>D2*34%</f>
        <v>195.84</v>
      </c>
      <c r="E3">
        <f t="shared" ref="E3:G3" si="1">E2*34%</f>
        <v>235.00799999999998</v>
      </c>
      <c r="F3">
        <f t="shared" si="1"/>
        <v>282.00959999999998</v>
      </c>
      <c r="G3">
        <f t="shared" si="1"/>
        <v>338.41152</v>
      </c>
      <c r="H3" t="str">
        <f t="shared" ref="H3:H9" ca="1" si="2">_xlfn.FORMULATEXT(G3)</f>
        <v>=G2*34%</v>
      </c>
    </row>
    <row r="4" spans="1:8" x14ac:dyDescent="0.2">
      <c r="A4" s="1">
        <v>0.15</v>
      </c>
      <c r="B4" t="s">
        <v>3</v>
      </c>
      <c r="C4">
        <v>96</v>
      </c>
      <c r="D4">
        <f>C4*(1+$A$4)</f>
        <v>110.39999999999999</v>
      </c>
      <c r="E4">
        <f t="shared" ref="E4:G4" si="3">D4*(1+$A$4)</f>
        <v>126.95999999999998</v>
      </c>
      <c r="F4">
        <f t="shared" si="3"/>
        <v>146.00399999999996</v>
      </c>
      <c r="G4">
        <f t="shared" si="3"/>
        <v>167.90459999999993</v>
      </c>
      <c r="H4" t="str">
        <f t="shared" ca="1" si="2"/>
        <v>=F4*(1+$A$4)</v>
      </c>
    </row>
    <row r="5" spans="1:8" x14ac:dyDescent="0.2">
      <c r="A5" s="1">
        <v>0.25</v>
      </c>
      <c r="B5" t="s">
        <v>15</v>
      </c>
      <c r="C5">
        <v>120</v>
      </c>
      <c r="D5">
        <f>C5*(1+$A$5)</f>
        <v>150</v>
      </c>
      <c r="E5">
        <f t="shared" ref="E5:G5" si="4">D5*(1+$A$5)</f>
        <v>187.5</v>
      </c>
      <c r="F5">
        <f t="shared" si="4"/>
        <v>234.375</v>
      </c>
      <c r="G5">
        <f t="shared" si="4"/>
        <v>292.96875</v>
      </c>
      <c r="H5" t="str">
        <f t="shared" ca="1" si="2"/>
        <v>=F5*(1+$A$5)</v>
      </c>
    </row>
    <row r="6" spans="1:8" x14ac:dyDescent="0.2">
      <c r="A6" s="1">
        <v>0.15</v>
      </c>
      <c r="B6" t="s">
        <v>16</v>
      </c>
      <c r="C6">
        <v>48</v>
      </c>
      <c r="D6">
        <f>C6*(1+$A$6)</f>
        <v>55.199999999999996</v>
      </c>
      <c r="E6">
        <f t="shared" ref="E6:G6" si="5">D6*(1+$A$6)</f>
        <v>63.47999999999999</v>
      </c>
      <c r="F6">
        <f t="shared" si="5"/>
        <v>73.001999999999981</v>
      </c>
      <c r="G6">
        <f t="shared" si="5"/>
        <v>83.952299999999966</v>
      </c>
      <c r="H6" t="str">
        <f t="shared" ca="1" si="2"/>
        <v>=F6*(1+$A$6)</v>
      </c>
    </row>
    <row r="8" spans="1:8" x14ac:dyDescent="0.2">
      <c r="B8" t="s">
        <v>6</v>
      </c>
      <c r="C8">
        <f>C2-C3+C4-C5-C6</f>
        <v>244.79999999999995</v>
      </c>
      <c r="D8">
        <f>D2-D3+D4-D5-D6</f>
        <v>285.35999999999996</v>
      </c>
      <c r="E8">
        <f t="shared" ref="E8:G8" si="6">E2-E3+E4-E5-E6</f>
        <v>332.17199999999991</v>
      </c>
      <c r="F8">
        <f t="shared" si="6"/>
        <v>386.05739999999992</v>
      </c>
      <c r="G8">
        <f t="shared" si="6"/>
        <v>447.90002999999984</v>
      </c>
      <c r="H8" t="str">
        <f t="shared" ca="1" si="2"/>
        <v>=G2-G3+G4-G5-G6</v>
      </c>
    </row>
    <row r="9" spans="1:8" x14ac:dyDescent="0.2">
      <c r="B9" t="s">
        <v>8</v>
      </c>
      <c r="G9">
        <f>G8*(1 + 5%)/(14% - 5%)</f>
        <v>5225.5003499999984</v>
      </c>
      <c r="H9" t="str">
        <f t="shared" ca="1" si="2"/>
        <v>=G8*(1 + 5%)/(14% - 5%)</v>
      </c>
    </row>
    <row r="11" spans="1:8" x14ac:dyDescent="0.2">
      <c r="B11" t="s">
        <v>9</v>
      </c>
      <c r="D11">
        <f>D8/(1 + 14%)^(D1-$C$1)</f>
        <v>250.31578947368413</v>
      </c>
      <c r="E11">
        <f t="shared" ref="E11:G11" si="7">E8/(1 + 14%)^(E1-$C$1)</f>
        <v>255.59556786703587</v>
      </c>
      <c r="F11">
        <f t="shared" si="7"/>
        <v>260.57774861900816</v>
      </c>
      <c r="G11">
        <f>(G8 + G9)/(1 + 14%)^(G1-$C$1)</f>
        <v>3359.108470622537</v>
      </c>
    </row>
    <row r="12" spans="1:8" x14ac:dyDescent="0.2">
      <c r="D12" t="str">
        <f ca="1">_xlfn.FORMULATEXT(D11)</f>
        <v>=D8/(1 + 14%)^(D1-$C$1)</v>
      </c>
      <c r="G12" t="str">
        <f ca="1">_xlfn.FORMULATEXT(G11)</f>
        <v>=(G8 + G9)/(1 + 14%)^(G1-$C$1)</v>
      </c>
    </row>
    <row r="14" spans="1:8" x14ac:dyDescent="0.2">
      <c r="B14" t="s">
        <v>10</v>
      </c>
      <c r="C14">
        <f>SUM(D11:G11)</f>
        <v>4125.597576582265</v>
      </c>
      <c r="D14" t="str">
        <f ca="1">_xlfn.FORMULATEXT(C14)</f>
        <v>=SUM(D11:G11)</v>
      </c>
    </row>
    <row r="16" spans="1:8" x14ac:dyDescent="0.2">
      <c r="B16" t="s">
        <v>12</v>
      </c>
      <c r="C16">
        <v>450</v>
      </c>
      <c r="D16" t="s">
        <v>13</v>
      </c>
    </row>
    <row r="18" spans="2:4" x14ac:dyDescent="0.2">
      <c r="B18" t="s">
        <v>11</v>
      </c>
      <c r="C18">
        <f>C14-C16</f>
        <v>3675.597576582265</v>
      </c>
      <c r="D18" t="str">
        <f ca="1">_xlfn.FORMULATEXT(C18)</f>
        <v>=C14-C16</v>
      </c>
    </row>
    <row r="20" spans="2:4" x14ac:dyDescent="0.2">
      <c r="B20" t="s">
        <v>14</v>
      </c>
      <c r="C20">
        <f>C18/10</f>
        <v>367.55975765822649</v>
      </c>
      <c r="D20" t="str">
        <f t="shared" ref="D19:D20" ca="1" si="8">_xlfn.FORMULATEXT(C20)</f>
        <v>=C18/10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Iulian Obreja</dc:creator>
  <cp:lastModifiedBy>Iulian Obreja</cp:lastModifiedBy>
  <dcterms:created xsi:type="dcterms:W3CDTF">2025-11-20T18:32:19Z</dcterms:created>
  <dcterms:modified xsi:type="dcterms:W3CDTF">2025-11-28T18:17:00Z</dcterms:modified>
</cp:coreProperties>
</file>