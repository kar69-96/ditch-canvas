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13_ncr:1_{5195DDCB-DCFA-C741-A06B-CC3E329A34EB}" xr6:coauthVersionLast="47" xr6:coauthVersionMax="47" xr10:uidLastSave="{00000000-0000-0000-0000-000000000000}"/>
  <bookViews>
    <workbookView xWindow="0" yWindow="500" windowWidth="26580" windowHeight="16260" activeTab="1" xr2:uid="{193B844C-F7DA-9A44-97EA-3CAA46FDEBAD}"/>
  </bookViews>
  <sheets>
    <sheet name="Application 4" sheetId="1" r:id="rId1"/>
    <sheet name="Application 4 Better" sheetId="4" r:id="rId2"/>
    <sheet name="Application 5" sheetId="5" r:id="rId3"/>
  </sheets>
  <definedNames>
    <definedName name="solver_adj" localSheetId="0" hidden="1">'Application 4'!$D$4</definedName>
    <definedName name="solver_adj" localSheetId="1" hidden="1">'Application 4 Better'!$B$12:$C$12</definedName>
    <definedName name="solver_adj" localSheetId="2" hidden="1">'Application 5'!$B$14:$D$14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1" hidden="1">'Application 4 Better'!$D$12</definedName>
    <definedName name="solver_lhs1" localSheetId="2" hidden="1">'Application 5'!$E$14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1</definedName>
    <definedName name="solver_num" localSheetId="2" hidden="1">1</definedName>
    <definedName name="solver_opt" localSheetId="0" hidden="1">'Application 4'!$B$20</definedName>
    <definedName name="solver_opt" localSheetId="1" hidden="1">'Application 4 Better'!$C$17</definedName>
    <definedName name="solver_opt" localSheetId="2" hidden="1">'Application 5'!$B$15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hs1" localSheetId="1" hidden="1">1</definedName>
    <definedName name="solver_rhs1" localSheetId="2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5" l="1"/>
  <c r="B45" i="5"/>
  <c r="E45" i="5"/>
  <c r="F45" i="5"/>
  <c r="D45" i="5"/>
  <c r="E44" i="5"/>
  <c r="F44" i="5"/>
  <c r="D44" i="5"/>
  <c r="C42" i="5"/>
  <c r="B42" i="5" s="1"/>
  <c r="B38" i="5"/>
  <c r="B37" i="5"/>
  <c r="B36" i="5"/>
  <c r="B35" i="5"/>
  <c r="B25" i="5" a="1"/>
  <c r="B25" i="5" s="1"/>
  <c r="B26" i="5" s="1"/>
  <c r="B24" i="5" a="1"/>
  <c r="B24" i="5" s="1"/>
  <c r="E23" i="5"/>
  <c r="B15" i="5" a="1"/>
  <c r="B15" i="5" s="1"/>
  <c r="E14" i="5"/>
  <c r="C10" i="5"/>
  <c r="B10" i="5"/>
  <c r="B9" i="5"/>
  <c r="D10" i="5"/>
  <c r="C4" i="5"/>
  <c r="C9" i="5" s="1"/>
  <c r="D4" i="5"/>
  <c r="E4" i="5"/>
  <c r="B4" i="5"/>
  <c r="B8" i="5" s="1"/>
  <c r="E34" i="4"/>
  <c r="D34" i="4"/>
  <c r="D35" i="4" s="1"/>
  <c r="E35" i="4"/>
  <c r="B35" i="4"/>
  <c r="C32" i="4"/>
  <c r="B32" i="4" s="1"/>
  <c r="B28" i="4"/>
  <c r="B27" i="4"/>
  <c r="B26" i="4"/>
  <c r="B25" i="4"/>
  <c r="C15" i="4" a="1"/>
  <c r="C15" i="4" s="1"/>
  <c r="C16" i="4" s="1"/>
  <c r="B15" i="4"/>
  <c r="B16" i="4" s="1"/>
  <c r="C14" i="4" a="1"/>
  <c r="C14" i="4" s="1"/>
  <c r="B14" i="4"/>
  <c r="D12" i="4"/>
  <c r="B9" i="4"/>
  <c r="C8" i="4"/>
  <c r="B8" i="4"/>
  <c r="C4" i="4"/>
  <c r="C9" i="4" s="1"/>
  <c r="D4" i="4"/>
  <c r="B4" i="4"/>
  <c r="B30" i="1"/>
  <c r="D5" i="1"/>
  <c r="B16" i="1" s="1"/>
  <c r="B17" i="1" s="1"/>
  <c r="G45" i="5"/>
  <c r="G44" i="5"/>
  <c r="G42" i="5"/>
  <c r="G38" i="5"/>
  <c r="G37" i="5"/>
  <c r="G36" i="5"/>
  <c r="G35" i="5"/>
  <c r="G27" i="5"/>
  <c r="G26" i="5"/>
  <c r="G25" i="5"/>
  <c r="G24" i="5"/>
  <c r="G15" i="5"/>
  <c r="G14" i="5"/>
  <c r="G4" i="5"/>
  <c r="F34" i="4"/>
  <c r="F35" i="4"/>
  <c r="F32" i="4"/>
  <c r="F28" i="4"/>
  <c r="F27" i="4"/>
  <c r="F26" i="4"/>
  <c r="F25" i="4"/>
  <c r="F19" i="4"/>
  <c r="F18" i="4"/>
  <c r="F17" i="4"/>
  <c r="F16" i="4"/>
  <c r="F15" i="4"/>
  <c r="F14" i="4"/>
  <c r="F12" i="4"/>
  <c r="F4" i="4"/>
  <c r="E5" i="1"/>
  <c r="C17" i="1"/>
  <c r="C16" i="1"/>
  <c r="C15" i="1"/>
  <c r="C20" i="1"/>
  <c r="B27" i="5" l="1"/>
  <c r="F37" i="4"/>
  <c r="C17" i="4"/>
  <c r="B15" i="1"/>
  <c r="B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<sst xmlns="http://schemas.openxmlformats.org/spreadsheetml/2006/main" count="139" uniqueCount="59">
  <si>
    <t>A1</t>
  </si>
  <si>
    <t>A2</t>
  </si>
  <si>
    <t>F</t>
  </si>
  <si>
    <t>Er</t>
  </si>
  <si>
    <t>Sigma</t>
  </si>
  <si>
    <t>Covariance</t>
  </si>
  <si>
    <t>Weights</t>
  </si>
  <si>
    <t>Er(S)</t>
  </si>
  <si>
    <t>Sigma(S)</t>
  </si>
  <si>
    <t>Sharpe ratio</t>
  </si>
  <si>
    <t>The weights of the ORP are:</t>
  </si>
  <si>
    <t>Lecture 4 Supplement: Application 4</t>
  </si>
  <si>
    <t>Find the Optimal risky portfolio using Solver</t>
  </si>
  <si>
    <t>Step 1: Set up</t>
  </si>
  <si>
    <t>Start with a portfolio that has 50% weight in A1 and 50% weight in A2</t>
  </si>
  <si>
    <t>Then calculate portfolio stats:</t>
  </si>
  <si>
    <t>Finally, calculate the portfolio's Sharpe ratio</t>
  </si>
  <si>
    <t>Step 2: Ask Solver to maximize the Sharpe ratio in cell B20 by changing the weight of the portfolio in cell D4</t>
  </si>
  <si>
    <t>Here's a snapshot of the Solver pop-up window:</t>
  </si>
  <si>
    <t>You click Solve and Solver will update the portfolio weight in cell D4 to the solution it found</t>
  </si>
  <si>
    <t>To summarize, the weights of the ORP portfolio are:</t>
  </si>
  <si>
    <t>Asset</t>
  </si>
  <si>
    <t>Weight</t>
  </si>
  <si>
    <t>Var(S)</t>
  </si>
  <si>
    <t>A</t>
  </si>
  <si>
    <t>Cov Matrix</t>
  </si>
  <si>
    <t>Var</t>
  </si>
  <si>
    <t>ER(T)</t>
  </si>
  <si>
    <t>Var(T)</t>
  </si>
  <si>
    <t>Sigma(T)</t>
  </si>
  <si>
    <t>Formulas</t>
  </si>
  <si>
    <t>SR(T)</t>
  </si>
  <si>
    <t>Portfolio: P</t>
  </si>
  <si>
    <t>T-Bills</t>
  </si>
  <si>
    <t>ORP T</t>
  </si>
  <si>
    <t>ER(P)</t>
  </si>
  <si>
    <t>Sigma(P)</t>
  </si>
  <si>
    <t>SR(P)</t>
  </si>
  <si>
    <t>Portfolio: Complete C</t>
  </si>
  <si>
    <t>Check</t>
  </si>
  <si>
    <t>A3</t>
  </si>
  <si>
    <t>ORP: T</t>
  </si>
  <si>
    <t>Solver:</t>
  </si>
  <si>
    <t>Q2</t>
  </si>
  <si>
    <t>Q1</t>
  </si>
  <si>
    <t>Var(M)</t>
  </si>
  <si>
    <t xml:space="preserve">Solver: </t>
  </si>
  <si>
    <t>Q3</t>
  </si>
  <si>
    <t>Q4</t>
  </si>
  <si>
    <t>Check!</t>
  </si>
  <si>
    <t>Sigma (StDv)</t>
  </si>
  <si>
    <t>Cov</t>
  </si>
  <si>
    <t>Optimal Risky portfolio (ORP): T</t>
  </si>
  <si>
    <t>Check adds up to 1?</t>
  </si>
  <si>
    <t>Matrices</t>
  </si>
  <si>
    <t>Final weights of C</t>
  </si>
  <si>
    <t>Portfolio: Minimum variance M</t>
  </si>
  <si>
    <t>Final weights for C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</si>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</sst>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0" borderId="0" xfId="0" applyNumberFormat="1"/>
    <xf numFmtId="0" fontId="0" fillId="0" borderId="0" xfId="0" applyNumberFormat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7471</xdr:colOff>
      <xdr:row>23</xdr:row>
      <xdr:rowOff>194236</xdr:rowOff>
    </xdr:from>
    <xdr:to>
      <xdr:col>6</xdr:col>
      <xdr:colOff>747059</xdr:colOff>
      <xdr:row>39</xdr:row>
      <xdr:rowOff>156361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2C1C3-4CEA-FF91-66BD-59BC2A482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4412" y="4833471"/>
          <a:ext cx="2398059" cy="3189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1820</xdr:colOff>
      <xdr:row>0</xdr:row>
      <xdr:rowOff>133684</xdr:rowOff>
    </xdr:from>
    <xdr:to>
      <xdr:col>8</xdr:col>
      <xdr:colOff>146383</xdr:colOff>
      <xdr:row>12</xdr:row>
      <xdr:rowOff>136356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4379B-5B9B-ECF3-7454-858D31F9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7925" y="133684"/>
          <a:ext cx="1802247" cy="24089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52294</xdr:colOff>
      <xdr:row>26</xdr:row>
      <xdr:rowOff>1520</xdr:rowOff>
    </xdr:from>
    <xdr:to>
      <xdr:col>5</xdr:col>
      <xdr:colOff>806822</xdr:colOff>
      <xdr:row>36</xdr:row>
      <xdr:rowOff>105430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06116E-6FA7-394D-031A-663E1F5E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4412" y="5245873"/>
          <a:ext cx="1583763" cy="2120969"/>
        </a:xfrm>
        <a:prstGeom prst="rect">
          <a:avLst/>
        </a:prstGeom>
      </xdr:spPr>
    </xdr:pic>
    <xdr:clientData/>
  </xdr:twoCellAnchor>
  <xdr:twoCellAnchor editAs="oneCell">
    <xdr:from>
      <xdr:col>6</xdr:col>
      <xdr:colOff>1886</xdr:colOff>
      <xdr:row>15</xdr:row>
      <xdr:rowOff>7470</xdr:rowOff>
    </xdr:from>
    <xdr:to>
      <xdr:col>7</xdr:col>
      <xdr:colOff>388244</xdr:colOff>
      <xdr:row>23</xdr:row>
      <xdr:rowOff>7470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689F8C-9FF5-FAAB-6430-BCD336538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2474" y="3033058"/>
          <a:ext cx="1215594" cy="1613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9C7D-6264-F04C-94A0-5324261AD2C0}">
  <dimension ref="A1:H30"/>
  <sheetViews>
    <sheetView topLeftCell="A19" zoomScale="170" zoomScaleNormal="170" workbookViewId="0">
      <selection activeCell="D18" sqref="D18"/>
    </sheetView>
  </sheetViews>
  <sheetFormatPr baseColWidth="10" defaultRowHeight="16" x14ac:dyDescent="0.2"/>
  <sheetData>
    <row r="1" spans="1:5" x14ac:dyDescent="0.2">
      <c r="A1" s="3" t="s">
        <v>11</v>
      </c>
      <c r="B1" s="3"/>
      <c r="C1" s="3"/>
    </row>
    <row r="3" spans="1:5" x14ac:dyDescent="0.2">
      <c r="B3" t="s">
        <v>3</v>
      </c>
      <c r="C3" t="s">
        <v>4</v>
      </c>
      <c r="D3" t="s">
        <v>6</v>
      </c>
    </row>
    <row r="4" spans="1:5" x14ac:dyDescent="0.2">
      <c r="A4" t="s">
        <v>0</v>
      </c>
      <c r="B4" s="1">
        <v>0.12</v>
      </c>
      <c r="C4" s="1">
        <v>0.25</v>
      </c>
      <c r="D4" s="1">
        <v>0.5</v>
      </c>
    </row>
    <row r="5" spans="1:5" x14ac:dyDescent="0.2">
      <c r="A5" t="s">
        <v>1</v>
      </c>
      <c r="B5" s="1">
        <v>0.09</v>
      </c>
      <c r="C5" s="1">
        <v>0.18</v>
      </c>
      <c r="D5" s="1">
        <f>1-D4</f>
        <v>0.5</v>
      </c>
      <c r="E5" t="str">
        <f ca="1">_xlfn.FORMULATEXT(D5)</f>
        <v>=1-D4</v>
      </c>
    </row>
    <row r="6" spans="1:5" x14ac:dyDescent="0.2">
      <c r="A6" t="s">
        <v>2</v>
      </c>
      <c r="B6" s="1">
        <v>0.04</v>
      </c>
    </row>
    <row r="8" spans="1:5" x14ac:dyDescent="0.2">
      <c r="A8" t="s">
        <v>5</v>
      </c>
      <c r="B8" s="1">
        <v>0.03</v>
      </c>
    </row>
    <row r="10" spans="1:5" x14ac:dyDescent="0.2">
      <c r="A10" s="4" t="s">
        <v>12</v>
      </c>
      <c r="B10" s="4"/>
      <c r="C10" s="4"/>
      <c r="D10" s="4"/>
    </row>
    <row r="11" spans="1:5" x14ac:dyDescent="0.2">
      <c r="A11" s="5" t="s">
        <v>13</v>
      </c>
    </row>
    <row r="12" spans="1:5" x14ac:dyDescent="0.2">
      <c r="A12" t="s">
        <v>14</v>
      </c>
    </row>
    <row r="14" spans="1:5" x14ac:dyDescent="0.2">
      <c r="A14" t="s">
        <v>15</v>
      </c>
    </row>
    <row r="15" spans="1:5" x14ac:dyDescent="0.2">
      <c r="A15" t="s">
        <v>7</v>
      </c>
      <c r="B15" s="2">
        <f>SUMPRODUCT(B4:B5,D4:D5)</f>
        <v>0.105</v>
      </c>
      <c r="C15" t="str">
        <f ca="1">_xlfn.FORMULATEXT(B15)</f>
        <v>=SUMPRODUCT(B4:B5,D4:D5)</v>
      </c>
    </row>
    <row r="16" spans="1:5" x14ac:dyDescent="0.2">
      <c r="A16" t="s">
        <v>23</v>
      </c>
      <c r="B16">
        <f>(D4^2)*(C4^2) + (D5^2)*(C5^2) + 2*D4*D5*B8</f>
        <v>3.8724999999999996E-2</v>
      </c>
      <c r="C16" t="str">
        <f ca="1">_xlfn.FORMULATEXT(B16)</f>
        <v>=(D4^2)*(C4^2) + (D5^2)*(C5^2) + 2*D4*D5*B8</v>
      </c>
    </row>
    <row r="17" spans="1:8" x14ac:dyDescent="0.2">
      <c r="A17" t="s">
        <v>8</v>
      </c>
      <c r="B17">
        <f>SQRT(B16)</f>
        <v>0.19678668654154427</v>
      </c>
      <c r="C17" t="str">
        <f t="shared" ref="C17" ca="1" si="0">_xlfn.FORMULATEXT(B17)</f>
        <v>=SQRT(B16)</v>
      </c>
    </row>
    <row r="19" spans="1:8" x14ac:dyDescent="0.2">
      <c r="A19" t="s">
        <v>16</v>
      </c>
    </row>
    <row r="20" spans="1:8" x14ac:dyDescent="0.2">
      <c r="A20" t="s">
        <v>9</v>
      </c>
      <c r="B20">
        <f>(B15 - B6)/B17</f>
        <v>0.33030689800388324</v>
      </c>
      <c r="C20" t="str">
        <f ca="1">_xlfn.FORMULATEXT(B20)</f>
        <v>=(B15 - B6)/B17</v>
      </c>
    </row>
    <row r="22" spans="1:8" x14ac:dyDescent="0.2">
      <c r="A22" s="5" t="s">
        <v>17</v>
      </c>
      <c r="B22" s="5"/>
      <c r="C22" s="5"/>
      <c r="D22" s="5"/>
      <c r="E22" s="5"/>
      <c r="F22" s="5"/>
      <c r="G22" s="5"/>
      <c r="H22" s="5"/>
    </row>
    <row r="23" spans="1:8" x14ac:dyDescent="0.2">
      <c r="A23" t="s">
        <v>18</v>
      </c>
    </row>
    <row r="24" spans="1:8" x14ac:dyDescent="0.2">
      <c r="A24" t="s">
        <v>19</v>
      </c>
    </row>
    <row r="26" spans="1:8" x14ac:dyDescent="0.2">
      <c r="A26" s="6" t="s">
        <v>20</v>
      </c>
      <c r="B26" s="6"/>
      <c r="C26" s="6"/>
      <c r="D26" s="6"/>
    </row>
    <row r="27" spans="1:8" x14ac:dyDescent="0.2">
      <c r="A27" t="s">
        <v>10</v>
      </c>
    </row>
    <row r="28" spans="1:8" x14ac:dyDescent="0.2">
      <c r="A28" t="s">
        <v>21</v>
      </c>
      <c r="B28" t="s">
        <v>22</v>
      </c>
    </row>
    <row r="29" spans="1:8" x14ac:dyDescent="0.2">
      <c r="A29" t="s">
        <v>0</v>
      </c>
      <c r="B29" s="1">
        <v>0.6</v>
      </c>
    </row>
    <row r="30" spans="1:8" x14ac:dyDescent="0.2">
      <c r="A30" t="s">
        <v>1</v>
      </c>
      <c r="B30" s="1">
        <f>1-B29</f>
        <v>0.4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D2BA-8C5D-6148-A685-32F427AE2034}">
  <dimension ref="A1:F37"/>
  <sheetViews>
    <sheetView tabSelected="1" zoomScale="190" zoomScaleNormal="190" workbookViewId="0">
      <selection activeCell="I6" sqref="I6"/>
    </sheetView>
  </sheetViews>
  <sheetFormatPr baseColWidth="10" defaultRowHeight="16" x14ac:dyDescent="0.2"/>
  <cols>
    <col min="1" max="1" width="25.83203125" customWidth="1"/>
    <col min="2" max="2" width="10.83203125" customWidth="1"/>
    <col min="5" max="5" width="11.1640625" customWidth="1"/>
  </cols>
  <sheetData>
    <row r="1" spans="1:6" x14ac:dyDescent="0.2">
      <c r="B1" t="s">
        <v>0</v>
      </c>
      <c r="C1" t="s">
        <v>1</v>
      </c>
      <c r="D1" t="s">
        <v>33</v>
      </c>
      <c r="E1" t="s">
        <v>24</v>
      </c>
    </row>
    <row r="2" spans="1:6" x14ac:dyDescent="0.2">
      <c r="A2" t="s">
        <v>3</v>
      </c>
      <c r="B2" s="7">
        <v>0.12</v>
      </c>
      <c r="C2" s="7">
        <v>0.09</v>
      </c>
      <c r="D2" s="7">
        <v>0.04</v>
      </c>
      <c r="E2" s="8">
        <v>1.8</v>
      </c>
    </row>
    <row r="3" spans="1:6" x14ac:dyDescent="0.2">
      <c r="A3" t="s">
        <v>50</v>
      </c>
      <c r="B3" s="7">
        <v>0.25</v>
      </c>
      <c r="C3" s="7">
        <v>0.18</v>
      </c>
      <c r="D3" s="7">
        <v>0</v>
      </c>
    </row>
    <row r="4" spans="1:6" x14ac:dyDescent="0.2">
      <c r="A4" t="s">
        <v>26</v>
      </c>
      <c r="B4" s="7">
        <f>B3^2</f>
        <v>6.25E-2</v>
      </c>
      <c r="C4" s="7">
        <f t="shared" ref="C4:D4" si="0">C3^2</f>
        <v>3.2399999999999998E-2</v>
      </c>
      <c r="D4" s="7">
        <f t="shared" si="0"/>
        <v>0</v>
      </c>
      <c r="F4" t="str">
        <f ca="1">_xlfn.FORMULATEXT(B4)</f>
        <v>=B3^2</v>
      </c>
    </row>
    <row r="5" spans="1:6" x14ac:dyDescent="0.2">
      <c r="A5" t="s">
        <v>51</v>
      </c>
      <c r="B5" s="7">
        <v>0.03</v>
      </c>
      <c r="C5" s="7"/>
      <c r="D5" s="7"/>
    </row>
    <row r="7" spans="1:6" x14ac:dyDescent="0.2">
      <c r="A7" t="s">
        <v>25</v>
      </c>
      <c r="B7" t="s">
        <v>0</v>
      </c>
      <c r="C7" t="s">
        <v>1</v>
      </c>
    </row>
    <row r="8" spans="1:6" x14ac:dyDescent="0.2">
      <c r="A8" t="s">
        <v>0</v>
      </c>
      <c r="B8" s="7">
        <f>B4</f>
        <v>6.25E-2</v>
      </c>
      <c r="C8" s="7">
        <f>B5</f>
        <v>0.03</v>
      </c>
    </row>
    <row r="9" spans="1:6" x14ac:dyDescent="0.2">
      <c r="A9" t="s">
        <v>1</v>
      </c>
      <c r="B9" s="7">
        <f>C8</f>
        <v>0.03</v>
      </c>
      <c r="C9" s="7">
        <f>C4</f>
        <v>3.2399999999999998E-2</v>
      </c>
    </row>
    <row r="10" spans="1:6" x14ac:dyDescent="0.2">
      <c r="A10" s="6" t="s">
        <v>44</v>
      </c>
    </row>
    <row r="11" spans="1:6" x14ac:dyDescent="0.2">
      <c r="A11" t="s">
        <v>52</v>
      </c>
      <c r="B11" t="s">
        <v>0</v>
      </c>
      <c r="C11" t="s">
        <v>1</v>
      </c>
      <c r="D11" t="s">
        <v>53</v>
      </c>
    </row>
    <row r="12" spans="1:6" x14ac:dyDescent="0.2">
      <c r="A12" t="s">
        <v>6</v>
      </c>
      <c r="B12">
        <v>0.60099132893557583</v>
      </c>
      <c r="C12">
        <v>0.39900867106442434</v>
      </c>
      <c r="D12">
        <f>SUM(B12:C12)</f>
        <v>1.0000000000000002</v>
      </c>
      <c r="F12" t="str">
        <f ca="1">_xlfn.FORMULATEXT(D12)</f>
        <v>=SUM(B12:C12)</v>
      </c>
    </row>
    <row r="13" spans="1:6" x14ac:dyDescent="0.2">
      <c r="B13" t="s">
        <v>30</v>
      </c>
      <c r="C13" t="s">
        <v>54</v>
      </c>
    </row>
    <row r="14" spans="1:6" x14ac:dyDescent="0.2">
      <c r="A14" t="s">
        <v>27</v>
      </c>
      <c r="B14">
        <f>SUMPRODUCT(B12:C12,B2:C2)</f>
        <v>0.10802973986806728</v>
      </c>
      <c r="C14" cm="1">
        <f t="array" ref="C14">MMULT(B2:C2,TRANSPOSE(B12:C12))</f>
        <v>0.10802973986806728</v>
      </c>
      <c r="F14" t="str">
        <f ca="1">_xlfn.FORMULATEXT(B14)</f>
        <v>=SUMPRODUCT(B12:C12,B2:C2)</v>
      </c>
    </row>
    <row r="15" spans="1:6" x14ac:dyDescent="0.2">
      <c r="A15" t="s">
        <v>28</v>
      </c>
      <c r="B15">
        <f>B12^2*B4 + C12^2*C4 + 2*B12*C12*B5</f>
        <v>4.2120792774314908E-2</v>
      </c>
      <c r="C15" cm="1">
        <f t="array" ref="C15">MMULT(B12:C12,MMULT(B8:C9,TRANSPOSE(B12:C12)))</f>
        <v>4.2120792774314908E-2</v>
      </c>
      <c r="F15" t="str">
        <f ca="1">_xlfn.FORMULATEXT(C14)</f>
        <v>=MMULT(B2:C2,TRANSPOSE(B12:C12))</v>
      </c>
    </row>
    <row r="16" spans="1:6" x14ac:dyDescent="0.2">
      <c r="A16" t="s">
        <v>29</v>
      </c>
      <c r="B16">
        <f>SQRT(B15)</f>
        <v>0.20523350792284117</v>
      </c>
      <c r="C16">
        <f>SQRT(C15)</f>
        <v>0.20523350792284117</v>
      </c>
      <c r="F16" t="str">
        <f ca="1">_xlfn.FORMULATEXT(B15)</f>
        <v>=B12^2*B4 + C12^2*C4 + 2*B12*C12*B5</v>
      </c>
    </row>
    <row r="17" spans="1:6" x14ac:dyDescent="0.2">
      <c r="A17" t="s">
        <v>31</v>
      </c>
      <c r="C17">
        <f>(C14-D2)/C16</f>
        <v>0.3314748188860247</v>
      </c>
      <c r="F17" t="str">
        <f ca="1">_xlfn.FORMULATEXT(C15)</f>
        <v>=MMULT(B12:C12,MMULT(B8:C9,TRANSPOSE(B12:C12)))</v>
      </c>
    </row>
    <row r="18" spans="1:6" x14ac:dyDescent="0.2">
      <c r="F18" t="str">
        <f ca="1">_xlfn.FORMULATEXT(C16)</f>
        <v>=SQRT(C15)</v>
      </c>
    </row>
    <row r="19" spans="1:6" x14ac:dyDescent="0.2">
      <c r="A19" t="s">
        <v>46</v>
      </c>
      <c r="F19" t="str">
        <f ca="1">_xlfn.FORMULATEXT(C17)</f>
        <v>=(C14-D2)/C16</v>
      </c>
    </row>
    <row r="20" spans="1:6" x14ac:dyDescent="0.2">
      <c r="A20" t="s">
        <v>52</v>
      </c>
      <c r="B20" t="s">
        <v>0</v>
      </c>
      <c r="C20" t="s">
        <v>1</v>
      </c>
    </row>
    <row r="21" spans="1:6" x14ac:dyDescent="0.2">
      <c r="A21" t="s">
        <v>6</v>
      </c>
      <c r="B21">
        <v>0.60099132893557583</v>
      </c>
      <c r="C21">
        <v>0.39900867106442434</v>
      </c>
    </row>
    <row r="23" spans="1:6" x14ac:dyDescent="0.2">
      <c r="A23" s="6" t="s">
        <v>43</v>
      </c>
    </row>
    <row r="24" spans="1:6" x14ac:dyDescent="0.2">
      <c r="A24" t="s">
        <v>32</v>
      </c>
      <c r="B24" t="s">
        <v>33</v>
      </c>
      <c r="C24" t="s">
        <v>34</v>
      </c>
    </row>
    <row r="25" spans="1:6" x14ac:dyDescent="0.2">
      <c r="A25" t="s">
        <v>6</v>
      </c>
      <c r="B25" s="1">
        <f>1-C25</f>
        <v>0.30000000000000004</v>
      </c>
      <c r="C25" s="1">
        <v>0.7</v>
      </c>
      <c r="F25" t="str">
        <f ca="1">_xlfn.FORMULATEXT(B25)</f>
        <v>=1-C25</v>
      </c>
    </row>
    <row r="26" spans="1:6" x14ac:dyDescent="0.2">
      <c r="A26" t="s">
        <v>35</v>
      </c>
      <c r="B26" s="2">
        <f>B25*D2+C25*C14</f>
        <v>8.7620817907647086E-2</v>
      </c>
      <c r="F26" t="str">
        <f ca="1">_xlfn.FORMULATEXT(B26)</f>
        <v>=B25*D2+C25*C14</v>
      </c>
    </row>
    <row r="27" spans="1:6" x14ac:dyDescent="0.2">
      <c r="A27" t="s">
        <v>36</v>
      </c>
      <c r="B27">
        <f>C25*C16</f>
        <v>0.14366345554598881</v>
      </c>
      <c r="F27" t="str">
        <f ca="1">_xlfn.FORMULATEXT(B27)</f>
        <v>=C25*C16</v>
      </c>
    </row>
    <row r="28" spans="1:6" x14ac:dyDescent="0.2">
      <c r="A28" t="s">
        <v>37</v>
      </c>
      <c r="B28">
        <f>(B26-D2)/B27</f>
        <v>0.33147481888602459</v>
      </c>
      <c r="F28" t="str">
        <f ca="1">_xlfn.FORMULATEXT(B28)</f>
        <v>=(B26-D2)/B27</v>
      </c>
    </row>
    <row r="30" spans="1:6" x14ac:dyDescent="0.2">
      <c r="A30" s="6" t="s">
        <v>47</v>
      </c>
    </row>
    <row r="31" spans="1:6" x14ac:dyDescent="0.2">
      <c r="A31" t="s">
        <v>38</v>
      </c>
      <c r="B31" t="s">
        <v>33</v>
      </c>
      <c r="C31" t="s">
        <v>34</v>
      </c>
    </row>
    <row r="32" spans="1:6" x14ac:dyDescent="0.2">
      <c r="A32" t="s">
        <v>6</v>
      </c>
      <c r="B32" s="1">
        <f>1-C32</f>
        <v>0.10271632043566703</v>
      </c>
      <c r="C32" s="1">
        <f>(C14-D2)/(E2*C16^2)</f>
        <v>0.89728367956433297</v>
      </c>
      <c r="F32" t="str">
        <f ca="1">_xlfn.FORMULATEXT(C32)</f>
        <v>=(C14-D2)/(E2*C16^2)</v>
      </c>
    </row>
    <row r="33" spans="1:6" x14ac:dyDescent="0.2">
      <c r="D33" t="s">
        <v>0</v>
      </c>
      <c r="E33" t="s">
        <v>1</v>
      </c>
    </row>
    <row r="34" spans="1:6" x14ac:dyDescent="0.2">
      <c r="A34" s="6" t="s">
        <v>48</v>
      </c>
      <c r="D34">
        <f>B21</f>
        <v>0.60099132893557583</v>
      </c>
      <c r="E34">
        <f>C21</f>
        <v>0.39900867106442434</v>
      </c>
      <c r="F34" t="str">
        <f ca="1">_xlfn.FORMULATEXT(D34)</f>
        <v>=B21</v>
      </c>
    </row>
    <row r="35" spans="1:6" x14ac:dyDescent="0.2">
      <c r="A35" t="s">
        <v>55</v>
      </c>
      <c r="B35" s="1">
        <f>B32</f>
        <v>0.10271632043566703</v>
      </c>
      <c r="D35">
        <f>$C$32*D34</f>
        <v>0.53925971101357184</v>
      </c>
      <c r="E35">
        <f>$C$32*E34</f>
        <v>0.35802396855076124</v>
      </c>
      <c r="F35" t="str">
        <f ca="1">_xlfn.FORMULATEXT(D35)</f>
        <v>=$C$32*D34</v>
      </c>
    </row>
    <row r="37" spans="1:6" x14ac:dyDescent="0.2">
      <c r="E37" t="s">
        <v>49</v>
      </c>
      <c r="F37" s="1">
        <f>SUM(B35:E35)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79D0-5B33-0A47-BD62-48E0071E89BC}">
  <dimension ref="A1:G47"/>
  <sheetViews>
    <sheetView topLeftCell="A7" zoomScale="170" zoomScaleNormal="170" workbookViewId="0">
      <selection activeCell="E39" sqref="E39"/>
    </sheetView>
  </sheetViews>
  <sheetFormatPr baseColWidth="10" defaultRowHeight="16" x14ac:dyDescent="0.2"/>
  <cols>
    <col min="1" max="1" width="25.5" customWidth="1"/>
    <col min="2" max="2" width="12.33203125" customWidth="1"/>
  </cols>
  <sheetData>
    <row r="1" spans="1:7" x14ac:dyDescent="0.2">
      <c r="B1" t="s">
        <v>0</v>
      </c>
      <c r="C1" t="s">
        <v>1</v>
      </c>
      <c r="D1" t="s">
        <v>40</v>
      </c>
      <c r="E1" t="s">
        <v>33</v>
      </c>
      <c r="F1" t="s">
        <v>24</v>
      </c>
    </row>
    <row r="2" spans="1:7" x14ac:dyDescent="0.2">
      <c r="A2" t="s">
        <v>3</v>
      </c>
      <c r="B2" s="7">
        <v>0.08</v>
      </c>
      <c r="C2" s="7">
        <v>0.09</v>
      </c>
      <c r="D2" s="7">
        <v>0.11</v>
      </c>
      <c r="E2" s="7">
        <v>0.04</v>
      </c>
      <c r="F2" s="8">
        <v>15</v>
      </c>
    </row>
    <row r="3" spans="1:7" x14ac:dyDescent="0.2">
      <c r="A3" t="s">
        <v>50</v>
      </c>
      <c r="B3" s="7">
        <v>0.17</v>
      </c>
      <c r="C3" s="7">
        <v>0.19</v>
      </c>
      <c r="D3" s="7">
        <v>0.18</v>
      </c>
      <c r="E3" s="7">
        <v>0</v>
      </c>
    </row>
    <row r="4" spans="1:7" x14ac:dyDescent="0.2">
      <c r="A4" t="s">
        <v>26</v>
      </c>
      <c r="B4" s="7">
        <f>B3^2</f>
        <v>2.8900000000000006E-2</v>
      </c>
      <c r="C4" s="7">
        <f t="shared" ref="C4:E4" si="0">C3^2</f>
        <v>3.61E-2</v>
      </c>
      <c r="D4" s="7">
        <f t="shared" si="0"/>
        <v>3.2399999999999998E-2</v>
      </c>
      <c r="E4" s="7">
        <f t="shared" si="0"/>
        <v>0</v>
      </c>
      <c r="G4" s="7" t="str">
        <f ca="1">_xlfn.FORMULATEXT(B4)</f>
        <v>=B3^2</v>
      </c>
    </row>
    <row r="5" spans="1:7" x14ac:dyDescent="0.2">
      <c r="B5" s="7"/>
      <c r="C5" s="7"/>
      <c r="D5" s="7"/>
      <c r="E5" s="7"/>
    </row>
    <row r="7" spans="1:7" x14ac:dyDescent="0.2">
      <c r="A7" t="s">
        <v>25</v>
      </c>
      <c r="B7" t="s">
        <v>0</v>
      </c>
      <c r="C7" t="s">
        <v>1</v>
      </c>
      <c r="D7" t="s">
        <v>40</v>
      </c>
    </row>
    <row r="8" spans="1:7" x14ac:dyDescent="0.2">
      <c r="A8" t="s">
        <v>0</v>
      </c>
      <c r="B8" s="7">
        <f>B4</f>
        <v>2.8900000000000006E-2</v>
      </c>
      <c r="C8" s="7">
        <v>1.7000000000000001E-2</v>
      </c>
      <c r="D8" s="7">
        <v>-1.2999999999999999E-2</v>
      </c>
    </row>
    <row r="9" spans="1:7" x14ac:dyDescent="0.2">
      <c r="A9" t="s">
        <v>1</v>
      </c>
      <c r="B9" s="7">
        <f>C8</f>
        <v>1.7000000000000001E-2</v>
      </c>
      <c r="C9" s="7">
        <f>C4</f>
        <v>3.61E-2</v>
      </c>
      <c r="D9" s="7">
        <v>1.4999999999999999E-2</v>
      </c>
    </row>
    <row r="10" spans="1:7" x14ac:dyDescent="0.2">
      <c r="A10" t="s">
        <v>40</v>
      </c>
      <c r="B10" s="7">
        <f>D8</f>
        <v>-1.2999999999999999E-2</v>
      </c>
      <c r="C10" s="7">
        <f>D9</f>
        <v>1.4999999999999999E-2</v>
      </c>
      <c r="D10" s="7">
        <f>D4</f>
        <v>3.2399999999999998E-2</v>
      </c>
    </row>
    <row r="12" spans="1:7" x14ac:dyDescent="0.2">
      <c r="A12" s="6" t="s">
        <v>44</v>
      </c>
    </row>
    <row r="13" spans="1:7" x14ac:dyDescent="0.2">
      <c r="A13" t="s">
        <v>56</v>
      </c>
      <c r="B13" t="s">
        <v>0</v>
      </c>
      <c r="C13" t="s">
        <v>1</v>
      </c>
      <c r="D13" t="s">
        <v>40</v>
      </c>
      <c r="E13" t="s">
        <v>49</v>
      </c>
    </row>
    <row r="14" spans="1:7" x14ac:dyDescent="0.2">
      <c r="A14" t="s">
        <v>6</v>
      </c>
      <c r="B14">
        <v>0.8284557709935193</v>
      </c>
      <c r="C14">
        <v>-0.56802083153109728</v>
      </c>
      <c r="D14">
        <v>0.73956506053757831</v>
      </c>
      <c r="E14">
        <f>SUM(B14:D14)</f>
        <v>1.0000000000000004</v>
      </c>
      <c r="G14" t="str">
        <f ca="1">_xlfn.FORMULATEXT(E14)</f>
        <v>=SUM(B14:D14)</v>
      </c>
    </row>
    <row r="15" spans="1:7" x14ac:dyDescent="0.2">
      <c r="A15" t="s">
        <v>45</v>
      </c>
      <c r="B15" cm="1">
        <f t="array" ref="B15">MMULT(B14:D14,MMULT(B8:D10,TRANSPOSE(B14:D14)))</f>
        <v>4.6716707499843716E-3</v>
      </c>
      <c r="G15" t="str">
        <f ca="1">_xlfn.FORMULATEXT(B15)</f>
        <v>=MMULT(B14:D14,MMULT(B8:D10,TRANSPOSE(B14:D14)))</v>
      </c>
    </row>
    <row r="17" spans="1:7" x14ac:dyDescent="0.2">
      <c r="A17" t="s">
        <v>42</v>
      </c>
    </row>
    <row r="18" spans="1:7" x14ac:dyDescent="0.2">
      <c r="A18" t="s">
        <v>56</v>
      </c>
      <c r="B18" t="s">
        <v>0</v>
      </c>
      <c r="C18" t="s">
        <v>1</v>
      </c>
      <c r="D18" t="s">
        <v>40</v>
      </c>
    </row>
    <row r="19" spans="1:7" x14ac:dyDescent="0.2">
      <c r="A19" t="s">
        <v>6</v>
      </c>
      <c r="B19">
        <v>0.8284557709935193</v>
      </c>
      <c r="C19">
        <v>-0.56802083153109728</v>
      </c>
      <c r="D19">
        <v>0.73956506053757831</v>
      </c>
    </row>
    <row r="21" spans="1:7" x14ac:dyDescent="0.2">
      <c r="A21" s="6" t="s">
        <v>43</v>
      </c>
    </row>
    <row r="22" spans="1:7" x14ac:dyDescent="0.2">
      <c r="A22" t="s">
        <v>41</v>
      </c>
      <c r="B22" t="s">
        <v>0</v>
      </c>
      <c r="C22" t="s">
        <v>1</v>
      </c>
      <c r="D22" t="s">
        <v>40</v>
      </c>
      <c r="E22" t="s">
        <v>49</v>
      </c>
    </row>
    <row r="23" spans="1:7" x14ac:dyDescent="0.2">
      <c r="A23" t="s">
        <v>6</v>
      </c>
      <c r="B23">
        <v>0.81309744013046281</v>
      </c>
      <c r="C23">
        <v>-0.59205997647852127</v>
      </c>
      <c r="D23">
        <v>0.77896253634805879</v>
      </c>
      <c r="E23">
        <f>SUM(B23:D23)</f>
        <v>1.0000000000000004</v>
      </c>
    </row>
    <row r="24" spans="1:7" x14ac:dyDescent="0.2">
      <c r="A24" t="s">
        <v>27</v>
      </c>
      <c r="B24" cm="1">
        <f t="array" ref="B24">MMULT(B2:D2,TRANSPOSE(B23:D23))</f>
        <v>9.7448276325656571E-2</v>
      </c>
      <c r="G24" t="str">
        <f ca="1">_xlfn.FORMULATEXT(B24)</f>
        <v>=MMULT(B2:D2,TRANSPOSE(B23:D23))</v>
      </c>
    </row>
    <row r="25" spans="1:7" x14ac:dyDescent="0.2">
      <c r="A25" t="s">
        <v>28</v>
      </c>
      <c r="B25" cm="1">
        <f t="array" ref="B25">MMULT(B23:D23,MMULT(B8:D10,TRANSPOSE(B23:D23)))</f>
        <v>4.749511478611558E-3</v>
      </c>
      <c r="G25" t="str">
        <f ca="1">_xlfn.FORMULATEXT(B25)</f>
        <v>=MMULT(B23:D23,MMULT(B8:D10,TRANSPOSE(B23:D23)))</v>
      </c>
    </row>
    <row r="26" spans="1:7" x14ac:dyDescent="0.2">
      <c r="A26" t="s">
        <v>29</v>
      </c>
      <c r="B26">
        <f>SQRT(B25)</f>
        <v>6.8916699562671727E-2</v>
      </c>
      <c r="G26" t="str">
        <f ca="1">_xlfn.FORMULATEXT(B26)</f>
        <v>=SQRT(B25)</v>
      </c>
    </row>
    <row r="27" spans="1:7" x14ac:dyDescent="0.2">
      <c r="A27" t="s">
        <v>31</v>
      </c>
      <c r="B27" s="9">
        <f>(B24-E2)/B26</f>
        <v>0.83359006873818797</v>
      </c>
      <c r="G27" t="str">
        <f ca="1">_xlfn.FORMULATEXT(B27)</f>
        <v>=(B24-E2)/B26</v>
      </c>
    </row>
    <row r="29" spans="1:7" x14ac:dyDescent="0.2">
      <c r="A29" t="s">
        <v>42</v>
      </c>
    </row>
    <row r="30" spans="1:7" x14ac:dyDescent="0.2">
      <c r="A30" t="s">
        <v>41</v>
      </c>
      <c r="B30" t="s">
        <v>0</v>
      </c>
      <c r="C30" t="s">
        <v>1</v>
      </c>
      <c r="D30" t="s">
        <v>40</v>
      </c>
    </row>
    <row r="31" spans="1:7" x14ac:dyDescent="0.2">
      <c r="A31" t="s">
        <v>6</v>
      </c>
      <c r="B31">
        <v>0.81309744013046281</v>
      </c>
      <c r="C31">
        <v>-0.59205997647852127</v>
      </c>
      <c r="D31">
        <v>0.77896253634805879</v>
      </c>
    </row>
    <row r="33" spans="1:7" x14ac:dyDescent="0.2">
      <c r="A33" s="6" t="s">
        <v>47</v>
      </c>
    </row>
    <row r="34" spans="1:7" x14ac:dyDescent="0.2">
      <c r="A34" t="s">
        <v>32</v>
      </c>
      <c r="B34" t="s">
        <v>33</v>
      </c>
      <c r="C34" t="s">
        <v>34</v>
      </c>
    </row>
    <row r="35" spans="1:7" x14ac:dyDescent="0.2">
      <c r="A35" t="s">
        <v>6</v>
      </c>
      <c r="B35" s="1">
        <f>1-C35</f>
        <v>-0.10000000000000009</v>
      </c>
      <c r="C35" s="1">
        <v>1.1000000000000001</v>
      </c>
      <c r="G35" t="str">
        <f ca="1">_xlfn.FORMULATEXT(B35)</f>
        <v>=1-C35</v>
      </c>
    </row>
    <row r="36" spans="1:7" x14ac:dyDescent="0.2">
      <c r="A36" t="s">
        <v>35</v>
      </c>
      <c r="B36" s="2">
        <f>B35*E2+C35*B24</f>
        <v>0.10319310395822223</v>
      </c>
      <c r="G36" t="str">
        <f ca="1">_xlfn.FORMULATEXT(B36)</f>
        <v>=B35*E2+C35*B24</v>
      </c>
    </row>
    <row r="37" spans="1:7" x14ac:dyDescent="0.2">
      <c r="A37" t="s">
        <v>36</v>
      </c>
      <c r="B37">
        <f>C35*B26</f>
        <v>7.5808369518938906E-2</v>
      </c>
      <c r="G37" t="str">
        <f ca="1">_xlfn.FORMULATEXT(B37)</f>
        <v>=C35*B26</v>
      </c>
    </row>
    <row r="38" spans="1:7" x14ac:dyDescent="0.2">
      <c r="A38" t="s">
        <v>37</v>
      </c>
      <c r="B38" s="9">
        <f>(B36-E2)/B37</f>
        <v>0.83359006873818786</v>
      </c>
      <c r="G38" t="str">
        <f ca="1">_xlfn.FORMULATEXT(B38)</f>
        <v>=(B36-E2)/B37</v>
      </c>
    </row>
    <row r="40" spans="1:7" x14ac:dyDescent="0.2">
      <c r="A40" s="6" t="s">
        <v>48</v>
      </c>
    </row>
    <row r="41" spans="1:7" x14ac:dyDescent="0.2">
      <c r="A41" t="s">
        <v>38</v>
      </c>
      <c r="B41" t="s">
        <v>33</v>
      </c>
      <c r="C41" t="s">
        <v>34</v>
      </c>
    </row>
    <row r="42" spans="1:7" x14ac:dyDescent="0.2">
      <c r="A42" t="s">
        <v>6</v>
      </c>
      <c r="B42" s="1">
        <f>1-C42</f>
        <v>0.19362546956161708</v>
      </c>
      <c r="C42" s="1">
        <f>(B24 - E2)/(F2*B26^2)</f>
        <v>0.80637453043838292</v>
      </c>
      <c r="G42" t="str">
        <f ca="1">_xlfn.FORMULATEXT(C42)</f>
        <v>=(B24 - E2)/(F2*B26^2)</v>
      </c>
    </row>
    <row r="43" spans="1:7" x14ac:dyDescent="0.2">
      <c r="D43" t="s">
        <v>0</v>
      </c>
      <c r="E43" t="s">
        <v>1</v>
      </c>
      <c r="F43" t="s">
        <v>40</v>
      </c>
    </row>
    <row r="44" spans="1:7" x14ac:dyDescent="0.2">
      <c r="A44" s="6" t="s">
        <v>58</v>
      </c>
      <c r="D44">
        <f>B31</f>
        <v>0.81309744013046281</v>
      </c>
      <c r="E44">
        <f t="shared" ref="E44:F44" si="1">C31</f>
        <v>-0.59205997647852127</v>
      </c>
      <c r="F44">
        <f t="shared" si="1"/>
        <v>0.77896253634805879</v>
      </c>
      <c r="G44" t="str">
        <f ca="1">_xlfn.FORMULATEXT(D44)</f>
        <v>=B31</v>
      </c>
    </row>
    <row r="45" spans="1:7" x14ac:dyDescent="0.2">
      <c r="A45" t="s">
        <v>57</v>
      </c>
      <c r="B45" s="1">
        <f>B42</f>
        <v>0.19362546956161708</v>
      </c>
      <c r="D45">
        <f>$C$42*D44</f>
        <v>0.65566106648585309</v>
      </c>
      <c r="E45">
        <f t="shared" ref="E45:F45" si="2">$C$42*E44</f>
        <v>-0.4774220855242276</v>
      </c>
      <c r="F45">
        <f t="shared" si="2"/>
        <v>0.62813554947675765</v>
      </c>
      <c r="G45" t="str">
        <f ca="1">_xlfn.FORMULATEXT(D45)</f>
        <v>=$C$42*D44</v>
      </c>
    </row>
    <row r="47" spans="1:7" x14ac:dyDescent="0.2">
      <c r="F47" t="s">
        <v>39</v>
      </c>
      <c r="G47" s="1">
        <f>SUM(B45:F45)</f>
        <v>1.0000000000000002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4</vt:lpstr>
      <vt:lpstr>Application 4 Better</vt:lpstr>
      <vt:lpstr>Application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2025-10-14T18:27:13Z</dcterms:created>
  <dcterms:modified xsi:type="dcterms:W3CDTF">2025-10-16T22:21:17Z</dcterms:modified>
</cp:coreProperties>
</file>