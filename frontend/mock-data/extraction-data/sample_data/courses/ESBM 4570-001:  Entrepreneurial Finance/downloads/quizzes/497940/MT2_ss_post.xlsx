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Exams/"/>
    </mc:Choice>
  </mc:AlternateContent>
  <xr:revisionPtr revIDLastSave="17" documentId="8_{04041CCF-E6E0-D947-B28B-CEFD6FDB7CC9}" xr6:coauthVersionLast="47" xr6:coauthVersionMax="47" xr10:uidLastSave="{B4888F01-8632-E547-B4C3-EE75DC123DE5}"/>
  <bookViews>
    <workbookView xWindow="30000" yWindow="2180" windowWidth="27640" windowHeight="14660" xr2:uid="{9E63CD9B-C4A5-554C-AC23-72F4F1C8A4BB}"/>
  </bookViews>
  <sheets>
    <sheet name="COVER" sheetId="2" r:id="rId1"/>
    <sheet name="FS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15" i="1" s="1"/>
  <c r="G8" i="1"/>
  <c r="G15" i="1" s="1"/>
</calcChain>
</file>

<file path=xl/sharedStrings.xml><?xml version="1.0" encoding="utf-8"?>
<sst xmlns="http://schemas.openxmlformats.org/spreadsheetml/2006/main" count="35" uniqueCount="35">
  <si>
    <t>Revenue</t>
  </si>
  <si>
    <t>COGS</t>
  </si>
  <si>
    <t>Marketing</t>
  </si>
  <si>
    <t>General &amp; Administrative</t>
  </si>
  <si>
    <t>Depreciation</t>
  </si>
  <si>
    <t>Interest</t>
  </si>
  <si>
    <t>Taxes (40% rate)</t>
  </si>
  <si>
    <t>Net Income</t>
  </si>
  <si>
    <t>INCOME STATEMENT</t>
  </si>
  <si>
    <t>ASSETS</t>
  </si>
  <si>
    <t>Current Assets</t>
  </si>
  <si>
    <t>Cash</t>
  </si>
  <si>
    <t>Accounts Receivable</t>
  </si>
  <si>
    <t>Inventories</t>
  </si>
  <si>
    <t>Total Current Assets</t>
  </si>
  <si>
    <t>Fixed Assets</t>
  </si>
  <si>
    <t>Gross Fixed Assets</t>
  </si>
  <si>
    <t>Net Fixed Assets</t>
  </si>
  <si>
    <t>TOTAL ASSETS</t>
  </si>
  <si>
    <t>LIABILITIES &amp; SE</t>
  </si>
  <si>
    <t>Current Liabilities</t>
  </si>
  <si>
    <t>Accounts Payable</t>
  </si>
  <si>
    <t>Bank Loan</t>
  </si>
  <si>
    <t>Total Current Liabilities</t>
  </si>
  <si>
    <t>Long Term Liabilities</t>
  </si>
  <si>
    <t>Equity</t>
  </si>
  <si>
    <t>Stock</t>
  </si>
  <si>
    <t>Retained Earnings</t>
  </si>
  <si>
    <t>Total L &amp; SE</t>
  </si>
  <si>
    <t>Total Equity</t>
  </si>
  <si>
    <t>The attached financial Statements (FS1) accompany MT 2.</t>
  </si>
  <si>
    <t>This is the ONLY spreadsheet you may have open.</t>
  </si>
  <si>
    <t>NAME THIS FILE:  FIRST.LAST_MT2</t>
  </si>
  <si>
    <t>You need to turn this ss in BEFORE leaving class.</t>
  </si>
  <si>
    <t>You may add worksheets.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</si>
</sst>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0191-BDE6-5141-A850-A60E52D2202F}">
  <dimension ref="A1:A8"/>
  <sheetViews>
    <sheetView tabSelected="1" workbookViewId="0">
      <selection activeCell="A10" sqref="A10"/>
    </sheetView>
  </sheetViews>
  <sheetFormatPr baseColWidth="10" defaultRowHeight="16" x14ac:dyDescent="0.2"/>
  <sheetData>
    <row r="1" spans="1:1" x14ac:dyDescent="0.2">
      <c r="A1" t="s">
        <v>30</v>
      </c>
    </row>
    <row r="2" spans="1:1" x14ac:dyDescent="0.2">
      <c r="A2" t="s">
        <v>31</v>
      </c>
    </row>
    <row r="4" spans="1:1" x14ac:dyDescent="0.2">
      <c r="A4" s="3" t="s">
        <v>32</v>
      </c>
    </row>
    <row r="6" spans="1:1" x14ac:dyDescent="0.2">
      <c r="A6" t="s">
        <v>33</v>
      </c>
    </row>
    <row r="8" spans="1:1" x14ac:dyDescent="0.2">
      <c r="A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7080-5AE5-E049-80CA-E92207C443C1}">
  <dimension ref="A1:L30"/>
  <sheetViews>
    <sheetView workbookViewId="0">
      <selection activeCell="M25" sqref="M25"/>
    </sheetView>
  </sheetViews>
  <sheetFormatPr baseColWidth="10" defaultColWidth="11" defaultRowHeight="16" x14ac:dyDescent="0.2"/>
  <cols>
    <col min="1" max="1" width="22.1640625" customWidth="1"/>
    <col min="6" max="6" width="15.83203125" customWidth="1"/>
  </cols>
  <sheetData>
    <row r="1" spans="1:12" x14ac:dyDescent="0.2">
      <c r="A1" s="2" t="s">
        <v>8</v>
      </c>
      <c r="B1" s="2"/>
      <c r="C1" s="2"/>
    </row>
    <row r="2" spans="1:12" x14ac:dyDescent="0.2">
      <c r="B2">
        <v>2022</v>
      </c>
      <c r="C2">
        <v>2023</v>
      </c>
      <c r="G2">
        <v>2022</v>
      </c>
      <c r="H2">
        <v>2023</v>
      </c>
    </row>
    <row r="3" spans="1:12" x14ac:dyDescent="0.2">
      <c r="A3" t="s">
        <v>0</v>
      </c>
      <c r="B3">
        <v>1300000</v>
      </c>
      <c r="C3">
        <v>1600000</v>
      </c>
      <c r="F3" t="s">
        <v>9</v>
      </c>
    </row>
    <row r="4" spans="1:12" x14ac:dyDescent="0.2">
      <c r="A4" t="s">
        <v>1</v>
      </c>
      <c r="B4">
        <v>780000</v>
      </c>
      <c r="C4">
        <v>960000</v>
      </c>
      <c r="F4" t="s">
        <v>10</v>
      </c>
    </row>
    <row r="5" spans="1:12" x14ac:dyDescent="0.2">
      <c r="F5" t="s">
        <v>11</v>
      </c>
      <c r="G5">
        <v>50000</v>
      </c>
      <c r="H5">
        <v>60000</v>
      </c>
    </row>
    <row r="6" spans="1:12" x14ac:dyDescent="0.2">
      <c r="A6" t="s">
        <v>2</v>
      </c>
      <c r="B6">
        <v>130000</v>
      </c>
      <c r="C6">
        <v>160000</v>
      </c>
      <c r="F6" t="s">
        <v>12</v>
      </c>
      <c r="G6">
        <v>200000</v>
      </c>
      <c r="H6">
        <v>290000</v>
      </c>
    </row>
    <row r="7" spans="1:12" x14ac:dyDescent="0.2">
      <c r="A7" t="s">
        <v>3</v>
      </c>
      <c r="B7">
        <v>150000</v>
      </c>
      <c r="C7">
        <v>150000</v>
      </c>
      <c r="F7" t="s">
        <v>13</v>
      </c>
      <c r="G7">
        <v>450000</v>
      </c>
      <c r="H7">
        <v>570000</v>
      </c>
    </row>
    <row r="8" spans="1:12" x14ac:dyDescent="0.2">
      <c r="F8" s="1" t="s">
        <v>14</v>
      </c>
      <c r="G8">
        <f>SUM(G5:G7)</f>
        <v>700000</v>
      </c>
      <c r="H8">
        <f>SUM(H5:H7)</f>
        <v>920000</v>
      </c>
      <c r="L8" s="3"/>
    </row>
    <row r="9" spans="1:12" x14ac:dyDescent="0.2">
      <c r="A9" t="s">
        <v>4</v>
      </c>
      <c r="B9">
        <v>40000</v>
      </c>
      <c r="C9">
        <v>55000</v>
      </c>
    </row>
    <row r="10" spans="1:12" x14ac:dyDescent="0.2">
      <c r="F10" t="s">
        <v>15</v>
      </c>
    </row>
    <row r="11" spans="1:12" x14ac:dyDescent="0.2">
      <c r="A11" t="s">
        <v>5</v>
      </c>
      <c r="B11">
        <v>45000</v>
      </c>
      <c r="C11">
        <v>55000</v>
      </c>
      <c r="F11" t="s">
        <v>16</v>
      </c>
      <c r="G11">
        <v>340000</v>
      </c>
      <c r="H11">
        <v>570000</v>
      </c>
      <c r="L11" s="3"/>
    </row>
    <row r="13" spans="1:12" x14ac:dyDescent="0.2">
      <c r="A13" t="s">
        <v>6</v>
      </c>
      <c r="F13" t="s">
        <v>17</v>
      </c>
      <c r="G13">
        <v>300000</v>
      </c>
      <c r="H13">
        <v>380000</v>
      </c>
    </row>
    <row r="14" spans="1:12" x14ac:dyDescent="0.2">
      <c r="A14" t="s">
        <v>7</v>
      </c>
    </row>
    <row r="15" spans="1:12" x14ac:dyDescent="0.2">
      <c r="F15" t="s">
        <v>18</v>
      </c>
      <c r="G15">
        <f>G8+G13</f>
        <v>1000000</v>
      </c>
      <c r="H15">
        <f>H8+H13</f>
        <v>1300000</v>
      </c>
    </row>
    <row r="17" spans="6:12" x14ac:dyDescent="0.2">
      <c r="F17" t="s">
        <v>19</v>
      </c>
      <c r="L17" s="3"/>
    </row>
    <row r="18" spans="6:12" x14ac:dyDescent="0.2">
      <c r="F18" t="s">
        <v>20</v>
      </c>
    </row>
    <row r="19" spans="6:12" x14ac:dyDescent="0.2">
      <c r="F19" t="s">
        <v>21</v>
      </c>
      <c r="G19">
        <v>190000</v>
      </c>
      <c r="H19">
        <v>250000</v>
      </c>
    </row>
    <row r="20" spans="6:12" x14ac:dyDescent="0.2">
      <c r="F20" t="s">
        <v>22</v>
      </c>
      <c r="G20">
        <v>80000</v>
      </c>
      <c r="H20">
        <v>90000</v>
      </c>
    </row>
    <row r="21" spans="6:12" x14ac:dyDescent="0.2">
      <c r="F21" s="1" t="s">
        <v>23</v>
      </c>
    </row>
    <row r="23" spans="6:12" x14ac:dyDescent="0.2">
      <c r="F23" t="s">
        <v>24</v>
      </c>
      <c r="G23">
        <v>400000</v>
      </c>
      <c r="H23">
        <v>550000</v>
      </c>
    </row>
    <row r="25" spans="6:12" x14ac:dyDescent="0.2">
      <c r="F25" t="s">
        <v>25</v>
      </c>
    </row>
    <row r="26" spans="6:12" x14ac:dyDescent="0.2">
      <c r="F26" t="s">
        <v>26</v>
      </c>
      <c r="G26">
        <v>50000</v>
      </c>
      <c r="H26">
        <v>50000</v>
      </c>
    </row>
    <row r="27" spans="6:12" x14ac:dyDescent="0.2">
      <c r="F27" t="s">
        <v>27</v>
      </c>
      <c r="G27">
        <v>280000</v>
      </c>
      <c r="H27">
        <v>360000</v>
      </c>
    </row>
    <row r="28" spans="6:12" x14ac:dyDescent="0.2">
      <c r="F28" t="s">
        <v>29</v>
      </c>
    </row>
    <row r="30" spans="6:12" x14ac:dyDescent="0.2">
      <c r="F30" t="s">
        <v>28</v>
      </c>
    </row>
  </sheetData>
  <mergeCells count="1"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2024-10-26T23:16:02Z</dcterms:created>
  <dcterms:modified xsi:type="dcterms:W3CDTF">2024-10-27T21:34:53Z</dcterms:modified>
</cp:coreProperties>
</file>