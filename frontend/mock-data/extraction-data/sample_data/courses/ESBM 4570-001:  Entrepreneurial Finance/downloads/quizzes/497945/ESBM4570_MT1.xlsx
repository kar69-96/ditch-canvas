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5/Exams/"/>
    </mc:Choice>
  </mc:AlternateContent>
  <xr:revisionPtr revIDLastSave="14" documentId="8_{2AB212C8-979F-5944-9F59-E5E598A9E483}" xr6:coauthVersionLast="47" xr6:coauthVersionMax="47" xr10:uidLastSave="{CC567060-5DE4-EF48-AFF1-F39B1818E94B}"/>
  <bookViews>
    <workbookView xWindow="59760" yWindow="1460" windowWidth="28040" windowHeight="15160" xr2:uid="{D6E6CDE2-B416-2440-A787-28296DABBDD0}"/>
  </bookViews>
  <sheets>
    <sheet name="COVER" sheetId="6" r:id="rId1"/>
    <sheet name="Fin Statement 2024" sheetId="1" r:id="rId2"/>
    <sheet name="BS1" sheetId="7" r:id="rId3"/>
    <sheet name="Scorecard2" sheetId="2" r:id="rId4"/>
    <sheet name="Comps" sheetId="4" r:id="rId5"/>
    <sheet name="FinStatement 2" sheetId="3" r:id="rId6"/>
    <sheet name="Balance Sheet" sheetId="5" r:id="rId7"/>
    <sheet name="IS_1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7" l="1"/>
  <c r="L2" i="7"/>
  <c r="L3" i="7" s="1"/>
  <c r="F17" i="5"/>
  <c r="B17" i="5"/>
  <c r="B5" i="8"/>
  <c r="B3" i="8"/>
  <c r="G18" i="7"/>
  <c r="G19" i="7" s="1"/>
  <c r="G14" i="7"/>
  <c r="G12" i="7"/>
  <c r="F12" i="7"/>
  <c r="F14" i="7" s="1"/>
  <c r="C12" i="7"/>
  <c r="B12" i="7"/>
  <c r="G7" i="7"/>
  <c r="F7" i="7"/>
  <c r="C7" i="7"/>
  <c r="B7" i="7"/>
  <c r="F11" i="5"/>
  <c r="B19" i="1"/>
  <c r="B29" i="1" s="1"/>
  <c r="B24" i="1"/>
  <c r="F29" i="1"/>
  <c r="F27" i="1"/>
  <c r="F19" i="1"/>
  <c r="B11" i="1"/>
  <c r="B10" i="1"/>
  <c r="B9" i="1"/>
  <c r="B5" i="1"/>
  <c r="F23" i="1"/>
</calcChain>
</file>

<file path=xl/sharedStrings.xml><?xml version="1.0" encoding="utf-8"?>
<sst xmlns="http://schemas.openxmlformats.org/spreadsheetml/2006/main" count="169" uniqueCount="101">
  <si>
    <t>Revenue</t>
  </si>
  <si>
    <t>COGS</t>
  </si>
  <si>
    <t>OPEX (SG&amp;A)</t>
  </si>
  <si>
    <t>Depreciation</t>
  </si>
  <si>
    <t>Interest</t>
  </si>
  <si>
    <t>PreTax Income</t>
  </si>
  <si>
    <t>Net Income</t>
  </si>
  <si>
    <t>Income Tax (.25)</t>
  </si>
  <si>
    <t>ASSETS</t>
  </si>
  <si>
    <t>Current Assets</t>
  </si>
  <si>
    <t>Cash</t>
  </si>
  <si>
    <t>Accounts Receivable</t>
  </si>
  <si>
    <t>Inventories</t>
  </si>
  <si>
    <t>Fixed Assets</t>
  </si>
  <si>
    <t>Net Fixed Assets</t>
  </si>
  <si>
    <t>Gross Fixed Assets</t>
  </si>
  <si>
    <t>Accumulated Depreciation</t>
  </si>
  <si>
    <t>Total Assets</t>
  </si>
  <si>
    <t>Current Liabilities</t>
  </si>
  <si>
    <t>Accounts Payable</t>
  </si>
  <si>
    <t>Note Payable</t>
  </si>
  <si>
    <t>Accrued Liabilities</t>
  </si>
  <si>
    <t>Long Term Liabilities</t>
  </si>
  <si>
    <t>Long Term Debt</t>
  </si>
  <si>
    <t>Equity</t>
  </si>
  <si>
    <t>Common Stock</t>
  </si>
  <si>
    <t>Retained Earnings</t>
  </si>
  <si>
    <t>Total L &amp; SE</t>
  </si>
  <si>
    <t>Liabilities &amp; Shareholders' Equity</t>
  </si>
  <si>
    <t>Total Equity</t>
  </si>
  <si>
    <t>INCOME STATEMENT</t>
  </si>
  <si>
    <t>BALANCE SHEET</t>
  </si>
  <si>
    <t>Bucket</t>
  </si>
  <si>
    <t>Category</t>
  </si>
  <si>
    <t>Weight</t>
  </si>
  <si>
    <t>Ranking</t>
  </si>
  <si>
    <t>Value</t>
  </si>
  <si>
    <t>Financials</t>
  </si>
  <si>
    <t>Valuation based on Comps</t>
  </si>
  <si>
    <t>Million</t>
  </si>
  <si>
    <t>Team</t>
  </si>
  <si>
    <t>Market</t>
  </si>
  <si>
    <t>Opportunity Size</t>
  </si>
  <si>
    <t>Competetive Environment</t>
  </si>
  <si>
    <t>Marketing/Sales Partnerships</t>
  </si>
  <si>
    <t>Product</t>
  </si>
  <si>
    <t>Product/Technology</t>
  </si>
  <si>
    <t>Need for additional investment</t>
  </si>
  <si>
    <t>Risk</t>
  </si>
  <si>
    <t>Other</t>
  </si>
  <si>
    <t>Weighted Scoreboard Multiplier</t>
  </si>
  <si>
    <t>Scorecard Adjusted Valuation</t>
  </si>
  <si>
    <t>Comparables</t>
  </si>
  <si>
    <t>EBITDA
$M</t>
  </si>
  <si>
    <t>Implied Valuation
$M</t>
  </si>
  <si>
    <t>One</t>
  </si>
  <si>
    <t>Three</t>
  </si>
  <si>
    <t>Two</t>
  </si>
  <si>
    <t>Four</t>
  </si>
  <si>
    <t>Five</t>
  </si>
  <si>
    <t>Sko 2024</t>
  </si>
  <si>
    <t>Assets</t>
  </si>
  <si>
    <t>Liabilities &amp; Shareholders Equity</t>
  </si>
  <si>
    <t>This spreadsheet supports the questions in Midterm 1.</t>
  </si>
  <si>
    <t>This is the ONLY spreadsheet that you may use for Midterm 1.</t>
  </si>
  <si>
    <t>Upon completing the Midterm, submit your excel sheet.</t>
  </si>
  <si>
    <t xml:space="preserve">File Name </t>
  </si>
  <si>
    <t>First.Last_MT1.xlsx</t>
  </si>
  <si>
    <t>N/A</t>
  </si>
  <si>
    <t>Year 1</t>
  </si>
  <si>
    <t>Year 2</t>
  </si>
  <si>
    <t>LIABILITIES</t>
  </si>
  <si>
    <t>Notes Payable</t>
  </si>
  <si>
    <t>Inventory</t>
  </si>
  <si>
    <t>Total Current Assets</t>
  </si>
  <si>
    <t>Total Current Liabilities</t>
  </si>
  <si>
    <t>PPE</t>
  </si>
  <si>
    <t>Bonds</t>
  </si>
  <si>
    <t>Mortgage</t>
  </si>
  <si>
    <t>Net PPE</t>
  </si>
  <si>
    <t>Total Long Term Liabilities</t>
  </si>
  <si>
    <t>Other Fixed Assets</t>
  </si>
  <si>
    <t>Total Fixed Assets</t>
  </si>
  <si>
    <t>Total Liabilities</t>
  </si>
  <si>
    <t>SHAREHOLDERS' EQUITY</t>
  </si>
  <si>
    <t>Funds Raised</t>
  </si>
  <si>
    <t>Total SE</t>
  </si>
  <si>
    <t>Total  Assets</t>
  </si>
  <si>
    <t>Total Liabilities &amp; SE</t>
  </si>
  <si>
    <t>Year One</t>
  </si>
  <si>
    <t>Year Two</t>
  </si>
  <si>
    <t>increase relative to year 1</t>
  </si>
  <si>
    <t>same %of revenue as year one</t>
  </si>
  <si>
    <t>OPEX</t>
  </si>
  <si>
    <t>Gross Profit</t>
  </si>
  <si>
    <t>increase relative o year one</t>
  </si>
  <si>
    <t>new interest payment</t>
  </si>
  <si>
    <t>EBITDA</t>
  </si>
  <si>
    <t>Taxes</t>
  </si>
  <si>
    <t>EBIT</t>
  </si>
  <si>
    <t>Pre Tax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</si>
</sst>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00"/>
    <numFmt numFmtId="165" formatCode="0.0"/>
    <numFmt numFmtId="166" formatCode="0.0%"/>
  </numFmts>
  <fonts count="1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8"/>
      <color rgb="FF000000"/>
      <name val="Aptos Narrow"/>
      <family val="2"/>
      <scheme val="minor"/>
    </font>
    <font>
      <b/>
      <sz val="18"/>
      <color rgb="FFFFFF00"/>
      <name val="Calibri"/>
      <family val="2"/>
    </font>
    <font>
      <b/>
      <sz val="18"/>
      <color rgb="FFFFFFFF"/>
      <name val="Calibri"/>
      <family val="2"/>
    </font>
    <font>
      <sz val="18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i/>
      <sz val="12"/>
      <color rgb="FF000000"/>
      <name val="Aptos Narrow"/>
      <scheme val="minor"/>
    </font>
    <font>
      <u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BCBCB"/>
        <bgColor rgb="FF000000"/>
      </patternFill>
    </fill>
    <fill>
      <patternFill patternType="solid">
        <fgColor rgb="FFE7E7E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6" fontId="0" fillId="0" borderId="0" xfId="0" applyNumberFormat="1"/>
    <xf numFmtId="0" fontId="4" fillId="0" borderId="0" xfId="0" applyFont="1"/>
    <xf numFmtId="0" fontId="5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left" vertical="center" wrapText="1" indent="1"/>
    </xf>
    <xf numFmtId="0" fontId="7" fillId="3" borderId="15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left" vertical="center" wrapText="1" indent="1"/>
    </xf>
    <xf numFmtId="0" fontId="7" fillId="4" borderId="15" xfId="0" applyFont="1" applyFill="1" applyBorder="1" applyAlignment="1">
      <alignment horizontal="center" vertical="center" wrapText="1"/>
    </xf>
    <xf numFmtId="2" fontId="0" fillId="0" borderId="0" xfId="0" applyNumberFormat="1"/>
    <xf numFmtId="0" fontId="0" fillId="5" borderId="0" xfId="0" applyFill="1"/>
    <xf numFmtId="0" fontId="1" fillId="5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left"/>
    </xf>
    <xf numFmtId="0" fontId="0" fillId="6" borderId="0" xfId="0" applyFill="1"/>
    <xf numFmtId="0" fontId="10" fillId="0" borderId="1" xfId="0" applyFont="1" applyBorder="1"/>
    <xf numFmtId="0" fontId="9" fillId="0" borderId="2" xfId="0" applyFont="1" applyBorder="1"/>
    <xf numFmtId="0" fontId="0" fillId="0" borderId="6" xfId="0" applyBorder="1" applyAlignment="1">
      <alignment horizontal="right"/>
    </xf>
    <xf numFmtId="164" fontId="0" fillId="0" borderId="5" xfId="0" applyNumberFormat="1" applyBorder="1"/>
    <xf numFmtId="164" fontId="0" fillId="0" borderId="6" xfId="0" applyNumberFormat="1" applyBorder="1"/>
    <xf numFmtId="2" fontId="0" fillId="0" borderId="5" xfId="0" applyNumberFormat="1" applyBorder="1"/>
    <xf numFmtId="0" fontId="0" fillId="0" borderId="16" xfId="0" applyBorder="1"/>
    <xf numFmtId="0" fontId="11" fillId="0" borderId="5" xfId="0" applyFont="1" applyBorder="1"/>
    <xf numFmtId="2" fontId="0" fillId="0" borderId="6" xfId="0" applyNumberFormat="1" applyBorder="1"/>
    <xf numFmtId="0" fontId="9" fillId="0" borderId="10" xfId="0" applyFont="1" applyBorder="1"/>
    <xf numFmtId="0" fontId="0" fillId="0" borderId="11" xfId="0" applyBorder="1"/>
    <xf numFmtId="165" fontId="0" fillId="0" borderId="0" xfId="0" applyNumberFormat="1"/>
    <xf numFmtId="1" fontId="0" fillId="0" borderId="0" xfId="0" applyNumberFormat="1"/>
    <xf numFmtId="0" fontId="3" fillId="0" borderId="0" xfId="0" applyFont="1"/>
    <xf numFmtId="1" fontId="3" fillId="0" borderId="0" xfId="0" applyNumberFormat="1" applyFont="1"/>
    <xf numFmtId="0" fontId="0" fillId="0" borderId="0" xfId="0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 applyFill="1"/>
    <xf numFmtId="0" fontId="13" fillId="0" borderId="0" xfId="0" applyFont="1"/>
    <xf numFmtId="166" fontId="0" fillId="0" borderId="0" xfId="1" applyNumberFormat="1" applyFont="1"/>
    <xf numFmtId="0" fontId="14" fillId="0" borderId="0" xfId="0" applyFont="1"/>
    <xf numFmtId="0" fontId="15" fillId="0" borderId="0" xfId="0" applyFont="1"/>
    <xf numFmtId="0" fontId="0" fillId="7" borderId="0" xfId="0" applyFill="1"/>
    <xf numFmtId="0" fontId="0" fillId="0" borderId="0" xfId="0" applyFill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8" borderId="0" xfId="0" applyFont="1" applyFill="1"/>
    <xf numFmtId="1" fontId="1" fillId="8" borderId="0" xfId="0" applyNumberFormat="1" applyFont="1" applyFill="1"/>
    <xf numFmtId="0" fontId="3" fillId="8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FD63-064A-8B43-8E8F-1E0998848E97}">
  <dimension ref="A1:C6"/>
  <sheetViews>
    <sheetView tabSelected="1" workbookViewId="0">
      <selection activeCell="G3" sqref="G3"/>
    </sheetView>
  </sheetViews>
  <sheetFormatPr baseColWidth="10" defaultRowHeight="16" x14ac:dyDescent="0.2"/>
  <cols>
    <col min="1" max="16384" width="10.83203125" style="23"/>
  </cols>
  <sheetData>
    <row r="1" spans="1:3" ht="38" customHeight="1" x14ac:dyDescent="0.2">
      <c r="A1" s="23" t="s">
        <v>63</v>
      </c>
    </row>
    <row r="2" spans="1:3" ht="38" customHeight="1" x14ac:dyDescent="0.2">
      <c r="A2" s="23" t="s">
        <v>64</v>
      </c>
    </row>
    <row r="3" spans="1:3" ht="38" customHeight="1" x14ac:dyDescent="0.2"/>
    <row r="4" spans="1:3" s="24" customFormat="1" ht="38" customHeight="1" x14ac:dyDescent="0.2">
      <c r="A4" s="24" t="s">
        <v>65</v>
      </c>
    </row>
    <row r="5" spans="1:3" ht="38" customHeight="1" x14ac:dyDescent="0.2"/>
    <row r="6" spans="1:3" ht="38" customHeight="1" x14ac:dyDescent="0.2">
      <c r="A6" s="24" t="s">
        <v>66</v>
      </c>
      <c r="B6" s="24" t="s">
        <v>67</v>
      </c>
      <c r="C6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3FDF-F316-0540-9E82-7043E9AD2221}">
  <dimension ref="A1:G29"/>
  <sheetViews>
    <sheetView workbookViewId="0">
      <selection activeCell="H2" sqref="H2:I2"/>
    </sheetView>
  </sheetViews>
  <sheetFormatPr baseColWidth="10" defaultRowHeight="16" x14ac:dyDescent="0.2"/>
  <cols>
    <col min="1" max="1" width="23.5" customWidth="1"/>
    <col min="4" max="4" width="3.1640625" customWidth="1"/>
    <col min="5" max="5" width="20.5" customWidth="1"/>
    <col min="7" max="7" width="17.5" customWidth="1"/>
  </cols>
  <sheetData>
    <row r="1" spans="1:7" x14ac:dyDescent="0.2">
      <c r="A1" s="27">
        <v>2024</v>
      </c>
      <c r="B1" s="26" t="s">
        <v>30</v>
      </c>
      <c r="C1" s="26"/>
    </row>
    <row r="3" spans="1:7" x14ac:dyDescent="0.2">
      <c r="A3" t="s">
        <v>0</v>
      </c>
      <c r="B3">
        <v>375</v>
      </c>
    </row>
    <row r="4" spans="1:7" x14ac:dyDescent="0.2">
      <c r="A4" t="s">
        <v>1</v>
      </c>
      <c r="B4">
        <v>225</v>
      </c>
    </row>
    <row r="5" spans="1:7" x14ac:dyDescent="0.2">
      <c r="B5">
        <f>B3-B4</f>
        <v>150</v>
      </c>
    </row>
    <row r="6" spans="1:7" x14ac:dyDescent="0.2">
      <c r="A6" t="s">
        <v>2</v>
      </c>
      <c r="B6">
        <v>46</v>
      </c>
    </row>
    <row r="7" spans="1:7" x14ac:dyDescent="0.2">
      <c r="A7" t="s">
        <v>3</v>
      </c>
      <c r="B7">
        <v>25</v>
      </c>
    </row>
    <row r="8" spans="1:7" x14ac:dyDescent="0.2">
      <c r="A8" t="s">
        <v>4</v>
      </c>
      <c r="B8">
        <v>4</v>
      </c>
    </row>
    <row r="9" spans="1:7" x14ac:dyDescent="0.2">
      <c r="A9" t="s">
        <v>5</v>
      </c>
      <c r="B9">
        <f>B5-B6-B7-B8</f>
        <v>75</v>
      </c>
    </row>
    <row r="10" spans="1:7" x14ac:dyDescent="0.2">
      <c r="A10" t="s">
        <v>7</v>
      </c>
      <c r="B10">
        <f>0.25*B9</f>
        <v>18.75</v>
      </c>
    </row>
    <row r="11" spans="1:7" x14ac:dyDescent="0.2">
      <c r="A11" t="s">
        <v>6</v>
      </c>
      <c r="B11">
        <f>B9-B10</f>
        <v>56.25</v>
      </c>
    </row>
    <row r="13" spans="1:7" x14ac:dyDescent="0.2">
      <c r="B13" s="26" t="s">
        <v>31</v>
      </c>
      <c r="C13" s="26"/>
      <c r="D13" s="26"/>
      <c r="E13" s="26"/>
      <c r="F13" s="26"/>
      <c r="G13" s="26"/>
    </row>
    <row r="14" spans="1:7" x14ac:dyDescent="0.2">
      <c r="B14" s="25" t="s">
        <v>8</v>
      </c>
      <c r="C14" s="25"/>
      <c r="F14" s="26" t="s">
        <v>28</v>
      </c>
      <c r="G14" s="26"/>
    </row>
    <row r="15" spans="1:7" x14ac:dyDescent="0.2">
      <c r="A15" t="s">
        <v>9</v>
      </c>
      <c r="E15" t="s">
        <v>18</v>
      </c>
    </row>
    <row r="16" spans="1:7" x14ac:dyDescent="0.2">
      <c r="A16" t="s">
        <v>10</v>
      </c>
      <c r="B16" s="55">
        <v>39</v>
      </c>
      <c r="E16" t="s">
        <v>19</v>
      </c>
      <c r="F16">
        <v>30</v>
      </c>
    </row>
    <row r="17" spans="1:7" x14ac:dyDescent="0.2">
      <c r="A17" t="s">
        <v>11</v>
      </c>
      <c r="B17">
        <v>50</v>
      </c>
      <c r="E17" t="s">
        <v>20</v>
      </c>
      <c r="F17">
        <v>20</v>
      </c>
    </row>
    <row r="18" spans="1:7" x14ac:dyDescent="0.2">
      <c r="A18" t="s">
        <v>12</v>
      </c>
      <c r="B18">
        <v>151</v>
      </c>
      <c r="E18" t="s">
        <v>21</v>
      </c>
      <c r="F18">
        <v>10</v>
      </c>
    </row>
    <row r="19" spans="1:7" x14ac:dyDescent="0.2">
      <c r="A19" s="3" t="s">
        <v>9</v>
      </c>
      <c r="B19">
        <f>SUM(B16:B18)</f>
        <v>240</v>
      </c>
      <c r="E19" s="3" t="s">
        <v>18</v>
      </c>
      <c r="F19">
        <f>SUM(F16:F18)</f>
        <v>60</v>
      </c>
    </row>
    <row r="21" spans="1:7" x14ac:dyDescent="0.2">
      <c r="A21" t="s">
        <v>13</v>
      </c>
      <c r="E21" t="s">
        <v>22</v>
      </c>
    </row>
    <row r="22" spans="1:7" x14ac:dyDescent="0.2">
      <c r="A22" t="s">
        <v>15</v>
      </c>
      <c r="B22">
        <v>200</v>
      </c>
      <c r="E22" t="s">
        <v>23</v>
      </c>
      <c r="F22">
        <v>15</v>
      </c>
    </row>
    <row r="23" spans="1:7" x14ac:dyDescent="0.2">
      <c r="A23" s="1" t="s">
        <v>16</v>
      </c>
      <c r="B23">
        <v>95</v>
      </c>
      <c r="E23" s="3" t="s">
        <v>22</v>
      </c>
      <c r="F23">
        <f>F22</f>
        <v>15</v>
      </c>
    </row>
    <row r="24" spans="1:7" x14ac:dyDescent="0.2">
      <c r="A24" s="3" t="s">
        <v>14</v>
      </c>
      <c r="B24">
        <f>B22-B23</f>
        <v>105</v>
      </c>
      <c r="E24" t="s">
        <v>24</v>
      </c>
    </row>
    <row r="25" spans="1:7" x14ac:dyDescent="0.2">
      <c r="E25" t="s">
        <v>25</v>
      </c>
      <c r="F25">
        <v>85</v>
      </c>
    </row>
    <row r="26" spans="1:7" x14ac:dyDescent="0.2">
      <c r="E26" t="s">
        <v>26</v>
      </c>
      <c r="F26">
        <v>185</v>
      </c>
      <c r="G26" s="54"/>
    </row>
    <row r="27" spans="1:7" x14ac:dyDescent="0.2">
      <c r="E27" s="3" t="s">
        <v>29</v>
      </c>
      <c r="F27">
        <f>F25+F26</f>
        <v>270</v>
      </c>
    </row>
    <row r="29" spans="1:7" x14ac:dyDescent="0.2">
      <c r="A29" s="2" t="s">
        <v>17</v>
      </c>
      <c r="B29">
        <f>B19+B24</f>
        <v>345</v>
      </c>
      <c r="E29" s="2" t="s">
        <v>27</v>
      </c>
      <c r="F29">
        <f>F19+F23+F27</f>
        <v>345</v>
      </c>
    </row>
  </sheetData>
  <mergeCells count="4">
    <mergeCell ref="B14:C14"/>
    <mergeCell ref="F14:G14"/>
    <mergeCell ref="B1:C1"/>
    <mergeCell ref="B13:G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A06E-E03F-E545-AEC9-2410E8C5008E}">
  <dimension ref="A1:L28"/>
  <sheetViews>
    <sheetView workbookViewId="0">
      <selection activeCell="F21" sqref="F21:G21"/>
    </sheetView>
  </sheetViews>
  <sheetFormatPr baseColWidth="10" defaultRowHeight="16" x14ac:dyDescent="0.2"/>
  <cols>
    <col min="1" max="1" width="25.83203125" customWidth="1"/>
    <col min="5" max="5" width="22.33203125" customWidth="1"/>
    <col min="10" max="10" width="15.6640625" customWidth="1"/>
  </cols>
  <sheetData>
    <row r="1" spans="1:12" x14ac:dyDescent="0.2">
      <c r="B1" t="s">
        <v>69</v>
      </c>
      <c r="C1" t="s">
        <v>70</v>
      </c>
      <c r="F1" t="s">
        <v>69</v>
      </c>
      <c r="G1" t="s">
        <v>70</v>
      </c>
      <c r="J1" s="56"/>
      <c r="K1" s="57" t="s">
        <v>69</v>
      </c>
      <c r="L1" s="58" t="s">
        <v>70</v>
      </c>
    </row>
    <row r="2" spans="1:12" x14ac:dyDescent="0.2">
      <c r="A2" s="2" t="s">
        <v>8</v>
      </c>
      <c r="E2" s="2" t="s">
        <v>71</v>
      </c>
      <c r="J2" s="59" t="s">
        <v>0</v>
      </c>
      <c r="K2" s="8">
        <v>5700</v>
      </c>
      <c r="L2" s="60">
        <f>1.25*K2</f>
        <v>7125</v>
      </c>
    </row>
    <row r="3" spans="1:12" ht="17" thickBot="1" x14ac:dyDescent="0.25">
      <c r="A3" s="1" t="s">
        <v>9</v>
      </c>
      <c r="E3" s="1" t="s">
        <v>18</v>
      </c>
      <c r="J3" s="61" t="s">
        <v>6</v>
      </c>
      <c r="K3" s="62">
        <f>K2*0.12</f>
        <v>684</v>
      </c>
      <c r="L3" s="63">
        <f>0.12*L2</f>
        <v>855</v>
      </c>
    </row>
    <row r="4" spans="1:12" x14ac:dyDescent="0.2">
      <c r="A4" s="4" t="s">
        <v>10</v>
      </c>
      <c r="B4">
        <v>785</v>
      </c>
      <c r="C4" s="40">
        <v>1311</v>
      </c>
      <c r="E4" t="s">
        <v>19</v>
      </c>
      <c r="F4">
        <v>797</v>
      </c>
      <c r="G4" s="41">
        <v>962</v>
      </c>
    </row>
    <row r="5" spans="1:12" x14ac:dyDescent="0.2">
      <c r="A5" s="4" t="s">
        <v>11</v>
      </c>
      <c r="B5">
        <v>283</v>
      </c>
      <c r="C5" s="40">
        <v>388.25</v>
      </c>
      <c r="E5" t="s">
        <v>72</v>
      </c>
      <c r="F5">
        <v>54</v>
      </c>
      <c r="G5" s="41">
        <v>108.87166163142001</v>
      </c>
      <c r="K5" s="42"/>
      <c r="L5" s="42"/>
    </row>
    <row r="6" spans="1:12" x14ac:dyDescent="0.2">
      <c r="A6" s="4" t="s">
        <v>73</v>
      </c>
      <c r="B6">
        <v>587</v>
      </c>
      <c r="C6" s="49">
        <v>725</v>
      </c>
      <c r="G6" s="41"/>
      <c r="K6" s="42"/>
      <c r="L6" s="42"/>
    </row>
    <row r="7" spans="1:12" x14ac:dyDescent="0.2">
      <c r="A7" s="42" t="s">
        <v>74</v>
      </c>
      <c r="B7" s="42">
        <f>SUM(B4:B6)</f>
        <v>1655</v>
      </c>
      <c r="C7" s="43">
        <f>SUM(C4:C6)</f>
        <v>2424.25</v>
      </c>
      <c r="E7" s="42" t="s">
        <v>75</v>
      </c>
      <c r="F7" s="42">
        <f>F4+F5</f>
        <v>851</v>
      </c>
      <c r="G7" s="43">
        <f>G4+G5</f>
        <v>1070.87166163142</v>
      </c>
      <c r="J7" s="42"/>
    </row>
    <row r="8" spans="1:12" x14ac:dyDescent="0.2">
      <c r="G8" s="41"/>
    </row>
    <row r="9" spans="1:12" x14ac:dyDescent="0.2">
      <c r="A9" s="1" t="s">
        <v>13</v>
      </c>
      <c r="E9" t="s">
        <v>22</v>
      </c>
      <c r="G9" s="41"/>
    </row>
    <row r="10" spans="1:12" x14ac:dyDescent="0.2">
      <c r="A10" s="44" t="s">
        <v>76</v>
      </c>
      <c r="B10">
        <v>2275</v>
      </c>
      <c r="C10">
        <v>2627</v>
      </c>
      <c r="E10" s="45" t="s">
        <v>77</v>
      </c>
      <c r="F10">
        <v>435</v>
      </c>
      <c r="G10" s="41">
        <v>415</v>
      </c>
    </row>
    <row r="11" spans="1:12" x14ac:dyDescent="0.2">
      <c r="A11" s="44" t="s">
        <v>16</v>
      </c>
      <c r="B11">
        <v>635</v>
      </c>
      <c r="C11">
        <v>700</v>
      </c>
      <c r="E11" s="45" t="s">
        <v>78</v>
      </c>
      <c r="G11" s="41"/>
    </row>
    <row r="12" spans="1:12" x14ac:dyDescent="0.2">
      <c r="A12" s="46" t="s">
        <v>79</v>
      </c>
      <c r="B12">
        <f>B10-B11</f>
        <v>1640</v>
      </c>
      <c r="C12">
        <f>C10-C11</f>
        <v>1927</v>
      </c>
      <c r="E12" s="42" t="s">
        <v>80</v>
      </c>
      <c r="F12">
        <f>F10+F11</f>
        <v>435</v>
      </c>
      <c r="G12" s="41">
        <f>G10+G11</f>
        <v>415</v>
      </c>
    </row>
    <row r="13" spans="1:12" x14ac:dyDescent="0.2">
      <c r="A13" s="4" t="s">
        <v>81</v>
      </c>
      <c r="B13">
        <v>500</v>
      </c>
      <c r="C13">
        <v>500</v>
      </c>
      <c r="G13" s="41"/>
    </row>
    <row r="14" spans="1:12" s="42" customFormat="1" x14ac:dyDescent="0.2">
      <c r="A14" s="47" t="s">
        <v>82</v>
      </c>
      <c r="B14" s="66"/>
      <c r="C14" s="66"/>
      <c r="E14" s="42" t="s">
        <v>83</v>
      </c>
      <c r="F14" s="43">
        <f>F7+F12</f>
        <v>1286</v>
      </c>
      <c r="G14" s="43">
        <f>G7+G12</f>
        <v>1485.87166163142</v>
      </c>
      <c r="J14"/>
      <c r="K14"/>
      <c r="L14"/>
    </row>
    <row r="15" spans="1:12" s="42" customFormat="1" x14ac:dyDescent="0.2">
      <c r="A15" s="47"/>
      <c r="G15" s="43"/>
      <c r="J15"/>
      <c r="K15"/>
      <c r="L15" s="22"/>
    </row>
    <row r="16" spans="1:12" x14ac:dyDescent="0.2">
      <c r="E16" s="2" t="s">
        <v>84</v>
      </c>
      <c r="G16" s="41"/>
    </row>
    <row r="17" spans="1:12" x14ac:dyDescent="0.2">
      <c r="E17" s="45" t="s">
        <v>85</v>
      </c>
      <c r="F17">
        <v>1575</v>
      </c>
      <c r="G17" s="41">
        <v>1575</v>
      </c>
    </row>
    <row r="18" spans="1:12" x14ac:dyDescent="0.2">
      <c r="E18" s="45" t="s">
        <v>26</v>
      </c>
      <c r="F18" s="41">
        <v>934.75</v>
      </c>
      <c r="G18" s="41">
        <f>F18+855</f>
        <v>1789.75</v>
      </c>
      <c r="J18" s="41"/>
    </row>
    <row r="19" spans="1:12" x14ac:dyDescent="0.2">
      <c r="E19" s="42" t="s">
        <v>86</v>
      </c>
      <c r="F19" s="41">
        <v>2508.75</v>
      </c>
      <c r="G19" s="41">
        <f>G17+G18</f>
        <v>3364.75</v>
      </c>
      <c r="J19" s="40"/>
    </row>
    <row r="20" spans="1:12" x14ac:dyDescent="0.2">
      <c r="G20" s="40"/>
    </row>
    <row r="21" spans="1:12" x14ac:dyDescent="0.2">
      <c r="A21" s="42" t="s">
        <v>87</v>
      </c>
      <c r="B21" s="64"/>
      <c r="C21" s="65"/>
      <c r="E21" s="42" t="s">
        <v>88</v>
      </c>
      <c r="F21" s="65"/>
      <c r="G21" s="65"/>
      <c r="K21" s="48"/>
      <c r="L21" s="48"/>
    </row>
    <row r="22" spans="1:12" x14ac:dyDescent="0.2">
      <c r="K22" s="22"/>
      <c r="L22" s="22"/>
    </row>
    <row r="23" spans="1:12" x14ac:dyDescent="0.2">
      <c r="J23" s="42"/>
    </row>
    <row r="25" spans="1:12" x14ac:dyDescent="0.2">
      <c r="E25" s="40"/>
      <c r="G25" s="40"/>
      <c r="H25" s="41"/>
    </row>
    <row r="28" spans="1:12" x14ac:dyDescent="0.2">
      <c r="F28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B925-5876-E243-8406-F3EF198CCB28}">
  <dimension ref="A1:F15"/>
  <sheetViews>
    <sheetView workbookViewId="0">
      <selection activeCell="H12" sqref="H12"/>
    </sheetView>
  </sheetViews>
  <sheetFormatPr baseColWidth="10" defaultRowHeight="16" x14ac:dyDescent="0.2"/>
  <cols>
    <col min="2" max="2" width="28.6640625" customWidth="1"/>
    <col min="3" max="3" width="12.33203125" customWidth="1"/>
  </cols>
  <sheetData>
    <row r="1" spans="1:6" ht="17" thickBot="1" x14ac:dyDescent="0.25"/>
    <row r="2" spans="1:6" ht="17" thickTop="1" x14ac:dyDescent="0.2">
      <c r="A2" s="29" t="s">
        <v>32</v>
      </c>
      <c r="B2" s="30" t="s">
        <v>33</v>
      </c>
      <c r="C2" s="5" t="s">
        <v>34</v>
      </c>
      <c r="D2" s="5" t="s">
        <v>35</v>
      </c>
      <c r="E2" s="6" t="s">
        <v>36</v>
      </c>
    </row>
    <row r="3" spans="1:6" x14ac:dyDescent="0.2">
      <c r="A3" s="7" t="s">
        <v>37</v>
      </c>
      <c r="B3" s="8" t="s">
        <v>38</v>
      </c>
      <c r="C3" s="8"/>
      <c r="D3" s="8"/>
      <c r="E3" s="31" t="s">
        <v>68</v>
      </c>
      <c r="F3" t="s">
        <v>39</v>
      </c>
    </row>
    <row r="4" spans="1:6" x14ac:dyDescent="0.2">
      <c r="A4" s="7" t="s">
        <v>40</v>
      </c>
      <c r="B4" s="8" t="s">
        <v>40</v>
      </c>
      <c r="C4" s="32">
        <v>0.25</v>
      </c>
      <c r="D4" s="8">
        <v>1.25</v>
      </c>
      <c r="E4" s="33"/>
    </row>
    <row r="5" spans="1:6" x14ac:dyDescent="0.2">
      <c r="A5" s="7" t="s">
        <v>41</v>
      </c>
      <c r="B5" s="8" t="s">
        <v>42</v>
      </c>
      <c r="C5" s="32">
        <v>0.3</v>
      </c>
      <c r="D5" s="34">
        <v>0.38</v>
      </c>
      <c r="E5" s="33"/>
    </row>
    <row r="6" spans="1:6" x14ac:dyDescent="0.2">
      <c r="A6" s="7" t="s">
        <v>41</v>
      </c>
      <c r="B6" s="8" t="s">
        <v>43</v>
      </c>
      <c r="C6" s="32">
        <v>0.15</v>
      </c>
      <c r="D6" s="8">
        <v>1.45</v>
      </c>
      <c r="E6" s="33"/>
    </row>
    <row r="7" spans="1:6" x14ac:dyDescent="0.2">
      <c r="A7" s="7" t="s">
        <v>41</v>
      </c>
      <c r="B7" s="8" t="s">
        <v>44</v>
      </c>
      <c r="C7" s="32">
        <v>0.15</v>
      </c>
      <c r="D7" s="8">
        <v>0.85</v>
      </c>
      <c r="E7" s="33"/>
    </row>
    <row r="8" spans="1:6" x14ac:dyDescent="0.2">
      <c r="A8" s="7" t="s">
        <v>45</v>
      </c>
      <c r="B8" s="8" t="s">
        <v>46</v>
      </c>
      <c r="C8" s="32">
        <v>0.15</v>
      </c>
      <c r="D8" s="8">
        <v>1.45</v>
      </c>
      <c r="E8" s="33"/>
    </row>
    <row r="9" spans="1:6" x14ac:dyDescent="0.2">
      <c r="A9" s="7" t="s">
        <v>37</v>
      </c>
      <c r="B9" s="8" t="s">
        <v>47</v>
      </c>
      <c r="C9" s="8">
        <v>0</v>
      </c>
      <c r="D9" s="8"/>
      <c r="E9" s="9"/>
    </row>
    <row r="10" spans="1:6" x14ac:dyDescent="0.2">
      <c r="A10" s="7" t="s">
        <v>48</v>
      </c>
      <c r="B10" s="8" t="s">
        <v>48</v>
      </c>
      <c r="C10" s="8">
        <v>0</v>
      </c>
      <c r="D10" s="8"/>
      <c r="E10" s="9"/>
    </row>
    <row r="11" spans="1:6" x14ac:dyDescent="0.2">
      <c r="A11" s="7"/>
      <c r="B11" s="8" t="s">
        <v>49</v>
      </c>
      <c r="C11" s="8"/>
      <c r="D11" s="8"/>
      <c r="E11" s="9"/>
    </row>
    <row r="12" spans="1:6" x14ac:dyDescent="0.2">
      <c r="A12" s="10"/>
      <c r="B12" s="11"/>
      <c r="C12" s="11"/>
      <c r="D12" s="11"/>
      <c r="E12" s="35"/>
    </row>
    <row r="13" spans="1:6" x14ac:dyDescent="0.2">
      <c r="A13" s="7"/>
      <c r="B13" s="36" t="s">
        <v>50</v>
      </c>
      <c r="C13" s="8"/>
      <c r="D13" s="8"/>
      <c r="E13" s="37"/>
    </row>
    <row r="14" spans="1:6" ht="17" thickBot="1" x14ac:dyDescent="0.25">
      <c r="A14" s="12"/>
      <c r="B14" s="38" t="s">
        <v>51</v>
      </c>
      <c r="C14" s="13"/>
      <c r="D14" s="13"/>
      <c r="E14" s="39"/>
      <c r="F14" s="14"/>
    </row>
    <row r="15" spans="1:6" ht="17" thickTop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033B-79D7-9947-BDD7-4EBD5C7853C6}">
  <dimension ref="A1:C7"/>
  <sheetViews>
    <sheetView workbookViewId="0">
      <selection activeCell="F7" sqref="F7"/>
    </sheetView>
  </sheetViews>
  <sheetFormatPr baseColWidth="10" defaultRowHeight="16" x14ac:dyDescent="0.2"/>
  <cols>
    <col min="1" max="3" width="20.6640625" customWidth="1"/>
  </cols>
  <sheetData>
    <row r="1" spans="1:3" ht="25" thickBot="1" x14ac:dyDescent="0.35">
      <c r="A1" s="15"/>
      <c r="B1" s="15"/>
      <c r="C1" s="15"/>
    </row>
    <row r="2" spans="1:3" ht="76" thickBot="1" x14ac:dyDescent="0.25">
      <c r="A2" s="16" t="s">
        <v>52</v>
      </c>
      <c r="B2" s="17" t="s">
        <v>53</v>
      </c>
      <c r="C2" s="17" t="s">
        <v>54</v>
      </c>
    </row>
    <row r="3" spans="1:3" ht="27" thickTop="1" thickBot="1" x14ac:dyDescent="0.25">
      <c r="A3" s="18" t="s">
        <v>55</v>
      </c>
      <c r="B3" s="19">
        <v>670</v>
      </c>
      <c r="C3" s="19">
        <v>2010</v>
      </c>
    </row>
    <row r="4" spans="1:3" ht="26" thickBot="1" x14ac:dyDescent="0.25">
      <c r="A4" s="20" t="s">
        <v>56</v>
      </c>
      <c r="B4" s="21">
        <v>85</v>
      </c>
      <c r="C4" s="21">
        <v>357</v>
      </c>
    </row>
    <row r="5" spans="1:3" ht="26" thickBot="1" x14ac:dyDescent="0.25">
      <c r="A5" s="18" t="s">
        <v>57</v>
      </c>
      <c r="B5" s="19">
        <v>245</v>
      </c>
      <c r="C5" s="19">
        <v>1225</v>
      </c>
    </row>
    <row r="6" spans="1:3" ht="26" thickBot="1" x14ac:dyDescent="0.25">
      <c r="A6" s="20" t="s">
        <v>58</v>
      </c>
      <c r="B6" s="21">
        <v>1035</v>
      </c>
      <c r="C6" s="21">
        <v>3622.5</v>
      </c>
    </row>
    <row r="7" spans="1:3" ht="26" thickBot="1" x14ac:dyDescent="0.25">
      <c r="A7" s="18" t="s">
        <v>59</v>
      </c>
      <c r="B7" s="19">
        <v>27</v>
      </c>
      <c r="C7" s="19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1546-860E-0943-A9F1-BE12A56DF579}">
  <dimension ref="A1:C11"/>
  <sheetViews>
    <sheetView workbookViewId="0">
      <selection activeCell="E8" sqref="E8"/>
    </sheetView>
  </sheetViews>
  <sheetFormatPr baseColWidth="10" defaultRowHeight="16" x14ac:dyDescent="0.2"/>
  <cols>
    <col min="1" max="1" width="16.83203125" customWidth="1"/>
  </cols>
  <sheetData>
    <row r="1" spans="1:3" x14ac:dyDescent="0.2">
      <c r="A1" s="4" t="s">
        <v>60</v>
      </c>
      <c r="B1" s="26" t="s">
        <v>30</v>
      </c>
      <c r="C1" s="26"/>
    </row>
    <row r="3" spans="1:3" x14ac:dyDescent="0.2">
      <c r="A3" t="s">
        <v>0</v>
      </c>
      <c r="B3">
        <v>450</v>
      </c>
    </row>
    <row r="4" spans="1:3" x14ac:dyDescent="0.2">
      <c r="A4" t="s">
        <v>1</v>
      </c>
      <c r="B4">
        <v>270</v>
      </c>
    </row>
    <row r="6" spans="1:3" x14ac:dyDescent="0.2">
      <c r="A6" t="s">
        <v>2</v>
      </c>
      <c r="B6">
        <v>46</v>
      </c>
    </row>
    <row r="7" spans="1:3" x14ac:dyDescent="0.2">
      <c r="A7" t="s">
        <v>3</v>
      </c>
      <c r="B7">
        <v>30</v>
      </c>
    </row>
    <row r="8" spans="1:3" x14ac:dyDescent="0.2">
      <c r="A8" t="s">
        <v>4</v>
      </c>
      <c r="B8">
        <v>25</v>
      </c>
    </row>
    <row r="9" spans="1:3" x14ac:dyDescent="0.2">
      <c r="A9" t="s">
        <v>5</v>
      </c>
    </row>
    <row r="10" spans="1:3" x14ac:dyDescent="0.2">
      <c r="A10" t="s">
        <v>7</v>
      </c>
    </row>
    <row r="11" spans="1:3" x14ac:dyDescent="0.2">
      <c r="A11" t="s">
        <v>6</v>
      </c>
    </row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3781-7009-944E-B8CA-7F2CCDF3F737}">
  <dimension ref="A2:I17"/>
  <sheetViews>
    <sheetView workbookViewId="0">
      <selection activeCell="H17" sqref="H17"/>
    </sheetView>
  </sheetViews>
  <sheetFormatPr baseColWidth="10" defaultRowHeight="16" x14ac:dyDescent="0.2"/>
  <cols>
    <col min="1" max="1" width="19.1640625" customWidth="1"/>
    <col min="3" max="3" width="5.33203125" customWidth="1"/>
    <col min="5" max="5" width="21.83203125" customWidth="1"/>
  </cols>
  <sheetData>
    <row r="2" spans="1:9" x14ac:dyDescent="0.2">
      <c r="A2" s="26" t="s">
        <v>61</v>
      </c>
      <c r="B2" s="26"/>
      <c r="C2" s="26"/>
      <c r="E2" s="26" t="s">
        <v>62</v>
      </c>
      <c r="F2" s="26"/>
      <c r="G2" s="26"/>
    </row>
    <row r="3" spans="1:9" x14ac:dyDescent="0.2">
      <c r="A3" t="s">
        <v>9</v>
      </c>
      <c r="E3" t="s">
        <v>18</v>
      </c>
    </row>
    <row r="4" spans="1:9" x14ac:dyDescent="0.2">
      <c r="A4" t="s">
        <v>10</v>
      </c>
      <c r="B4" s="55">
        <v>50000</v>
      </c>
      <c r="E4" t="s">
        <v>19</v>
      </c>
      <c r="F4">
        <v>130000</v>
      </c>
    </row>
    <row r="5" spans="1:9" x14ac:dyDescent="0.2">
      <c r="A5" t="s">
        <v>11</v>
      </c>
      <c r="B5">
        <v>200000</v>
      </c>
      <c r="E5" t="s">
        <v>20</v>
      </c>
      <c r="F5">
        <v>90000</v>
      </c>
    </row>
    <row r="6" spans="1:9" x14ac:dyDescent="0.2">
      <c r="A6" t="s">
        <v>12</v>
      </c>
      <c r="B6">
        <v>400000</v>
      </c>
      <c r="E6" t="s">
        <v>21</v>
      </c>
      <c r="F6">
        <v>50000</v>
      </c>
    </row>
    <row r="7" spans="1:9" x14ac:dyDescent="0.2">
      <c r="A7" s="3" t="s">
        <v>9</v>
      </c>
      <c r="B7" s="28"/>
      <c r="E7" s="3" t="s">
        <v>18</v>
      </c>
      <c r="F7" s="28"/>
    </row>
    <row r="9" spans="1:9" x14ac:dyDescent="0.2">
      <c r="A9" t="s">
        <v>13</v>
      </c>
      <c r="E9" t="s">
        <v>22</v>
      </c>
    </row>
    <row r="10" spans="1:9" x14ac:dyDescent="0.2">
      <c r="A10" t="s">
        <v>15</v>
      </c>
      <c r="B10">
        <v>450000</v>
      </c>
      <c r="E10" t="s">
        <v>23</v>
      </c>
      <c r="F10">
        <v>300000</v>
      </c>
    </row>
    <row r="11" spans="1:9" x14ac:dyDescent="0.2">
      <c r="A11" s="1" t="s">
        <v>16</v>
      </c>
      <c r="B11">
        <v>100000</v>
      </c>
      <c r="E11" s="3" t="s">
        <v>22</v>
      </c>
      <c r="F11">
        <f>F10</f>
        <v>300000</v>
      </c>
      <c r="I11" s="22"/>
    </row>
    <row r="12" spans="1:9" x14ac:dyDescent="0.2">
      <c r="A12" s="3" t="s">
        <v>14</v>
      </c>
      <c r="B12" s="28"/>
      <c r="E12" t="s">
        <v>24</v>
      </c>
    </row>
    <row r="13" spans="1:9" x14ac:dyDescent="0.2">
      <c r="E13" t="s">
        <v>25</v>
      </c>
      <c r="F13">
        <v>350000</v>
      </c>
    </row>
    <row r="14" spans="1:9" x14ac:dyDescent="0.2">
      <c r="E14" t="s">
        <v>26</v>
      </c>
      <c r="F14">
        <v>80000</v>
      </c>
    </row>
    <row r="15" spans="1:9" x14ac:dyDescent="0.2">
      <c r="E15" s="3" t="s">
        <v>29</v>
      </c>
      <c r="F15" s="28"/>
    </row>
    <row r="17" spans="1:6" x14ac:dyDescent="0.2">
      <c r="A17" s="2" t="s">
        <v>17</v>
      </c>
      <c r="B17">
        <f>B7+B12</f>
        <v>0</v>
      </c>
      <c r="E17" s="2" t="s">
        <v>27</v>
      </c>
      <c r="F17">
        <f>F7+F11+F15</f>
        <v>300000</v>
      </c>
    </row>
  </sheetData>
  <mergeCells count="2">
    <mergeCell ref="A2:C2"/>
    <mergeCell ref="E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A951-2290-E641-8EB9-7659A90FE4A1}">
  <dimension ref="A1:I19"/>
  <sheetViews>
    <sheetView workbookViewId="0">
      <selection activeCell="E10" sqref="E10"/>
    </sheetView>
  </sheetViews>
  <sheetFormatPr baseColWidth="10" defaultRowHeight="16" x14ac:dyDescent="0.2"/>
  <cols>
    <col min="1" max="1" width="17.6640625" customWidth="1"/>
    <col min="7" max="7" width="14.5" customWidth="1"/>
  </cols>
  <sheetData>
    <row r="1" spans="1:9" x14ac:dyDescent="0.2">
      <c r="A1" s="50"/>
      <c r="B1" t="s">
        <v>89</v>
      </c>
      <c r="C1" t="s">
        <v>90</v>
      </c>
      <c r="G1" t="s">
        <v>0</v>
      </c>
      <c r="H1">
        <v>0.25</v>
      </c>
      <c r="I1" t="s">
        <v>91</v>
      </c>
    </row>
    <row r="2" spans="1:9" x14ac:dyDescent="0.2">
      <c r="A2" s="50" t="s">
        <v>0</v>
      </c>
      <c r="B2">
        <v>7500</v>
      </c>
      <c r="G2" t="s">
        <v>1</v>
      </c>
      <c r="H2" t="s">
        <v>92</v>
      </c>
    </row>
    <row r="3" spans="1:9" x14ac:dyDescent="0.2">
      <c r="A3" s="50" t="s">
        <v>1</v>
      </c>
      <c r="B3">
        <f>0.12*B2</f>
        <v>900</v>
      </c>
      <c r="C3" s="53"/>
      <c r="G3" t="s">
        <v>93</v>
      </c>
      <c r="H3">
        <v>0.12</v>
      </c>
      <c r="I3" t="s">
        <v>91</v>
      </c>
    </row>
    <row r="4" spans="1:9" x14ac:dyDescent="0.2">
      <c r="A4" s="50" t="s">
        <v>94</v>
      </c>
      <c r="G4" t="s">
        <v>3</v>
      </c>
      <c r="H4">
        <v>0.1</v>
      </c>
      <c r="I4" t="s">
        <v>95</v>
      </c>
    </row>
    <row r="5" spans="1:9" x14ac:dyDescent="0.2">
      <c r="A5" s="50" t="s">
        <v>93</v>
      </c>
      <c r="B5">
        <f>0.2*B2</f>
        <v>1500</v>
      </c>
      <c r="G5" t="s">
        <v>4</v>
      </c>
      <c r="H5">
        <v>400</v>
      </c>
      <c r="I5" t="s">
        <v>96</v>
      </c>
    </row>
    <row r="6" spans="1:9" x14ac:dyDescent="0.2">
      <c r="A6" s="50" t="s">
        <v>97</v>
      </c>
      <c r="G6" t="s">
        <v>98</v>
      </c>
      <c r="H6">
        <v>0.25</v>
      </c>
    </row>
    <row r="7" spans="1:9" x14ac:dyDescent="0.2">
      <c r="A7" s="50" t="s">
        <v>3</v>
      </c>
      <c r="B7">
        <v>580</v>
      </c>
    </row>
    <row r="8" spans="1:9" x14ac:dyDescent="0.2">
      <c r="A8" s="50" t="s">
        <v>99</v>
      </c>
    </row>
    <row r="9" spans="1:9" x14ac:dyDescent="0.2">
      <c r="A9" s="50" t="s">
        <v>4</v>
      </c>
      <c r="B9">
        <v>350</v>
      </c>
    </row>
    <row r="10" spans="1:9" x14ac:dyDescent="0.2">
      <c r="A10" s="50" t="s">
        <v>100</v>
      </c>
    </row>
    <row r="11" spans="1:9" x14ac:dyDescent="0.2">
      <c r="A11" s="50" t="s">
        <v>98</v>
      </c>
    </row>
    <row r="12" spans="1:9" x14ac:dyDescent="0.2">
      <c r="A12" s="50" t="s">
        <v>6</v>
      </c>
    </row>
    <row r="13" spans="1:9" x14ac:dyDescent="0.2">
      <c r="A13" s="50"/>
    </row>
    <row r="14" spans="1:9" x14ac:dyDescent="0.2">
      <c r="A14" s="50"/>
      <c r="B14" s="51"/>
      <c r="C14" s="51"/>
    </row>
    <row r="15" spans="1:9" x14ac:dyDescent="0.2">
      <c r="A15" s="52"/>
    </row>
    <row r="16" spans="1:9" x14ac:dyDescent="0.2">
      <c r="A16" s="50"/>
    </row>
    <row r="17" spans="1:1" x14ac:dyDescent="0.2">
      <c r="A17" s="50"/>
    </row>
    <row r="18" spans="1:1" x14ac:dyDescent="0.2">
      <c r="A18" s="50"/>
    </row>
    <row r="19" spans="1:1" x14ac:dyDescent="0.2">
      <c r="A19" s="5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Fin Statement 2024</vt:lpstr>
      <vt:lpstr>BS1</vt:lpstr>
      <vt:lpstr>Scorecard2</vt:lpstr>
      <vt:lpstr>Comps</vt:lpstr>
      <vt:lpstr>FinStatement 2</vt:lpstr>
      <vt:lpstr>Balance Sheet</vt:lpstr>
      <vt:lpstr>IS_1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Burnes</dc:creator>
  <cp:lastModifiedBy>Ellen Burnes</cp:lastModifiedBy>
  <dcterms:created xsi:type="dcterms:W3CDTF">2024-09-28T20:13:14Z</dcterms:created>
  <dcterms:modified xsi:type="dcterms:W3CDTF">2025-09-29T03:42:16Z</dcterms:modified>
</cp:coreProperties>
</file>