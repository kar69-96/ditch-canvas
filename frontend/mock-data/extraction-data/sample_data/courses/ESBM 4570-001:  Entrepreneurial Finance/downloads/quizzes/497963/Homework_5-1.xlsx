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elbu4667_colorado_edu/Documents/ESBM4570/F2024/Homework/"/>
    </mc:Choice>
  </mc:AlternateContent>
  <xr:revisionPtr revIDLastSave="53" documentId="8_{2BA9CDA3-15F7-2645-A308-2EA30804918E}" xr6:coauthVersionLast="47" xr6:coauthVersionMax="47" xr10:uidLastSave="{FA0D1927-D14A-594D-B44C-266FF2D2A216}"/>
  <bookViews>
    <workbookView xWindow="780" yWindow="1000" windowWidth="27640" windowHeight="14700" xr2:uid="{C12CDDD9-B217-114F-B6B9-91D8F721E8BB}"/>
  </bookViews>
  <sheets>
    <sheet name="COVER" sheetId="6" r:id="rId1"/>
    <sheet name="IS Pro Forma 1" sheetId="2" r:id="rId2"/>
    <sheet name="BS Pro Forma 1" sheetId="4" r:id="rId3"/>
    <sheet name="IS Pro Forma 2" sheetId="1" r:id="rId4"/>
  </sheets>
  <externalReferences>
    <externalReference r:id="rId5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4" l="1"/>
  <c r="B18" i="4"/>
  <c r="B10" i="4"/>
  <c r="B26" i="4" l="1"/>
  <c r="B15" i="1" l="1"/>
  <c r="I25" i="1"/>
  <c r="I26" i="1" s="1"/>
  <c r="I27" i="1" s="1"/>
  <c r="I28" i="1" s="1"/>
  <c r="I24" i="1"/>
  <c r="B11" i="1"/>
  <c r="B9" i="1"/>
</calcChain>
</file>

<file path=xl/sharedStrings.xml><?xml version="1.0" encoding="utf-8"?>
<sst xmlns="http://schemas.openxmlformats.org/spreadsheetml/2006/main" count="113" uniqueCount="64">
  <si>
    <t>Column1</t>
  </si>
  <si>
    <t>Column2</t>
  </si>
  <si>
    <t>Column3</t>
  </si>
  <si>
    <t>Column4</t>
  </si>
  <si>
    <t>Column5</t>
  </si>
  <si>
    <t>Column6</t>
  </si>
  <si>
    <t>Year</t>
  </si>
  <si>
    <t>Revenue</t>
  </si>
  <si>
    <t>Assumptions:</t>
  </si>
  <si>
    <t>COGS</t>
  </si>
  <si>
    <t>Growth</t>
  </si>
  <si>
    <t>Gross Profit</t>
  </si>
  <si>
    <t>COGS (as % of Revenue)</t>
  </si>
  <si>
    <t>OPEX</t>
  </si>
  <si>
    <t>Mktng</t>
  </si>
  <si>
    <t>Other OH</t>
  </si>
  <si>
    <t>Other Overhead</t>
  </si>
  <si>
    <t>EBITDA</t>
  </si>
  <si>
    <t>Depreciation</t>
  </si>
  <si>
    <t>Interest</t>
  </si>
  <si>
    <t>EBIT</t>
  </si>
  <si>
    <t>Taxes</t>
  </si>
  <si>
    <t>Pre Tax Profit</t>
  </si>
  <si>
    <t>NOTES:</t>
  </si>
  <si>
    <t>IF Pre Tax Profit &lt;0, we do not pay taxes (set equal to zero)</t>
  </si>
  <si>
    <t>Net Income</t>
  </si>
  <si>
    <t>Be sure that you do not include decimals in your pro foma</t>
  </si>
  <si>
    <t>growth</t>
  </si>
  <si>
    <t>cogs</t>
  </si>
  <si>
    <t>Numbers are in $000s</t>
  </si>
  <si>
    <t>OH growth</t>
  </si>
  <si>
    <t>Dep Growth</t>
  </si>
  <si>
    <t>FIGURES ARE GIVEN IN $000S</t>
  </si>
  <si>
    <t>OVERHEAD GROWTH</t>
  </si>
  <si>
    <t>DEPRECIATION GROWTH</t>
  </si>
  <si>
    <t>Forecast</t>
  </si>
  <si>
    <t>Current Assets</t>
  </si>
  <si>
    <t>* year 2 sales</t>
  </si>
  <si>
    <t>Cash</t>
  </si>
  <si>
    <t>A/R</t>
  </si>
  <si>
    <t>Inventories</t>
  </si>
  <si>
    <t>Total Current Assets</t>
  </si>
  <si>
    <t>Fixed Assets</t>
  </si>
  <si>
    <t>PP&amp;E Gross</t>
  </si>
  <si>
    <t>Acc Dep</t>
  </si>
  <si>
    <t>PP&amp;E Net</t>
  </si>
  <si>
    <t>Total Assets</t>
  </si>
  <si>
    <t>Liabilities &amp; SE</t>
  </si>
  <si>
    <t>Current Liabilities</t>
  </si>
  <si>
    <t>A/P</t>
  </si>
  <si>
    <t>Bank Note/Loan</t>
  </si>
  <si>
    <t xml:space="preserve">                           -  </t>
  </si>
  <si>
    <t>Total Current Liabilities</t>
  </si>
  <si>
    <t>Long Term Liabilities</t>
  </si>
  <si>
    <t>Bank Loan</t>
  </si>
  <si>
    <t>Equity</t>
  </si>
  <si>
    <t>Invested Capital</t>
  </si>
  <si>
    <t>Retained Earnings</t>
  </si>
  <si>
    <t>Total Equity</t>
  </si>
  <si>
    <t>AFN</t>
  </si>
  <si>
    <t>Total Liabilities &amp; SE</t>
  </si>
  <si>
    <t>g</t>
  </si>
  <si>
    <t>These Financial Statements Support Homework 5</t>
  </si>
  <si>
    <t>Ellen Burnes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</si>
</sst>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3" formatCode="_(* #,##0.00_);_(* \(#,##0.00\);_(* &quot;-&quot;??_);_(@_)"/>
    <numFmt numFmtId="168" formatCode="_(* #,##0_);_(* \(#,##0\);_(* &quot;-&quot;??_);_(@_)"/>
    <numFmt numFmtId="169" formatCode="_(* #,##0.0_);_(* \(#,##0.0\);_(* &quot;-&quot;??_);_(@_)"/>
    <numFmt numFmtId="171" formatCode="_(* #,##0.000_);_(* \(#,##0.000\);_(* &quot;-&quot;??_);_(@_)"/>
    <numFmt numFmtId="173" formatCode="0.0%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  <font>
      <i/>
      <sz val="12"/>
      <color rgb="FF000000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rgb="FF000000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3" fillId="0" borderId="0" xfId="0" applyFont="1"/>
    <xf numFmtId="168" fontId="0" fillId="2" borderId="0" xfId="1" applyNumberFormat="1" applyFont="1" applyFill="1"/>
    <xf numFmtId="168" fontId="0" fillId="0" borderId="0" xfId="1" applyNumberFormat="1" applyFont="1"/>
    <xf numFmtId="0" fontId="0" fillId="3" borderId="0" xfId="0" applyFill="1"/>
    <xf numFmtId="0" fontId="0" fillId="0" borderId="0" xfId="0" applyAlignment="1">
      <alignment horizontal="center"/>
    </xf>
    <xf numFmtId="169" fontId="0" fillId="0" borderId="0" xfId="0" applyNumberFormat="1"/>
    <xf numFmtId="6" fontId="0" fillId="0" borderId="0" xfId="0" applyNumberFormat="1" applyAlignment="1">
      <alignment horizontal="center" vertical="center" textRotation="90"/>
    </xf>
    <xf numFmtId="168" fontId="0" fillId="0" borderId="0" xfId="0" applyNumberFormat="1"/>
    <xf numFmtId="0" fontId="0" fillId="4" borderId="1" xfId="0" applyFont="1" applyFill="1" applyBorder="1"/>
    <xf numFmtId="0" fontId="0" fillId="0" borderId="0" xfId="0" applyFont="1"/>
    <xf numFmtId="0" fontId="0" fillId="4" borderId="0" xfId="0" applyFont="1" applyFill="1" applyBorder="1"/>
    <xf numFmtId="0" fontId="0" fillId="0" borderId="2" xfId="0" applyFont="1" applyBorder="1"/>
    <xf numFmtId="0" fontId="2" fillId="0" borderId="0" xfId="0" applyFont="1"/>
    <xf numFmtId="168" fontId="0" fillId="4" borderId="0" xfId="1" applyNumberFormat="1" applyFont="1" applyFill="1" applyBorder="1"/>
    <xf numFmtId="168" fontId="0" fillId="0" borderId="2" xfId="1" applyNumberFormat="1" applyFont="1" applyBorder="1"/>
    <xf numFmtId="43" fontId="0" fillId="0" borderId="0" xfId="0" applyNumberFormat="1"/>
    <xf numFmtId="168" fontId="4" fillId="0" borderId="0" xfId="0" applyNumberFormat="1" applyFont="1"/>
    <xf numFmtId="0" fontId="0" fillId="0" borderId="0" xfId="0" applyAlignment="1">
      <alignment horizontal="center" vertical="center" textRotation="90" wrapText="1"/>
    </xf>
    <xf numFmtId="9" fontId="0" fillId="0" borderId="0" xfId="2" applyFont="1"/>
    <xf numFmtId="173" fontId="0" fillId="0" borderId="0" xfId="2" applyNumberFormat="1" applyFont="1"/>
    <xf numFmtId="168" fontId="3" fillId="0" borderId="0" xfId="0" applyNumberFormat="1" applyFont="1"/>
    <xf numFmtId="0" fontId="5" fillId="0" borderId="0" xfId="0" applyFont="1"/>
    <xf numFmtId="3" fontId="3" fillId="0" borderId="0" xfId="0" applyNumberFormat="1" applyFont="1"/>
    <xf numFmtId="0" fontId="3" fillId="5" borderId="0" xfId="0" applyFont="1" applyFill="1"/>
    <xf numFmtId="168" fontId="3" fillId="5" borderId="0" xfId="0" applyNumberFormat="1" applyFont="1" applyFill="1"/>
    <xf numFmtId="171" fontId="3" fillId="0" borderId="0" xfId="0" applyNumberFormat="1" applyFont="1"/>
    <xf numFmtId="168" fontId="3" fillId="6" borderId="0" xfId="0" applyNumberFormat="1" applyFont="1" applyFill="1"/>
    <xf numFmtId="1" fontId="3" fillId="0" borderId="0" xfId="0" applyNumberFormat="1" applyFont="1"/>
    <xf numFmtId="0" fontId="3" fillId="6" borderId="0" xfId="0" applyFont="1" applyFill="1"/>
    <xf numFmtId="168" fontId="3" fillId="3" borderId="0" xfId="0" applyNumberFormat="1" applyFon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365coloradoedu-my.sharepoint.com/personal/elbu4667_colorado_edu/Documents/ESBM4570/F2024/Homework/Homework%205_Answers.xlsx" TargetMode="External"/><Relationship Id="rId1" Type="http://schemas.openxmlformats.org/officeDocument/2006/relationships/externalLinkPath" Target="Homework%205_Answ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S Pro Forma 1"/>
      <sheetName val="BS Pro Forma 1"/>
      <sheetName val="IS Pro Forma 2"/>
      <sheetName val="IS Pro Forma X"/>
      <sheetName val="Answers"/>
    </sheetNames>
    <sheetDataSet>
      <sheetData sheetId="0">
        <row r="16">
          <cell r="B16">
            <v>-13.125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08DB7-9225-A147-ADA8-173AB93F2C47}">
  <dimension ref="A1:A4"/>
  <sheetViews>
    <sheetView tabSelected="1" workbookViewId="0">
      <selection activeCell="G14" sqref="G14"/>
    </sheetView>
  </sheetViews>
  <sheetFormatPr baseColWidth="10" defaultRowHeight="16" x14ac:dyDescent="0.2"/>
  <sheetData>
    <row r="1" spans="1:1" x14ac:dyDescent="0.2">
      <c r="A1" t="s">
        <v>62</v>
      </c>
    </row>
    <row r="4" spans="1:1" x14ac:dyDescent="0.2">
      <c r="A4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49280-C9FF-0B4A-BCFE-15EAF1056A47}">
  <dimension ref="A1:N30"/>
  <sheetViews>
    <sheetView topLeftCell="A2" workbookViewId="0">
      <selection activeCell="I23" sqref="I23"/>
    </sheetView>
  </sheetViews>
  <sheetFormatPr baseColWidth="10" defaultColWidth="11" defaultRowHeight="16" x14ac:dyDescent="0.2"/>
  <cols>
    <col min="1" max="1" width="14.33203125" customWidth="1"/>
    <col min="2" max="2" width="12.6640625" bestFit="1" customWidth="1"/>
    <col min="3" max="6" width="11.5" bestFit="1" customWidth="1"/>
    <col min="8" max="8" width="10" customWidth="1"/>
    <col min="9" max="9" width="26" customWidth="1"/>
  </cols>
  <sheetData>
    <row r="1" spans="1:14" hidden="1" x14ac:dyDescent="0.2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I1" s="13" t="s">
        <v>0</v>
      </c>
      <c r="J1" s="13" t="s">
        <v>1</v>
      </c>
      <c r="K1" s="13" t="s">
        <v>2</v>
      </c>
      <c r="L1" s="13" t="s">
        <v>3</v>
      </c>
      <c r="M1" s="13" t="s">
        <v>4</v>
      </c>
      <c r="N1" s="13" t="s">
        <v>5</v>
      </c>
    </row>
    <row r="2" spans="1:14" x14ac:dyDescent="0.2">
      <c r="A2" s="13" t="s">
        <v>32</v>
      </c>
      <c r="B2" s="13"/>
      <c r="C2" s="13"/>
      <c r="D2" s="13"/>
      <c r="E2" s="13"/>
      <c r="F2" s="13"/>
      <c r="I2" s="13"/>
      <c r="J2" s="13"/>
      <c r="K2" s="13"/>
      <c r="L2" s="13"/>
      <c r="M2" s="13"/>
      <c r="N2" s="13"/>
    </row>
    <row r="3" spans="1:14" x14ac:dyDescent="0.2">
      <c r="A3" s="9" t="s">
        <v>6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I3" s="9"/>
      <c r="J3" s="9"/>
      <c r="K3" s="9"/>
      <c r="L3" s="9"/>
      <c r="M3" s="9"/>
      <c r="N3" s="9"/>
    </row>
    <row r="4" spans="1:14" x14ac:dyDescent="0.2">
      <c r="A4" s="10" t="s">
        <v>7</v>
      </c>
      <c r="B4" s="2">
        <v>185</v>
      </c>
      <c r="C4" s="3"/>
      <c r="D4" s="3"/>
      <c r="E4" s="3"/>
      <c r="F4" s="3"/>
      <c r="I4" s="10" t="s">
        <v>8</v>
      </c>
      <c r="J4" s="10">
        <v>1</v>
      </c>
      <c r="K4" s="10">
        <v>2</v>
      </c>
      <c r="L4" s="10">
        <v>3</v>
      </c>
      <c r="M4" s="10">
        <v>4</v>
      </c>
      <c r="N4" s="10">
        <v>5</v>
      </c>
    </row>
    <row r="5" spans="1:14" x14ac:dyDescent="0.2">
      <c r="A5" s="11" t="s">
        <v>9</v>
      </c>
      <c r="B5" s="14"/>
      <c r="C5" s="14"/>
      <c r="D5" s="14"/>
      <c r="E5" s="14"/>
      <c r="F5" s="14"/>
      <c r="I5" s="11" t="s">
        <v>10</v>
      </c>
      <c r="J5" s="11">
        <v>0.2</v>
      </c>
      <c r="K5" s="11"/>
      <c r="L5" s="11"/>
      <c r="M5" s="11"/>
      <c r="N5" s="11"/>
    </row>
    <row r="6" spans="1:14" x14ac:dyDescent="0.2">
      <c r="A6" s="10" t="s">
        <v>11</v>
      </c>
      <c r="B6" s="3"/>
      <c r="C6" s="3"/>
      <c r="D6" s="3"/>
      <c r="E6" s="3"/>
      <c r="F6" s="3"/>
      <c r="I6" s="10" t="s">
        <v>12</v>
      </c>
      <c r="J6" s="10">
        <v>0.4</v>
      </c>
      <c r="K6" s="10"/>
      <c r="L6" s="10"/>
      <c r="M6" s="10"/>
      <c r="N6" s="10"/>
    </row>
    <row r="7" spans="1:14" x14ac:dyDescent="0.2">
      <c r="A7" s="11" t="s">
        <v>13</v>
      </c>
      <c r="B7" s="14"/>
      <c r="C7" s="14"/>
      <c r="D7" s="14"/>
      <c r="E7" s="14"/>
      <c r="F7" s="14"/>
      <c r="I7" s="11" t="s">
        <v>13</v>
      </c>
      <c r="J7" s="11"/>
      <c r="K7" s="11"/>
      <c r="L7" s="11"/>
      <c r="M7" s="11"/>
      <c r="N7" s="11"/>
    </row>
    <row r="8" spans="1:14" x14ac:dyDescent="0.2">
      <c r="A8" s="10" t="s">
        <v>14</v>
      </c>
      <c r="B8" s="3"/>
      <c r="C8" s="3"/>
      <c r="D8" s="3"/>
      <c r="E8" s="3"/>
      <c r="F8" s="3"/>
      <c r="I8" s="10" t="s">
        <v>14</v>
      </c>
      <c r="J8" s="10">
        <v>0.3</v>
      </c>
      <c r="K8" s="10"/>
      <c r="L8" s="10"/>
      <c r="M8" s="10"/>
      <c r="N8" s="10"/>
    </row>
    <row r="9" spans="1:14" x14ac:dyDescent="0.2">
      <c r="A9" s="11" t="s">
        <v>15</v>
      </c>
      <c r="B9" s="14"/>
      <c r="C9" s="14"/>
      <c r="D9" s="14"/>
      <c r="E9" s="14"/>
      <c r="F9" s="14"/>
      <c r="I9" s="11" t="s">
        <v>16</v>
      </c>
      <c r="J9" s="11">
        <v>60</v>
      </c>
      <c r="K9" s="11"/>
      <c r="L9" s="11"/>
      <c r="M9" s="11"/>
      <c r="N9" s="11"/>
    </row>
    <row r="10" spans="1:14" x14ac:dyDescent="0.2">
      <c r="A10" s="10" t="s">
        <v>17</v>
      </c>
      <c r="B10" s="3"/>
      <c r="C10" s="3"/>
      <c r="D10" s="3"/>
      <c r="E10" s="3"/>
      <c r="F10" s="3"/>
      <c r="I10" s="10" t="s">
        <v>18</v>
      </c>
      <c r="J10" s="10">
        <v>13</v>
      </c>
      <c r="K10" s="10">
        <v>13</v>
      </c>
      <c r="L10" s="10">
        <v>43</v>
      </c>
      <c r="M10" s="10">
        <v>38</v>
      </c>
      <c r="N10" s="10">
        <v>38</v>
      </c>
    </row>
    <row r="11" spans="1:14" x14ac:dyDescent="0.2">
      <c r="A11" s="11" t="s">
        <v>18</v>
      </c>
      <c r="B11" s="14"/>
      <c r="C11" s="14"/>
      <c r="D11" s="14"/>
      <c r="E11" s="14"/>
      <c r="F11" s="14"/>
      <c r="I11" s="11" t="s">
        <v>19</v>
      </c>
      <c r="J11" s="11">
        <v>0</v>
      </c>
      <c r="K11" s="11"/>
      <c r="L11" s="11"/>
      <c r="M11" s="11"/>
      <c r="N11" s="11"/>
    </row>
    <row r="12" spans="1:14" x14ac:dyDescent="0.2">
      <c r="A12" s="10" t="s">
        <v>20</v>
      </c>
      <c r="B12" s="3"/>
      <c r="C12" s="3"/>
      <c r="D12" s="3"/>
      <c r="E12" s="3"/>
      <c r="F12" s="3"/>
      <c r="I12" s="12" t="s">
        <v>21</v>
      </c>
      <c r="J12" s="12">
        <v>0.25</v>
      </c>
      <c r="K12" s="12"/>
      <c r="L12" s="12"/>
      <c r="M12" s="12"/>
      <c r="N12" s="12"/>
    </row>
    <row r="13" spans="1:14" x14ac:dyDescent="0.2">
      <c r="A13" s="11" t="s">
        <v>19</v>
      </c>
      <c r="B13" s="14"/>
      <c r="C13" s="14"/>
      <c r="D13" s="14"/>
      <c r="E13" s="14"/>
      <c r="F13" s="14"/>
    </row>
    <row r="14" spans="1:14" x14ac:dyDescent="0.2">
      <c r="A14" s="10" t="s">
        <v>22</v>
      </c>
      <c r="B14" s="3"/>
      <c r="C14" s="3"/>
      <c r="D14" s="3"/>
      <c r="E14" s="3"/>
      <c r="F14" s="3"/>
      <c r="I14" s="4" t="s">
        <v>23</v>
      </c>
    </row>
    <row r="15" spans="1:14" x14ac:dyDescent="0.2">
      <c r="A15" s="11" t="s">
        <v>21</v>
      </c>
      <c r="B15" s="14"/>
      <c r="C15" s="14"/>
      <c r="D15" s="14"/>
      <c r="E15" s="14"/>
      <c r="F15" s="14"/>
      <c r="I15" t="s">
        <v>24</v>
      </c>
    </row>
    <row r="16" spans="1:14" x14ac:dyDescent="0.2">
      <c r="A16" s="12" t="s">
        <v>25</v>
      </c>
      <c r="B16" s="15"/>
      <c r="C16" s="15"/>
      <c r="D16" s="15"/>
      <c r="E16" s="15"/>
      <c r="F16" s="15"/>
      <c r="I16" t="s">
        <v>26</v>
      </c>
    </row>
    <row r="19" spans="1:7" x14ac:dyDescent="0.2">
      <c r="B19" s="5" t="s">
        <v>27</v>
      </c>
      <c r="C19" s="5"/>
      <c r="D19" s="5"/>
      <c r="E19" s="5"/>
      <c r="F19" s="5"/>
    </row>
    <row r="20" spans="1:7" x14ac:dyDescent="0.2">
      <c r="B20" s="6"/>
      <c r="C20" s="6">
        <v>0.05</v>
      </c>
      <c r="D20" s="6">
        <v>0.1</v>
      </c>
      <c r="E20" s="6">
        <v>0.2</v>
      </c>
      <c r="F20" s="6">
        <v>0.3</v>
      </c>
      <c r="G20" s="6">
        <v>0.35</v>
      </c>
    </row>
    <row r="21" spans="1:7" x14ac:dyDescent="0.2">
      <c r="A21" s="7" t="s">
        <v>28</v>
      </c>
      <c r="B21" s="6">
        <v>0.6</v>
      </c>
      <c r="C21" s="17"/>
      <c r="D21" s="17"/>
      <c r="E21" s="17"/>
      <c r="F21" s="17"/>
      <c r="G21" s="17"/>
    </row>
    <row r="22" spans="1:7" x14ac:dyDescent="0.2">
      <c r="A22" s="7"/>
      <c r="B22" s="6">
        <v>0.5</v>
      </c>
      <c r="C22" s="17"/>
      <c r="D22" s="17"/>
      <c r="E22" s="17"/>
      <c r="F22" s="17"/>
      <c r="G22" s="17"/>
    </row>
    <row r="23" spans="1:7" x14ac:dyDescent="0.2">
      <c r="A23" s="7"/>
      <c r="B23" s="6">
        <v>0.4</v>
      </c>
      <c r="C23" s="17"/>
      <c r="D23" s="17"/>
      <c r="E23" s="17"/>
      <c r="F23" s="17"/>
      <c r="G23" s="17"/>
    </row>
    <row r="24" spans="1:7" x14ac:dyDescent="0.2">
      <c r="A24" s="7"/>
      <c r="B24" s="6">
        <v>0.3</v>
      </c>
      <c r="C24" s="17"/>
      <c r="D24" s="17"/>
      <c r="E24" s="17"/>
      <c r="F24" s="17"/>
      <c r="G24" s="17"/>
    </row>
    <row r="25" spans="1:7" x14ac:dyDescent="0.2">
      <c r="A25" s="7"/>
      <c r="B25" s="6"/>
    </row>
    <row r="26" spans="1:7" x14ac:dyDescent="0.2">
      <c r="A26" s="7"/>
    </row>
    <row r="27" spans="1:7" x14ac:dyDescent="0.2">
      <c r="A27" s="7"/>
    </row>
    <row r="28" spans="1:7" x14ac:dyDescent="0.2">
      <c r="A28" s="7"/>
    </row>
    <row r="29" spans="1:7" x14ac:dyDescent="0.2">
      <c r="A29" s="7"/>
      <c r="B29" s="16"/>
    </row>
    <row r="30" spans="1:7" x14ac:dyDescent="0.2">
      <c r="A30" s="7"/>
    </row>
  </sheetData>
  <mergeCells count="2">
    <mergeCell ref="B19:F19"/>
    <mergeCell ref="A21:A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B8334-912C-E640-BDFF-26A77BC9ED5C}">
  <dimension ref="A1:G30"/>
  <sheetViews>
    <sheetView workbookViewId="0">
      <selection activeCell="B21" sqref="B21"/>
    </sheetView>
  </sheetViews>
  <sheetFormatPr baseColWidth="10" defaultRowHeight="16" x14ac:dyDescent="0.2"/>
  <cols>
    <col min="1" max="1" width="17" customWidth="1"/>
  </cols>
  <sheetData>
    <row r="1" spans="1:7" x14ac:dyDescent="0.2">
      <c r="A1" s="1"/>
      <c r="B1" s="21">
        <v>1</v>
      </c>
      <c r="C1" s="22" t="s">
        <v>35</v>
      </c>
      <c r="D1" s="1">
        <v>2</v>
      </c>
      <c r="E1" s="1"/>
      <c r="F1" s="1"/>
      <c r="G1" s="1"/>
    </row>
    <row r="2" spans="1:7" x14ac:dyDescent="0.2">
      <c r="A2" s="1" t="s">
        <v>36</v>
      </c>
      <c r="B2" s="21"/>
      <c r="C2" s="1" t="s">
        <v>37</v>
      </c>
      <c r="D2" s="1"/>
      <c r="E2" s="1"/>
      <c r="F2" s="1"/>
      <c r="G2" s="1"/>
    </row>
    <row r="3" spans="1:7" x14ac:dyDescent="0.2">
      <c r="A3" s="1" t="s">
        <v>38</v>
      </c>
      <c r="B3" s="21">
        <v>6.5</v>
      </c>
      <c r="C3" s="1">
        <v>0.02</v>
      </c>
      <c r="D3" s="21"/>
      <c r="E3" s="1"/>
      <c r="F3" s="1"/>
      <c r="G3" s="1"/>
    </row>
    <row r="4" spans="1:7" x14ac:dyDescent="0.2">
      <c r="A4" s="1" t="s">
        <v>39</v>
      </c>
      <c r="B4" s="21">
        <v>35</v>
      </c>
      <c r="C4" s="1">
        <v>0.18</v>
      </c>
      <c r="D4" s="21"/>
      <c r="E4" s="1"/>
      <c r="F4" s="1"/>
      <c r="G4" s="1"/>
    </row>
    <row r="5" spans="1:7" x14ac:dyDescent="0.2">
      <c r="A5" s="1" t="s">
        <v>40</v>
      </c>
      <c r="B5" s="21">
        <v>25</v>
      </c>
      <c r="C5" s="1">
        <v>0.3</v>
      </c>
      <c r="D5" s="21"/>
      <c r="E5" s="1"/>
      <c r="F5" s="1"/>
      <c r="G5" s="1"/>
    </row>
    <row r="6" spans="1:7" x14ac:dyDescent="0.2">
      <c r="A6" s="22" t="s">
        <v>41</v>
      </c>
      <c r="B6" s="27"/>
      <c r="C6" s="1"/>
      <c r="D6" s="27"/>
      <c r="E6" s="1"/>
      <c r="F6" s="1"/>
      <c r="G6" s="1"/>
    </row>
    <row r="7" spans="1:7" x14ac:dyDescent="0.2">
      <c r="A7" s="1"/>
      <c r="B7" s="21"/>
      <c r="C7" s="1"/>
      <c r="D7" s="1"/>
      <c r="E7" s="1"/>
      <c r="F7" s="1"/>
      <c r="G7" s="1"/>
    </row>
    <row r="8" spans="1:7" x14ac:dyDescent="0.2">
      <c r="A8" s="1" t="s">
        <v>42</v>
      </c>
      <c r="B8" s="21"/>
      <c r="C8" s="1"/>
      <c r="D8" s="1"/>
      <c r="E8" s="1"/>
      <c r="F8" s="1"/>
      <c r="G8" s="1"/>
    </row>
    <row r="9" spans="1:7" x14ac:dyDescent="0.2">
      <c r="A9" s="1" t="s">
        <v>43</v>
      </c>
      <c r="B9" s="21">
        <v>55</v>
      </c>
      <c r="C9" s="21"/>
      <c r="D9" s="21"/>
      <c r="E9" s="1"/>
      <c r="F9" s="1"/>
      <c r="G9" s="1"/>
    </row>
    <row r="10" spans="1:7" x14ac:dyDescent="0.2">
      <c r="A10" s="1" t="s">
        <v>44</v>
      </c>
      <c r="B10" s="21">
        <f>'IS Pro Forma 1'!B11</f>
        <v>0</v>
      </c>
      <c r="C10" s="1"/>
      <c r="D10" s="21"/>
      <c r="E10" s="1"/>
      <c r="F10" s="1"/>
      <c r="G10" s="1"/>
    </row>
    <row r="11" spans="1:7" x14ac:dyDescent="0.2">
      <c r="A11" s="1" t="s">
        <v>45</v>
      </c>
      <c r="B11" s="21">
        <v>42</v>
      </c>
      <c r="C11" s="1"/>
      <c r="D11" s="21"/>
      <c r="E11" s="1"/>
      <c r="F11" s="1"/>
      <c r="G11" s="1"/>
    </row>
    <row r="12" spans="1:7" x14ac:dyDescent="0.2">
      <c r="A12" s="1" t="s">
        <v>46</v>
      </c>
      <c r="B12" s="27"/>
      <c r="C12" s="1"/>
      <c r="D12" s="27"/>
      <c r="E12" s="1"/>
      <c r="F12" s="1"/>
      <c r="G12" s="1"/>
    </row>
    <row r="13" spans="1:7" x14ac:dyDescent="0.2">
      <c r="A13" s="1"/>
      <c r="B13" s="21"/>
      <c r="C13" s="1"/>
      <c r="D13" s="1"/>
      <c r="E13" s="1"/>
      <c r="F13" s="1"/>
      <c r="G13" s="1"/>
    </row>
    <row r="14" spans="1:7" x14ac:dyDescent="0.2">
      <c r="A14" s="1" t="s">
        <v>47</v>
      </c>
      <c r="B14" s="21"/>
      <c r="C14" s="1"/>
      <c r="D14" s="1"/>
      <c r="E14" s="1"/>
      <c r="F14" s="1"/>
      <c r="G14" s="1"/>
    </row>
    <row r="15" spans="1:7" x14ac:dyDescent="0.2">
      <c r="A15" s="22" t="s">
        <v>48</v>
      </c>
      <c r="B15" s="21"/>
      <c r="C15" s="1"/>
      <c r="D15" s="1"/>
      <c r="E15" s="1"/>
      <c r="F15" s="1"/>
      <c r="G15" s="1"/>
    </row>
    <row r="16" spans="1:7" x14ac:dyDescent="0.2">
      <c r="A16" s="1" t="s">
        <v>49</v>
      </c>
      <c r="B16" s="21">
        <v>40</v>
      </c>
      <c r="C16" s="1">
        <v>0.25</v>
      </c>
      <c r="D16" s="28"/>
      <c r="E16" s="1"/>
      <c r="F16" s="1"/>
      <c r="G16" s="1"/>
    </row>
    <row r="17" spans="1:7" x14ac:dyDescent="0.2">
      <c r="A17" s="1" t="s">
        <v>50</v>
      </c>
      <c r="B17" s="21">
        <v>0</v>
      </c>
      <c r="C17" s="1">
        <v>0</v>
      </c>
      <c r="D17" s="1"/>
      <c r="E17" s="1"/>
      <c r="F17" s="1"/>
      <c r="G17" s="1"/>
    </row>
    <row r="18" spans="1:7" x14ac:dyDescent="0.2">
      <c r="A18" s="22" t="s">
        <v>52</v>
      </c>
      <c r="B18" s="27">
        <f>B16+B17</f>
        <v>40</v>
      </c>
      <c r="C18" s="1"/>
      <c r="D18" s="27"/>
      <c r="E18" s="1"/>
      <c r="F18" s="1"/>
      <c r="G18" s="1"/>
    </row>
    <row r="19" spans="1:7" x14ac:dyDescent="0.2">
      <c r="A19" s="1"/>
      <c r="B19" s="21"/>
      <c r="C19" s="1"/>
      <c r="D19" s="1"/>
      <c r="E19" s="1"/>
      <c r="F19" s="1"/>
      <c r="G19" s="1"/>
    </row>
    <row r="20" spans="1:7" x14ac:dyDescent="0.2">
      <c r="A20" s="1" t="s">
        <v>53</v>
      </c>
      <c r="B20" s="1"/>
      <c r="C20" s="1"/>
      <c r="D20" s="1"/>
      <c r="E20" s="1"/>
      <c r="F20" s="1"/>
      <c r="G20" s="1"/>
    </row>
    <row r="21" spans="1:7" x14ac:dyDescent="0.2">
      <c r="A21" s="1" t="s">
        <v>54</v>
      </c>
      <c r="B21" s="27">
        <v>0</v>
      </c>
      <c r="C21" s="1"/>
      <c r="D21" s="29"/>
      <c r="E21" s="1"/>
      <c r="F21" s="1"/>
      <c r="G21" s="1"/>
    </row>
    <row r="22" spans="1:7" x14ac:dyDescent="0.2">
      <c r="A22" s="1"/>
      <c r="B22" s="21"/>
      <c r="C22" s="1"/>
      <c r="D22" s="1"/>
      <c r="E22" s="1"/>
      <c r="F22" s="21"/>
      <c r="G22" s="1"/>
    </row>
    <row r="23" spans="1:7" x14ac:dyDescent="0.2">
      <c r="A23" s="1" t="s">
        <v>55</v>
      </c>
      <c r="B23" s="21"/>
      <c r="C23" s="1"/>
      <c r="D23" s="23"/>
      <c r="E23" s="1"/>
      <c r="F23" s="1"/>
      <c r="G23" s="1"/>
    </row>
    <row r="24" spans="1:7" x14ac:dyDescent="0.2">
      <c r="A24" s="1" t="s">
        <v>56</v>
      </c>
      <c r="B24" s="30"/>
      <c r="C24" s="1"/>
      <c r="D24" s="21"/>
      <c r="E24" s="1"/>
      <c r="F24" s="21"/>
      <c r="G24" s="1"/>
    </row>
    <row r="25" spans="1:7" x14ac:dyDescent="0.2">
      <c r="A25" s="1" t="s">
        <v>57</v>
      </c>
      <c r="B25" s="21">
        <f>'[1]IS Pro Forma 1'!B16</f>
        <v>-13.125</v>
      </c>
      <c r="C25" s="1"/>
      <c r="D25" s="21"/>
      <c r="E25" s="1"/>
      <c r="F25" s="1"/>
      <c r="G25" s="1"/>
    </row>
    <row r="26" spans="1:7" x14ac:dyDescent="0.2">
      <c r="A26" s="22" t="s">
        <v>58</v>
      </c>
      <c r="B26" s="27">
        <f>B24+B25</f>
        <v>-13.125</v>
      </c>
      <c r="C26" s="1"/>
      <c r="D26" s="27"/>
      <c r="E26" s="1"/>
      <c r="F26" s="1"/>
      <c r="G26" s="1"/>
    </row>
    <row r="27" spans="1:7" x14ac:dyDescent="0.2">
      <c r="A27" s="24" t="s">
        <v>59</v>
      </c>
      <c r="B27" s="25" t="s">
        <v>51</v>
      </c>
      <c r="C27" s="24"/>
      <c r="D27" s="25"/>
      <c r="E27" s="24"/>
      <c r="F27" s="24"/>
      <c r="G27" s="24"/>
    </row>
    <row r="28" spans="1:7" x14ac:dyDescent="0.2">
      <c r="A28" s="1" t="s">
        <v>60</v>
      </c>
      <c r="B28" s="27"/>
      <c r="C28" s="1"/>
      <c r="D28" s="27"/>
      <c r="E28" s="1"/>
      <c r="F28" s="1"/>
      <c r="G28" s="1"/>
    </row>
    <row r="29" spans="1:7" x14ac:dyDescent="0.2">
      <c r="A29" s="1"/>
      <c r="B29" s="21"/>
      <c r="C29" s="1"/>
      <c r="D29" s="1"/>
      <c r="E29" s="1"/>
      <c r="F29" s="1"/>
      <c r="G29" s="1"/>
    </row>
    <row r="30" spans="1:7" x14ac:dyDescent="0.2">
      <c r="A30" s="1" t="s">
        <v>61</v>
      </c>
      <c r="B30" s="26"/>
      <c r="C30" s="1"/>
      <c r="D30" s="1"/>
      <c r="E30" s="1"/>
      <c r="F30" s="1"/>
      <c r="G3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2A794-0A4A-3946-8590-AE13491E6833}">
  <dimension ref="A1:O30"/>
  <sheetViews>
    <sheetView topLeftCell="A2" workbookViewId="0">
      <selection activeCell="F25" sqref="F25"/>
    </sheetView>
  </sheetViews>
  <sheetFormatPr baseColWidth="10" defaultColWidth="11" defaultRowHeight="16" x14ac:dyDescent="0.2"/>
  <cols>
    <col min="1" max="1" width="14.33203125" customWidth="1"/>
    <col min="2" max="2" width="12.6640625" bestFit="1" customWidth="1"/>
    <col min="3" max="6" width="11.5" bestFit="1" customWidth="1"/>
    <col min="8" max="8" width="10" customWidth="1"/>
    <col min="9" max="9" width="26" customWidth="1"/>
  </cols>
  <sheetData>
    <row r="1" spans="1:14" hidden="1" x14ac:dyDescent="0.2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I1" s="13" t="s">
        <v>0</v>
      </c>
      <c r="J1" s="13" t="s">
        <v>1</v>
      </c>
      <c r="K1" s="13" t="s">
        <v>2</v>
      </c>
      <c r="L1" s="13" t="s">
        <v>3</v>
      </c>
      <c r="M1" s="13" t="s">
        <v>4</v>
      </c>
      <c r="N1" s="13" t="s">
        <v>5</v>
      </c>
    </row>
    <row r="2" spans="1:14" x14ac:dyDescent="0.2">
      <c r="A2" s="13" t="s">
        <v>29</v>
      </c>
      <c r="B2" s="13"/>
      <c r="C2" s="13"/>
      <c r="D2" s="13"/>
      <c r="E2" s="13"/>
      <c r="F2" s="13"/>
      <c r="I2" s="13"/>
      <c r="J2" s="13"/>
      <c r="K2" s="13"/>
      <c r="L2" s="13"/>
      <c r="M2" s="13"/>
      <c r="N2" s="13"/>
    </row>
    <row r="3" spans="1:14" x14ac:dyDescent="0.2">
      <c r="A3" s="9" t="s">
        <v>6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I3" s="9"/>
      <c r="J3" s="9"/>
      <c r="K3" s="9"/>
      <c r="L3" s="9"/>
      <c r="M3" s="9"/>
      <c r="N3" s="9"/>
    </row>
    <row r="4" spans="1:14" x14ac:dyDescent="0.2">
      <c r="A4" s="10" t="s">
        <v>7</v>
      </c>
      <c r="B4" s="2">
        <v>125</v>
      </c>
      <c r="C4" s="3"/>
      <c r="D4" s="3"/>
      <c r="E4" s="3"/>
      <c r="F4" s="3"/>
      <c r="I4" s="10" t="s">
        <v>8</v>
      </c>
      <c r="J4" s="10">
        <v>1</v>
      </c>
      <c r="K4" s="10">
        <v>2</v>
      </c>
      <c r="L4" s="10">
        <v>3</v>
      </c>
      <c r="M4" s="10">
        <v>4</v>
      </c>
      <c r="N4" s="10">
        <v>5</v>
      </c>
    </row>
    <row r="5" spans="1:14" x14ac:dyDescent="0.2">
      <c r="A5" s="11" t="s">
        <v>9</v>
      </c>
      <c r="B5" s="14"/>
      <c r="C5" s="14"/>
      <c r="D5" s="14"/>
      <c r="E5" s="14"/>
      <c r="F5" s="14"/>
      <c r="I5" s="11" t="s">
        <v>10</v>
      </c>
      <c r="J5" s="11">
        <v>0.25</v>
      </c>
      <c r="K5" s="11"/>
      <c r="L5" s="11"/>
      <c r="M5" s="11"/>
      <c r="N5" s="11"/>
    </row>
    <row r="6" spans="1:14" x14ac:dyDescent="0.2">
      <c r="A6" s="10" t="s">
        <v>11</v>
      </c>
      <c r="B6" s="3"/>
      <c r="C6" s="3"/>
      <c r="D6" s="3"/>
      <c r="E6" s="3"/>
      <c r="F6" s="3"/>
      <c r="I6" s="10" t="s">
        <v>12</v>
      </c>
      <c r="J6" s="10">
        <v>0.4</v>
      </c>
      <c r="K6" s="10"/>
      <c r="L6" s="10"/>
      <c r="M6" s="10"/>
      <c r="N6" s="10"/>
    </row>
    <row r="7" spans="1:14" x14ac:dyDescent="0.2">
      <c r="A7" s="11" t="s">
        <v>13</v>
      </c>
      <c r="B7" s="14"/>
      <c r="C7" s="14"/>
      <c r="D7" s="14"/>
      <c r="E7" s="14"/>
      <c r="F7" s="14"/>
      <c r="I7" s="11" t="s">
        <v>13</v>
      </c>
      <c r="J7" s="11"/>
      <c r="K7" s="11"/>
      <c r="L7" s="11"/>
      <c r="M7" s="11"/>
      <c r="N7" s="11"/>
    </row>
    <row r="8" spans="1:14" x14ac:dyDescent="0.2">
      <c r="A8" s="10" t="s">
        <v>14</v>
      </c>
      <c r="B8" s="3"/>
      <c r="C8" s="3"/>
      <c r="D8" s="3"/>
      <c r="E8" s="3"/>
      <c r="F8" s="3"/>
      <c r="I8" s="10" t="s">
        <v>14</v>
      </c>
      <c r="J8" s="10">
        <v>0.3</v>
      </c>
      <c r="K8" s="10"/>
      <c r="L8" s="10"/>
      <c r="M8" s="10"/>
      <c r="N8" s="10"/>
    </row>
    <row r="9" spans="1:14" x14ac:dyDescent="0.2">
      <c r="A9" s="11" t="s">
        <v>16</v>
      </c>
      <c r="B9" s="3">
        <f>$J$9*(1+$J$10)^(B3-$B$3)</f>
        <v>20</v>
      </c>
      <c r="C9" s="3"/>
      <c r="D9" s="3"/>
      <c r="E9" s="3"/>
      <c r="F9" s="3"/>
      <c r="I9" s="9" t="s">
        <v>16</v>
      </c>
      <c r="J9" s="9">
        <v>20</v>
      </c>
      <c r="K9" s="9"/>
      <c r="L9" s="9"/>
      <c r="M9" s="9"/>
      <c r="N9" s="9"/>
    </row>
    <row r="10" spans="1:14" x14ac:dyDescent="0.2">
      <c r="A10" s="10" t="s">
        <v>17</v>
      </c>
      <c r="B10" s="3"/>
      <c r="C10" s="3"/>
      <c r="D10" s="3"/>
      <c r="E10" s="3"/>
      <c r="F10" s="3"/>
      <c r="I10" s="10" t="s">
        <v>30</v>
      </c>
      <c r="J10" s="10">
        <v>0.08</v>
      </c>
      <c r="K10" s="10"/>
      <c r="L10" s="10"/>
      <c r="M10" s="10"/>
      <c r="N10" s="10"/>
    </row>
    <row r="11" spans="1:14" x14ac:dyDescent="0.2">
      <c r="A11" s="11" t="s">
        <v>18</v>
      </c>
      <c r="B11" s="14">
        <f>$J$11*(1+J12)^(B3-$B$3)</f>
        <v>50</v>
      </c>
      <c r="C11" s="14"/>
      <c r="D11" s="14"/>
      <c r="E11" s="14"/>
      <c r="F11" s="14"/>
      <c r="I11" s="11" t="s">
        <v>18</v>
      </c>
      <c r="J11" s="11">
        <v>50</v>
      </c>
      <c r="K11" s="11"/>
      <c r="L11" s="11"/>
      <c r="M11" s="11"/>
      <c r="N11" s="11"/>
    </row>
    <row r="12" spans="1:14" x14ac:dyDescent="0.2">
      <c r="A12" s="10" t="s">
        <v>20</v>
      </c>
      <c r="B12" s="3"/>
      <c r="C12" s="3"/>
      <c r="D12" s="3"/>
      <c r="E12" s="3"/>
      <c r="F12" s="3"/>
      <c r="I12" s="11" t="s">
        <v>31</v>
      </c>
      <c r="J12" s="11">
        <v>2.5000000000000001E-2</v>
      </c>
      <c r="K12" s="11"/>
      <c r="L12" s="11"/>
      <c r="M12" s="11"/>
      <c r="N12" s="11"/>
    </row>
    <row r="13" spans="1:14" x14ac:dyDescent="0.2">
      <c r="A13" s="11" t="s">
        <v>19</v>
      </c>
      <c r="B13" s="14"/>
      <c r="C13" s="14"/>
      <c r="D13" s="14"/>
      <c r="E13" s="14"/>
      <c r="F13" s="14"/>
      <c r="I13" s="10" t="s">
        <v>19</v>
      </c>
      <c r="J13" s="10">
        <v>0</v>
      </c>
      <c r="K13" s="10"/>
      <c r="L13" s="10"/>
      <c r="M13" s="10"/>
      <c r="N13" s="10"/>
    </row>
    <row r="14" spans="1:14" x14ac:dyDescent="0.2">
      <c r="A14" s="10" t="s">
        <v>22</v>
      </c>
      <c r="B14" s="3"/>
      <c r="C14" s="3"/>
      <c r="D14" s="3"/>
      <c r="E14" s="3"/>
      <c r="F14" s="3"/>
      <c r="I14" s="11" t="s">
        <v>21</v>
      </c>
      <c r="J14" s="11">
        <v>0.25</v>
      </c>
      <c r="K14" s="11"/>
      <c r="L14" s="11"/>
      <c r="M14" s="11"/>
      <c r="N14" s="11"/>
    </row>
    <row r="15" spans="1:14" x14ac:dyDescent="0.2">
      <c r="A15" s="11" t="s">
        <v>21</v>
      </c>
      <c r="B15" s="14">
        <f>IF(B14&lt;0,0,$J$14*B14)</f>
        <v>0</v>
      </c>
      <c r="C15" s="14"/>
      <c r="D15" s="14"/>
      <c r="E15" s="14"/>
      <c r="F15" s="14"/>
    </row>
    <row r="16" spans="1:14" x14ac:dyDescent="0.2">
      <c r="A16" s="12" t="s">
        <v>25</v>
      </c>
      <c r="B16" s="15"/>
      <c r="C16" s="15"/>
      <c r="D16" s="15"/>
      <c r="E16" s="15"/>
      <c r="F16" s="15"/>
      <c r="I16" s="4" t="s">
        <v>23</v>
      </c>
    </row>
    <row r="17" spans="1:15" x14ac:dyDescent="0.2">
      <c r="I17" t="s">
        <v>24</v>
      </c>
    </row>
    <row r="18" spans="1:15" x14ac:dyDescent="0.2">
      <c r="I18" t="s">
        <v>26</v>
      </c>
    </row>
    <row r="19" spans="1:15" x14ac:dyDescent="0.2">
      <c r="B19" s="5"/>
      <c r="C19" s="5"/>
      <c r="D19" s="5"/>
      <c r="E19" s="5"/>
      <c r="F19" s="5"/>
      <c r="G19" s="6"/>
    </row>
    <row r="20" spans="1:15" x14ac:dyDescent="0.2">
      <c r="B20" s="6"/>
      <c r="C20" s="6"/>
      <c r="D20" s="6"/>
      <c r="E20" s="6"/>
      <c r="F20" s="6"/>
      <c r="G20" s="8"/>
    </row>
    <row r="21" spans="1:15" x14ac:dyDescent="0.2">
      <c r="A21" s="7"/>
      <c r="B21" s="6"/>
      <c r="C21" s="8"/>
      <c r="D21" s="8"/>
      <c r="E21" s="8"/>
      <c r="F21" s="8"/>
      <c r="G21" s="8"/>
      <c r="J21" s="5" t="s">
        <v>33</v>
      </c>
      <c r="K21" s="5"/>
      <c r="L21" s="5"/>
      <c r="M21" s="5"/>
      <c r="N21" s="5"/>
      <c r="O21" s="5"/>
    </row>
    <row r="22" spans="1:15" x14ac:dyDescent="0.2">
      <c r="A22" s="7"/>
      <c r="B22" s="6"/>
      <c r="C22" s="8"/>
      <c r="H22" s="18" t="s">
        <v>34</v>
      </c>
      <c r="I22" s="6"/>
      <c r="J22" s="19">
        <v>0.06</v>
      </c>
      <c r="K22" s="19">
        <v>7.0000000000000007E-2</v>
      </c>
      <c r="L22" s="19">
        <v>0.08</v>
      </c>
      <c r="M22" s="19">
        <v>0.09</v>
      </c>
      <c r="N22" s="19">
        <v>0.1</v>
      </c>
      <c r="O22" s="19">
        <v>0.11</v>
      </c>
    </row>
    <row r="23" spans="1:15" x14ac:dyDescent="0.2">
      <c r="A23" s="7"/>
      <c r="B23" s="6"/>
      <c r="C23" s="8"/>
      <c r="D23" s="8"/>
      <c r="E23" s="8"/>
      <c r="F23" s="8"/>
      <c r="G23" s="8"/>
      <c r="H23" s="18"/>
      <c r="I23" s="20">
        <v>0.02</v>
      </c>
      <c r="J23" s="6"/>
      <c r="K23" s="6"/>
      <c r="L23" s="6"/>
      <c r="M23" s="6"/>
      <c r="N23" s="6"/>
      <c r="O23" s="6"/>
    </row>
    <row r="24" spans="1:15" x14ac:dyDescent="0.2">
      <c r="A24" s="7"/>
      <c r="B24" s="6"/>
      <c r="C24" s="8"/>
      <c r="D24" s="8"/>
      <c r="E24" s="8"/>
      <c r="F24" s="8"/>
      <c r="H24" s="18"/>
      <c r="I24" s="20">
        <f>I23+0.005</f>
        <v>2.5000000000000001E-2</v>
      </c>
      <c r="J24" s="6"/>
      <c r="K24" s="6"/>
      <c r="L24" s="6"/>
      <c r="M24" s="6"/>
      <c r="N24" s="6"/>
      <c r="O24" s="6"/>
    </row>
    <row r="25" spans="1:15" x14ac:dyDescent="0.2">
      <c r="A25" s="7"/>
      <c r="H25" s="18"/>
      <c r="I25" s="20">
        <f t="shared" ref="I25:I28" si="0">I24+0.005</f>
        <v>3.0000000000000002E-2</v>
      </c>
      <c r="J25" s="6"/>
      <c r="K25" s="6"/>
      <c r="L25" s="6"/>
      <c r="M25" s="6"/>
      <c r="N25" s="6"/>
      <c r="O25" s="6"/>
    </row>
    <row r="26" spans="1:15" x14ac:dyDescent="0.2">
      <c r="A26" s="7"/>
      <c r="H26" s="18"/>
      <c r="I26" s="20">
        <f t="shared" si="0"/>
        <v>3.5000000000000003E-2</v>
      </c>
      <c r="J26" s="6"/>
      <c r="K26" s="6"/>
      <c r="L26" s="6"/>
      <c r="M26" s="6"/>
      <c r="N26" s="6"/>
      <c r="O26" s="6"/>
    </row>
    <row r="27" spans="1:15" x14ac:dyDescent="0.2">
      <c r="A27" s="7"/>
      <c r="H27" s="18"/>
      <c r="I27" s="20">
        <f t="shared" si="0"/>
        <v>0.04</v>
      </c>
      <c r="J27" s="6"/>
      <c r="K27" s="6"/>
      <c r="L27" s="6"/>
      <c r="M27" s="6"/>
      <c r="N27" s="6"/>
      <c r="O27" s="6"/>
    </row>
    <row r="28" spans="1:15" x14ac:dyDescent="0.2">
      <c r="A28" s="7"/>
      <c r="H28" s="18"/>
      <c r="I28" s="20">
        <f t="shared" si="0"/>
        <v>4.4999999999999998E-2</v>
      </c>
      <c r="J28" s="6"/>
      <c r="K28" s="6"/>
      <c r="L28" s="6"/>
      <c r="M28" s="6"/>
      <c r="N28" s="6"/>
      <c r="O28" s="6"/>
    </row>
    <row r="29" spans="1:15" x14ac:dyDescent="0.2">
      <c r="A29" s="7"/>
    </row>
    <row r="30" spans="1:15" x14ac:dyDescent="0.2">
      <c r="A30" s="7"/>
    </row>
  </sheetData>
  <mergeCells count="4">
    <mergeCell ref="B19:F19"/>
    <mergeCell ref="A21:A30"/>
    <mergeCell ref="J21:O21"/>
    <mergeCell ref="H22:H28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IS Pro Forma 1</vt:lpstr>
      <vt:lpstr>BS Pro Forma 1</vt:lpstr>
      <vt:lpstr>IS Pro Forma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Ellen Burnes</dc:creator>
  <cp:lastModifiedBy>Ellen Burnes</cp:lastModifiedBy>
  <dcterms:created xsi:type="dcterms:W3CDTF">2024-10-31T14:53:12Z</dcterms:created>
  <dcterms:modified xsi:type="dcterms:W3CDTF">2024-10-31T16:57:00Z</dcterms:modified>
</cp:coreProperties>
</file>