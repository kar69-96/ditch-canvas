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"/>
    </mc:Choice>
  </mc:AlternateContent>
  <xr:revisionPtr revIDLastSave="1" documentId="8_{DCCA8478-C08C-46DD-BCD6-C7E1DD9B144B}" xr6:coauthVersionLast="47" xr6:coauthVersionMax="47" xr10:uidLastSave="{71BD292A-91F6-4C4E-A3CD-A837332F779D}"/>
  <bookViews>
    <workbookView xWindow="1560" yWindow="1560" windowWidth="24045" windowHeight="14475" xr2:uid="{2703703F-6AC8-684D-A96E-F36FDED83EB5}"/>
  </bookViews>
  <sheets>
    <sheet name="COVER" sheetId="1" r:id="rId1"/>
    <sheet name="Income Statement" sheetId="2" r:id="rId2"/>
    <sheet name="Bal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7" i="2"/>
  <c r="D8" i="2"/>
  <c r="D6" i="2"/>
  <c r="E12" i="3"/>
  <c r="E16" i="3" l="1"/>
</calcChain>
</file>

<file path=xl/sharedStrings.xml><?xml version="1.0" encoding="utf-8"?>
<sst xmlns="http://schemas.openxmlformats.org/spreadsheetml/2006/main" count="48" uniqueCount="46">
  <si>
    <t>Financial Statements to Support HW 2</t>
  </si>
  <si>
    <t>Ellen Burnes</t>
  </si>
  <si>
    <t xml:space="preserve">these financial statements are supported by </t>
  </si>
  <si>
    <r>
      <rPr>
        <sz val="12"/>
        <color theme="1"/>
        <rFont val="Aptos Narrow"/>
        <family val="2"/>
        <scheme val="minor"/>
      </rPr>
      <t>Leach and Melicher</t>
    </r>
    <r>
      <rPr>
        <sz val="12"/>
        <color theme="1"/>
        <rFont val="Aptos Narrow (Body)"/>
      </rPr>
      <t xml:space="preserve">, </t>
    </r>
    <r>
      <rPr>
        <u/>
        <sz val="12"/>
        <color theme="1"/>
        <rFont val="Aptos Narrow (Body)"/>
      </rPr>
      <t>Entrepreneurial Finance</t>
    </r>
    <r>
      <rPr>
        <sz val="12"/>
        <color theme="1"/>
        <rFont val="Aptos Narrow (Body)"/>
      </rPr>
      <t>. 6th edition.</t>
    </r>
  </si>
  <si>
    <t>Revenue</t>
  </si>
  <si>
    <t>COGS</t>
  </si>
  <si>
    <t>Gross Profit</t>
  </si>
  <si>
    <t>Marketing</t>
  </si>
  <si>
    <t>Administrative expenses</t>
  </si>
  <si>
    <t>Bldg Rental</t>
  </si>
  <si>
    <t>Depreciation</t>
  </si>
  <si>
    <t>EBIT</t>
  </si>
  <si>
    <t>Interest</t>
  </si>
  <si>
    <t>Earnings before taxes</t>
  </si>
  <si>
    <t>Taxes (25%)</t>
  </si>
  <si>
    <t>Net Income</t>
  </si>
  <si>
    <t>$</t>
  </si>
  <si>
    <t>Assets</t>
  </si>
  <si>
    <t>Current Assets</t>
  </si>
  <si>
    <t>Cash</t>
  </si>
  <si>
    <t>Accounts Receivable</t>
  </si>
  <si>
    <t>Inventory</t>
  </si>
  <si>
    <t>Total Current Assets</t>
  </si>
  <si>
    <t>Fixed Assets</t>
  </si>
  <si>
    <t>Gross PPE</t>
  </si>
  <si>
    <t>Net PPE</t>
  </si>
  <si>
    <t>Other</t>
  </si>
  <si>
    <t>Total Fixed Assets</t>
  </si>
  <si>
    <t>TOTAL ASSETS</t>
  </si>
  <si>
    <t>Liabilities and Equity</t>
  </si>
  <si>
    <t>Current Liabilities</t>
  </si>
  <si>
    <t>Accounts Payable</t>
  </si>
  <si>
    <t>Notes Payable</t>
  </si>
  <si>
    <t>Total Current Liabilities</t>
  </si>
  <si>
    <t>Long Term Liabilities</t>
  </si>
  <si>
    <t>Long Term Debts</t>
  </si>
  <si>
    <t>Total Long Term Liabilities</t>
  </si>
  <si>
    <t>Equity</t>
  </si>
  <si>
    <t>Retained Earnings</t>
  </si>
  <si>
    <t>TOTAL LIABILITIES &amp; SE</t>
  </si>
  <si>
    <t>Invested Capital</t>
  </si>
  <si>
    <t>EBITDA</t>
  </si>
  <si>
    <t>NEWCO 2024</t>
  </si>
  <si>
    <t>Accumulated Depreciation**</t>
  </si>
  <si>
    <t>**2024 is first year in business.</t>
  </si>
  <si>
    <t>ESBM4570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</si>
</sst>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theme="1"/>
      <name val="Aptos Narrow (Body)"/>
    </font>
    <font>
      <u/>
      <sz val="12"/>
      <color theme="1"/>
      <name val="Aptos Narrow (Body)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AACB-371B-6441-AB30-FD091A64374D}">
  <dimension ref="A1:A11"/>
  <sheetViews>
    <sheetView tabSelected="1" workbookViewId="0">
      <selection activeCell="F12" sqref="F12"/>
    </sheetView>
  </sheetViews>
  <sheetFormatPr defaultColWidth="11" defaultRowHeight="15.75"/>
  <sheetData>
    <row r="1" spans="1:1">
      <c r="A1" t="s">
        <v>0</v>
      </c>
    </row>
    <row r="3" spans="1:1">
      <c r="A3" t="s">
        <v>45</v>
      </c>
    </row>
    <row r="6" spans="1:1">
      <c r="A6" t="s">
        <v>1</v>
      </c>
    </row>
    <row r="10" spans="1:1">
      <c r="A10" t="s">
        <v>2</v>
      </c>
    </row>
    <row r="11" spans="1:1">
      <c r="A1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65C8-88F3-B147-AD4B-A7D72E4CDE0D}">
  <dimension ref="A1:D15"/>
  <sheetViews>
    <sheetView workbookViewId="0">
      <selection activeCell="D13" sqref="D13"/>
    </sheetView>
  </sheetViews>
  <sheetFormatPr defaultColWidth="11" defaultRowHeight="15.75"/>
  <cols>
    <col min="1" max="1" width="24.625" customWidth="1"/>
  </cols>
  <sheetData>
    <row r="1" spans="1:4">
      <c r="A1">
        <v>2024</v>
      </c>
      <c r="B1" s="5"/>
      <c r="D1">
        <v>2025</v>
      </c>
    </row>
    <row r="2" spans="1:4">
      <c r="B2" s="5" t="s">
        <v>16</v>
      </c>
    </row>
    <row r="3" spans="1:4">
      <c r="A3" t="s">
        <v>4</v>
      </c>
      <c r="B3">
        <v>120000</v>
      </c>
    </row>
    <row r="4" spans="1:4">
      <c r="A4" t="s">
        <v>5</v>
      </c>
      <c r="B4">
        <v>78000</v>
      </c>
    </row>
    <row r="5" spans="1:4">
      <c r="A5" t="s">
        <v>6</v>
      </c>
    </row>
    <row r="6" spans="1:4">
      <c r="A6" t="s">
        <v>7</v>
      </c>
      <c r="B6">
        <v>12500</v>
      </c>
      <c r="D6">
        <f>B6</f>
        <v>12500</v>
      </c>
    </row>
    <row r="7" spans="1:4">
      <c r="A7" t="s">
        <v>8</v>
      </c>
      <c r="B7">
        <v>18000</v>
      </c>
      <c r="D7">
        <f t="shared" ref="D7:D8" si="0">B7</f>
        <v>18000</v>
      </c>
    </row>
    <row r="8" spans="1:4">
      <c r="A8" t="s">
        <v>9</v>
      </c>
      <c r="B8">
        <v>6000</v>
      </c>
      <c r="D8">
        <f t="shared" si="0"/>
        <v>6000</v>
      </c>
    </row>
    <row r="9" spans="1:4">
      <c r="A9" t="s">
        <v>41</v>
      </c>
    </row>
    <row r="10" spans="1:4">
      <c r="A10" t="s">
        <v>10</v>
      </c>
      <c r="B10">
        <v>1000</v>
      </c>
    </row>
    <row r="11" spans="1:4">
      <c r="A11" t="s">
        <v>11</v>
      </c>
    </row>
    <row r="12" spans="1:4">
      <c r="A12" t="s">
        <v>12</v>
      </c>
      <c r="B12">
        <v>500</v>
      </c>
      <c r="D12">
        <f>B12</f>
        <v>500</v>
      </c>
    </row>
    <row r="13" spans="1:4">
      <c r="A13" t="s">
        <v>13</v>
      </c>
    </row>
    <row r="14" spans="1:4">
      <c r="A14" t="s">
        <v>14</v>
      </c>
    </row>
    <row r="15" spans="1:4">
      <c r="A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1AAD-D058-0741-BD49-F822F8725A45}">
  <dimension ref="A1:E21"/>
  <sheetViews>
    <sheetView workbookViewId="0">
      <selection activeCell="B28" sqref="B28"/>
    </sheetView>
  </sheetViews>
  <sheetFormatPr defaultColWidth="11" defaultRowHeight="15.75"/>
  <cols>
    <col min="1" max="1" width="31.125" customWidth="1"/>
    <col min="2" max="2" width="15.875" customWidth="1"/>
    <col min="3" max="3" width="5.625" customWidth="1"/>
    <col min="4" max="4" width="31.625" customWidth="1"/>
    <col min="5" max="5" width="20.875" customWidth="1"/>
  </cols>
  <sheetData>
    <row r="1" spans="1:5">
      <c r="A1" t="s">
        <v>42</v>
      </c>
    </row>
    <row r="2" spans="1:5">
      <c r="A2" s="2" t="s">
        <v>17</v>
      </c>
      <c r="B2" s="5" t="s">
        <v>16</v>
      </c>
      <c r="D2" s="2" t="s">
        <v>29</v>
      </c>
      <c r="E2" s="7" t="s">
        <v>16</v>
      </c>
    </row>
    <row r="3" spans="1:5">
      <c r="A3" s="3" t="s">
        <v>18</v>
      </c>
      <c r="D3" s="3" t="s">
        <v>30</v>
      </c>
    </row>
    <row r="4" spans="1:5">
      <c r="A4" t="s">
        <v>19</v>
      </c>
      <c r="B4">
        <v>31500</v>
      </c>
      <c r="D4" t="s">
        <v>31</v>
      </c>
      <c r="E4">
        <v>10000</v>
      </c>
    </row>
    <row r="5" spans="1:5">
      <c r="A5" t="s">
        <v>20</v>
      </c>
      <c r="B5">
        <v>5000</v>
      </c>
      <c r="D5" t="s">
        <v>32</v>
      </c>
      <c r="E5">
        <v>2500</v>
      </c>
    </row>
    <row r="6" spans="1:5">
      <c r="A6" t="s">
        <v>21</v>
      </c>
      <c r="B6">
        <v>10000</v>
      </c>
    </row>
    <row r="7" spans="1:5">
      <c r="A7" s="4" t="s">
        <v>22</v>
      </c>
      <c r="D7" s="4" t="s">
        <v>33</v>
      </c>
    </row>
    <row r="9" spans="1:5">
      <c r="A9" s="3" t="s">
        <v>23</v>
      </c>
      <c r="D9" s="3" t="s">
        <v>34</v>
      </c>
    </row>
    <row r="10" spans="1:5">
      <c r="A10" t="s">
        <v>24</v>
      </c>
      <c r="B10">
        <v>20000</v>
      </c>
      <c r="D10" s="6" t="s">
        <v>35</v>
      </c>
      <c r="E10">
        <v>10000</v>
      </c>
    </row>
    <row r="11" spans="1:5">
      <c r="A11" t="s">
        <v>43</v>
      </c>
    </row>
    <row r="12" spans="1:5">
      <c r="A12" t="s">
        <v>25</v>
      </c>
      <c r="D12" s="3" t="s">
        <v>36</v>
      </c>
      <c r="E12">
        <f>E10</f>
        <v>10000</v>
      </c>
    </row>
    <row r="13" spans="1:5">
      <c r="A13" t="s">
        <v>26</v>
      </c>
      <c r="B13">
        <v>0</v>
      </c>
    </row>
    <row r="14" spans="1:5">
      <c r="A14" s="4" t="s">
        <v>27</v>
      </c>
      <c r="D14" s="2" t="s">
        <v>37</v>
      </c>
    </row>
    <row r="15" spans="1:5">
      <c r="D15" t="s">
        <v>40</v>
      </c>
      <c r="E15">
        <v>40000</v>
      </c>
    </row>
    <row r="16" spans="1:5">
      <c r="D16" t="s">
        <v>38</v>
      </c>
      <c r="E16">
        <f>'Income Statement'!B15</f>
        <v>0</v>
      </c>
    </row>
    <row r="18" spans="1:4">
      <c r="A18" s="2" t="s">
        <v>28</v>
      </c>
      <c r="D18" s="2" t="s">
        <v>39</v>
      </c>
    </row>
    <row r="21" spans="1:4">
      <c r="A21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2024-09-17T16:18:38Z</dcterms:created>
  <dcterms:modified xsi:type="dcterms:W3CDTF">2025-09-08T22:09:58Z</dcterms:modified>
</cp:coreProperties>
</file>