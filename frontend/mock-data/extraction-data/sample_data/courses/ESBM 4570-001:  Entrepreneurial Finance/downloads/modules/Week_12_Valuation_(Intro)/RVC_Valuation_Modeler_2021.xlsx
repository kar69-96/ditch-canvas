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MBAX6110/Resources/"/>
    </mc:Choice>
  </mc:AlternateContent>
  <xr:revisionPtr revIDLastSave="0" documentId="8_{63EDAA8A-8EC8-0340-9C00-92239A34DF4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Questionnaire" sheetId="1" r:id="rId1"/>
    <sheet name="Exit Comps" sheetId="2" r:id="rId2"/>
    <sheet name="Scorecard" sheetId="3" r:id="rId3"/>
    <sheet name="Risk Adjusted" sheetId="4" r:id="rId4"/>
    <sheet name="Burn Rate Method" sheetId="5" r:id="rId5"/>
    <sheet name="Venture Capital Method" sheetId="6" r:id="rId6"/>
    <sheet name="CAP Table Model" sheetId="7" r:id="rId7"/>
    <sheet name="Summary" sheetId="8" r:id="rId8"/>
  </sheets>
  <definedNames>
    <definedName name="ACapital">'CAP Table Model'!$D$63</definedName>
    <definedName name="AngelCapital">'CAP Table Model'!$D$45</definedName>
    <definedName name="BCapital">'CAP Table Model'!$D$83</definedName>
    <definedName name="SeedCapital">'CAP Table Model'!$D$29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iQHTBdsZ8J9tmuCP6DEAtixWQeaQ=="/>
    </ext>
  </extLst>
</workbook>
</file>

<file path=xl/calcChain.xml><?xml version="1.0" encoding="utf-8"?>
<calcChain xmlns="http://schemas.openxmlformats.org/spreadsheetml/2006/main">
  <c r="C132" i="7" l="1"/>
  <c r="C133" i="7" s="1"/>
  <c r="C134" i="7" s="1"/>
  <c r="C135" i="7" s="1"/>
  <c r="C136" i="7" s="1"/>
  <c r="C137" i="7" s="1"/>
  <c r="C138" i="7" s="1"/>
  <c r="C139" i="7" s="1"/>
  <c r="C131" i="7"/>
  <c r="E129" i="7"/>
  <c r="F129" i="7" s="1"/>
  <c r="G129" i="7" s="1"/>
  <c r="H129" i="7" s="1"/>
  <c r="I129" i="7" s="1"/>
  <c r="F113" i="7"/>
  <c r="F112" i="7"/>
  <c r="F111" i="7"/>
  <c r="F122" i="7" s="1"/>
  <c r="F110" i="7"/>
  <c r="C110" i="7"/>
  <c r="D101" i="7"/>
  <c r="C101" i="7"/>
  <c r="C100" i="7"/>
  <c r="C89" i="7"/>
  <c r="C111" i="7" s="1"/>
  <c r="E88" i="7"/>
  <c r="D110" i="7" s="1"/>
  <c r="D85" i="7"/>
  <c r="D84" i="7" s="1"/>
  <c r="D79" i="7"/>
  <c r="C79" i="7"/>
  <c r="C69" i="7"/>
  <c r="C90" i="7" s="1"/>
  <c r="C112" i="7" s="1"/>
  <c r="E68" i="7"/>
  <c r="D65" i="7"/>
  <c r="D64" i="7" s="1"/>
  <c r="D59" i="7"/>
  <c r="C59" i="7"/>
  <c r="C78" i="7" s="1"/>
  <c r="C99" i="7" s="1"/>
  <c r="D58" i="7"/>
  <c r="D77" i="7" s="1"/>
  <c r="D57" i="7"/>
  <c r="D56" i="7"/>
  <c r="C51" i="7"/>
  <c r="C70" i="7" s="1"/>
  <c r="C91" i="7" s="1"/>
  <c r="C113" i="7" s="1"/>
  <c r="E50" i="7"/>
  <c r="D47" i="7"/>
  <c r="D46" i="7" s="1"/>
  <c r="D41" i="7"/>
  <c r="C41" i="7"/>
  <c r="C58" i="7" s="1"/>
  <c r="C77" i="7" s="1"/>
  <c r="C98" i="7" s="1"/>
  <c r="C120" i="7" s="1"/>
  <c r="D40" i="7"/>
  <c r="C40" i="7"/>
  <c r="C57" i="7" s="1"/>
  <c r="C76" i="7" s="1"/>
  <c r="C97" i="7" s="1"/>
  <c r="C119" i="7" s="1"/>
  <c r="D39" i="7"/>
  <c r="C39" i="7"/>
  <c r="C56" i="7" s="1"/>
  <c r="C75" i="7" s="1"/>
  <c r="C96" i="7" s="1"/>
  <c r="C118" i="7" s="1"/>
  <c r="D38" i="7"/>
  <c r="D55" i="7" s="1"/>
  <c r="C38" i="7"/>
  <c r="C55" i="7" s="1"/>
  <c r="C74" i="7" s="1"/>
  <c r="C95" i="7" s="1"/>
  <c r="C117" i="7" s="1"/>
  <c r="D37" i="7"/>
  <c r="D54" i="7" s="1"/>
  <c r="C37" i="7"/>
  <c r="C54" i="7" s="1"/>
  <c r="C73" i="7" s="1"/>
  <c r="C94" i="7" s="1"/>
  <c r="C116" i="7" s="1"/>
  <c r="C36" i="7"/>
  <c r="C53" i="7" s="1"/>
  <c r="C72" i="7" s="1"/>
  <c r="C93" i="7" s="1"/>
  <c r="C115" i="7" s="1"/>
  <c r="C35" i="7"/>
  <c r="C52" i="7" s="1"/>
  <c r="C71" i="7" s="1"/>
  <c r="C92" i="7" s="1"/>
  <c r="C114" i="7" s="1"/>
  <c r="E34" i="7"/>
  <c r="D31" i="7"/>
  <c r="D30" i="7" s="1"/>
  <c r="D21" i="7"/>
  <c r="D20" i="7"/>
  <c r="E14" i="7"/>
  <c r="F14" i="7" s="1"/>
  <c r="D11" i="7"/>
  <c r="D19" i="7" s="1"/>
  <c r="D10" i="7"/>
  <c r="D18" i="7" s="1"/>
  <c r="C7" i="6"/>
  <c r="C10" i="6" s="1"/>
  <c r="C11" i="6" s="1"/>
  <c r="B16" i="8" s="1"/>
  <c r="C5" i="5"/>
  <c r="C7" i="5" s="1"/>
  <c r="C8" i="5" s="1"/>
  <c r="B15" i="8" s="1"/>
  <c r="B15" i="4"/>
  <c r="B17" i="4" s="1"/>
  <c r="B14" i="8" s="1"/>
  <c r="B14" i="4"/>
  <c r="D9" i="3"/>
  <c r="D8" i="3"/>
  <c r="D7" i="3"/>
  <c r="D6" i="3"/>
  <c r="D5" i="3"/>
  <c r="D10" i="3" s="1"/>
  <c r="D12" i="3" s="1"/>
  <c r="B13" i="8" s="1"/>
  <c r="D4" i="3"/>
  <c r="D3" i="3"/>
  <c r="E19" i="2"/>
  <c r="D19" i="2"/>
  <c r="D18" i="2"/>
  <c r="D35" i="7" l="1"/>
  <c r="D25" i="7"/>
  <c r="B21" i="8"/>
  <c r="B20" i="8"/>
  <c r="B19" i="8"/>
  <c r="D98" i="7"/>
  <c r="D36" i="7"/>
  <c r="D73" i="7"/>
  <c r="D74" i="7"/>
  <c r="D78" i="7"/>
  <c r="D100" i="7"/>
  <c r="D76" i="7"/>
  <c r="D75" i="7"/>
  <c r="D97" i="7" l="1"/>
  <c r="D96" i="7"/>
  <c r="D94" i="7"/>
  <c r="E24" i="7"/>
  <c r="E23" i="7"/>
  <c r="D34" i="7"/>
  <c r="E22" i="7"/>
  <c r="E21" i="7"/>
  <c r="D95" i="7"/>
  <c r="E19" i="7"/>
  <c r="D52" i="7"/>
  <c r="D53" i="7"/>
  <c r="E18" i="7"/>
  <c r="D99" i="7"/>
  <c r="E20" i="7"/>
  <c r="E25" i="7" l="1"/>
  <c r="F25" i="7" s="1"/>
  <c r="D71" i="7"/>
  <c r="D72" i="7"/>
  <c r="D51" i="7"/>
  <c r="D43" i="7"/>
  <c r="D92" i="7" l="1"/>
  <c r="D70" i="7"/>
  <c r="E39" i="7"/>
  <c r="E42" i="7"/>
  <c r="E41" i="7"/>
  <c r="D50" i="7"/>
  <c r="E40" i="7"/>
  <c r="E37" i="7"/>
  <c r="E38" i="7"/>
  <c r="E36" i="7"/>
  <c r="E35" i="7"/>
  <c r="D93" i="7"/>
  <c r="D69" i="7" l="1"/>
  <c r="D61" i="7"/>
  <c r="F35" i="7"/>
  <c r="E43" i="7"/>
  <c r="F43" i="7" s="1"/>
  <c r="D91" i="7"/>
  <c r="E58" i="7" l="1"/>
  <c r="E60" i="7"/>
  <c r="D68" i="7"/>
  <c r="E56" i="7"/>
  <c r="E59" i="7"/>
  <c r="H60" i="7" s="1"/>
  <c r="E57" i="7"/>
  <c r="E55" i="7"/>
  <c r="E54" i="7"/>
  <c r="E52" i="7"/>
  <c r="F52" i="7" s="1"/>
  <c r="E53" i="7"/>
  <c r="E51" i="7"/>
  <c r="D90" i="7"/>
  <c r="E61" i="7" l="1"/>
  <c r="F61" i="7" s="1"/>
  <c r="D89" i="7"/>
  <c r="D81" i="7"/>
  <c r="E80" i="7" l="1"/>
  <c r="D88" i="7"/>
  <c r="D103" i="7" s="1"/>
  <c r="E77" i="7"/>
  <c r="E79" i="7"/>
  <c r="E74" i="7"/>
  <c r="E76" i="7"/>
  <c r="E75" i="7"/>
  <c r="E78" i="7"/>
  <c r="H80" i="7" s="1"/>
  <c r="E73" i="7"/>
  <c r="E71" i="7"/>
  <c r="F71" i="7" s="1"/>
  <c r="E72" i="7"/>
  <c r="E70" i="7"/>
  <c r="E69" i="7"/>
  <c r="E89" i="7"/>
  <c r="D111" i="7" l="1"/>
  <c r="E81" i="7"/>
  <c r="F81" i="7" s="1"/>
  <c r="E102" i="7"/>
  <c r="D107" i="7"/>
  <c r="E101" i="7"/>
  <c r="E110" i="7"/>
  <c r="E100" i="7"/>
  <c r="E98" i="7"/>
  <c r="D120" i="7" s="1"/>
  <c r="E95" i="7"/>
  <c r="D117" i="7" s="1"/>
  <c r="E99" i="7"/>
  <c r="E96" i="7"/>
  <c r="D118" i="7" s="1"/>
  <c r="E97" i="7"/>
  <c r="D119" i="7" s="1"/>
  <c r="E119" i="7" s="1"/>
  <c r="E94" i="7"/>
  <c r="D116" i="7" s="1"/>
  <c r="E116" i="7" s="1"/>
  <c r="E93" i="7"/>
  <c r="D115" i="7" s="1"/>
  <c r="E115" i="7" s="1"/>
  <c r="E92" i="7"/>
  <c r="D114" i="7" s="1"/>
  <c r="E114" i="7" s="1"/>
  <c r="E91" i="7"/>
  <c r="D113" i="7" s="1"/>
  <c r="E90" i="7"/>
  <c r="D112" i="7" s="1"/>
  <c r="E117" i="7" l="1"/>
  <c r="G110" i="7"/>
  <c r="E118" i="7"/>
  <c r="H102" i="7"/>
  <c r="D121" i="7"/>
  <c r="E121" i="7" s="1"/>
  <c r="E112" i="7"/>
  <c r="G112" i="7" s="1"/>
  <c r="E103" i="7"/>
  <c r="F103" i="7" s="1"/>
  <c r="E113" i="7"/>
  <c r="G113" i="7" s="1"/>
  <c r="E120" i="7"/>
  <c r="E111" i="7"/>
  <c r="G111" i="7" s="1"/>
  <c r="C129" i="7" s="1"/>
  <c r="D122" i="7" l="1"/>
  <c r="D123" i="7" s="1"/>
  <c r="E122" i="7"/>
  <c r="E123" i="7" s="1"/>
</calcChain>
</file>

<file path=xl/sharedStrings.xml><?xml version="1.0" encoding="utf-8"?>
<sst xmlns="http://schemas.openxmlformats.org/spreadsheetml/2006/main" count="277" uniqueCount="214">
  <si>
    <t>Valuation Questionnaire</t>
  </si>
  <si>
    <t>Financial Risk</t>
  </si>
  <si>
    <t>What is the total amount being raised?</t>
  </si>
  <si>
    <t>What is the time amount of runway before the cash runs out?</t>
  </si>
  <si>
    <t>What is the projected year five EBITDA for the company?</t>
  </si>
  <si>
    <t>What is the projected year five REVENUES for the company?</t>
  </si>
  <si>
    <t>Exit Comps</t>
  </si>
  <si>
    <r>
      <rPr>
        <sz val="11"/>
        <color theme="1"/>
        <rFont val="Calibri"/>
        <family val="2"/>
      </rPr>
      <t xml:space="preserve">What is the mean and median of  </t>
    </r>
    <r>
      <rPr>
        <u/>
        <sz val="11"/>
        <color theme="1"/>
        <rFont val="Calibri"/>
        <family val="2"/>
      </rPr>
      <t>multiple</t>
    </r>
    <r>
      <rPr>
        <sz val="11"/>
        <color theme="1"/>
        <rFont val="Calibri"/>
        <family val="2"/>
      </rPr>
      <t xml:space="preserve"> of revenue for five or more comparable companies?</t>
    </r>
  </si>
  <si>
    <r>
      <rPr>
        <sz val="11"/>
        <color theme="1"/>
        <rFont val="Calibri"/>
        <family val="2"/>
      </rPr>
      <t xml:space="preserve">What is the mean and median </t>
    </r>
    <r>
      <rPr>
        <u/>
        <sz val="11"/>
        <color theme="1"/>
        <rFont val="Calibri"/>
        <family val="2"/>
      </rPr>
      <t>acquisition amount</t>
    </r>
    <r>
      <rPr>
        <sz val="11"/>
        <color theme="1"/>
        <rFont val="Calibri"/>
        <family val="2"/>
      </rPr>
      <t xml:space="preserve"> for five or more comparable companies?</t>
    </r>
  </si>
  <si>
    <t>What is the total addressable market?</t>
  </si>
  <si>
    <t>How many years are anticipated until exit?</t>
  </si>
  <si>
    <t>Team</t>
  </si>
  <si>
    <t>How many people are full time on the team or committed to join full time upon funding?</t>
  </si>
  <si>
    <t>How many C-Level members have worked in a venture backed company before?</t>
  </si>
  <si>
    <t>Total years of industry experience?</t>
  </si>
  <si>
    <t>What percent of key C-Level positions are filled?</t>
  </si>
  <si>
    <t>Does the team have the appropriate education level?</t>
  </si>
  <si>
    <t>Does the team employ a formal strategic planning process? (Or do they have a strong strategy they can articulate?)</t>
  </si>
  <si>
    <t>Does the team employ a clear use of metrics for success?</t>
  </si>
  <si>
    <t>Product/Technology</t>
  </si>
  <si>
    <t>How many patents have been filed and are up-to-date?</t>
  </si>
  <si>
    <t>How many patents have been issued?</t>
  </si>
  <si>
    <t>Is the technology currently functional?</t>
  </si>
  <si>
    <t>Are there significant barriers to entry for competitors to enter the market?</t>
  </si>
  <si>
    <t>Is the benefit of the product incremental or revolutionary?</t>
  </si>
  <si>
    <t>Is the product development completed?</t>
  </si>
  <si>
    <t>Is there a pipeline of additional products identified?</t>
  </si>
  <si>
    <t>Are there significant barriers to completing technology implementation?</t>
  </si>
  <si>
    <t>Are there alternatives to the company's primary suppliers?</t>
  </si>
  <si>
    <t>Marketing/Sales Partnerships</t>
  </si>
  <si>
    <t>How many channel partners are engaged to help market the product/service?</t>
  </si>
  <si>
    <t>Is there clear evidence of market acceptance?</t>
  </si>
  <si>
    <t>Is there a clear go to market and channel strategy?</t>
  </si>
  <si>
    <t>What are the trendlines for adoption of the product?  i.e. is it growing or is it a fad?</t>
  </si>
  <si>
    <t>Need for Additional Investment</t>
  </si>
  <si>
    <t>How many additional rounds of financing are anticipated?</t>
  </si>
  <si>
    <t>Will future funding be angel or VC?</t>
  </si>
  <si>
    <t>What is the total amount of additional raise required?</t>
  </si>
  <si>
    <t>ROI to customers</t>
  </si>
  <si>
    <t>Sales cycle</t>
  </si>
  <si>
    <t>Competitive environment</t>
  </si>
  <si>
    <t>similar companies?</t>
  </si>
  <si>
    <t>ROI</t>
  </si>
  <si>
    <t>Cost to acquire a customer</t>
  </si>
  <si>
    <t>Lifetime value of a customer</t>
  </si>
  <si>
    <t>(Prefer 5 or more)</t>
  </si>
  <si>
    <t>Company</t>
  </si>
  <si>
    <t>Acquirer</t>
  </si>
  <si>
    <t>Strategy</t>
  </si>
  <si>
    <t>Price</t>
  </si>
  <si>
    <t>Multiple</t>
  </si>
  <si>
    <t>Earnings/Revenue/Subscribers?</t>
  </si>
  <si>
    <t>Total</t>
  </si>
  <si>
    <t>Average</t>
  </si>
  <si>
    <t>Scorecard Method</t>
  </si>
  <si>
    <t>Average Company Valuation</t>
  </si>
  <si>
    <t>Opportunity Size</t>
  </si>
  <si>
    <t>Competitive Environment</t>
  </si>
  <si>
    <t>Need for additional investment</t>
  </si>
  <si>
    <t>Other factors</t>
  </si>
  <si>
    <t>Scorecard Adjusted Valuation</t>
  </si>
  <si>
    <t>Instructions:</t>
  </si>
  <si>
    <t>The scorecard method works by comparing companies based on the top factors that</t>
  </si>
  <si>
    <t xml:space="preserve">impact value for early stage companies and adjusting the value from an average.  </t>
  </si>
  <si>
    <t>for early stage companies by a weighted calculation.</t>
  </si>
  <si>
    <t>Column B is the weighting column.  For most valuations this will not change.  The total</t>
  </si>
  <si>
    <t>of the weights must equal 100%</t>
  </si>
  <si>
    <t xml:space="preserve">Column C is the evaluation column.  You may rate the company anywhere from </t>
  </si>
  <si>
    <t>"0%" to "400%"</t>
  </si>
  <si>
    <t>This rating has some subjectivity, but an experienced evaluator will have many</t>
  </si>
  <si>
    <t>comparable companies upon which to base their assessment.  For additional help</t>
  </si>
  <si>
    <t>you may look at the questions on the questionnaire to see what kinds of factors</t>
  </si>
  <si>
    <t>would lead to higher or lower scores for each area of this assesssment</t>
  </si>
  <si>
    <t xml:space="preserve">For example, a natural food and beverage company with an exit potential of </t>
  </si>
  <si>
    <t>0-$10 million would receive 50%;  from $10 to $10 million would receive 100%, from</t>
  </si>
  <si>
    <t>$20-30 million = 200%; $30-50 million = 300%; and $50 million + would receive 400%.</t>
  </si>
  <si>
    <t xml:space="preserve">On the other hand, a technology company would start at 0 to $25 million, then jump </t>
  </si>
  <si>
    <t>to $50 million, $100 million, $250 million, etc.</t>
  </si>
  <si>
    <t>The average company valuation for a technology company to start, however, would be</t>
  </si>
  <si>
    <t>$3 million and a natural food and beverage company might start at $1.5 million.</t>
  </si>
  <si>
    <t>Steps:</t>
  </si>
  <si>
    <t>Calculate the average company valuation by researching comps.</t>
  </si>
  <si>
    <t>Make the Column C assessments from 0 to 400%</t>
  </si>
  <si>
    <t>Risk Adjusted Method</t>
  </si>
  <si>
    <r>
      <rPr>
        <b/>
        <sz val="11"/>
        <color theme="1"/>
        <rFont val="Calibri"/>
        <family val="2"/>
      </rPr>
      <t xml:space="preserve">Impact </t>
    </r>
    <r>
      <rPr>
        <b/>
        <sz val="11"/>
        <color theme="1"/>
        <rFont val="Calibri"/>
        <family val="2"/>
      </rPr>
      <t>± 3</t>
    </r>
  </si>
  <si>
    <t>Technology Risk (where is the world moving? Can we predict it? Are we designing for where the puck is now instead of where it will be?</t>
  </si>
  <si>
    <t>Execution Risk (Is the product already developed? Are there still leaps of faith that we can pull this off?</t>
  </si>
  <si>
    <t>Market Risk (Have we proven a market exists for this, that people are willing to spend on our thing?)</t>
  </si>
  <si>
    <t>Competitive Risk (are we facing a red ocean of competitors?)</t>
  </si>
  <si>
    <t>Financial Risk (How many rounds of funding will we require to pull this off?  How many $$?)</t>
  </si>
  <si>
    <t>Economic Risk (macro themes, external) (What macro-level changes could take us out at the knees? Or provide tailwinds?)</t>
  </si>
  <si>
    <t>Politcal/Legal/Regulatory Risk (Will coming regulatory changes take us out at the knees? Or accelerate our adoption?)</t>
  </si>
  <si>
    <t>Social Risk (Will changes in public opinion cast our solution/industry in a bad light? Or help us?)</t>
  </si>
  <si>
    <t>Partner/Supplier Risks (Do we rely on an external supply chain? External sales channel partners?)</t>
  </si>
  <si>
    <t>Other</t>
  </si>
  <si>
    <t>Aggregate Risk Factor</t>
  </si>
  <si>
    <t>Risk Adjustment</t>
  </si>
  <si>
    <t>Comparable Value Assumption for your industry/stage</t>
  </si>
  <si>
    <t>Current Risk Adjusted Value</t>
  </si>
  <si>
    <t>You may adjust the risks described to show those most relevant to your company.</t>
  </si>
  <si>
    <t>Each risk receives a rating between -3 and +3 to indicate the relative impact.</t>
  </si>
  <si>
    <t>A company with average risk would get a "0" in the impact column for that risk.</t>
  </si>
  <si>
    <t>The method works by multiplying each positive or negative risk point by $100,000</t>
  </si>
  <si>
    <t>Burn Rate Method</t>
  </si>
  <si>
    <t>Planned Burn Rate (Per Month)</t>
  </si>
  <si>
    <t>Number of months to reach milestones</t>
  </si>
  <si>
    <t>Total Burn (= investment needed)</t>
  </si>
  <si>
    <t>Equity Percentage For Investors</t>
  </si>
  <si>
    <t>Post Money Value</t>
  </si>
  <si>
    <t>Pre-Money Value</t>
  </si>
  <si>
    <t>Milestones to achieve with funding</t>
  </si>
  <si>
    <t>Launch iOS app</t>
  </si>
  <si>
    <t>Secure 5 retail partnerships</t>
  </si>
  <si>
    <t>Cash flow positive</t>
  </si>
  <si>
    <t>FDA phase II trials complete and successful</t>
  </si>
  <si>
    <t>…</t>
  </si>
  <si>
    <t xml:space="preserve">This method works by understanding that to minimize dilution, most capital </t>
  </si>
  <si>
    <t>raises are 10-30%.  This method checks this percentage against the valuation</t>
  </si>
  <si>
    <t>to give guidance based on norms for raising capital.</t>
  </si>
  <si>
    <t>After completing the proforma for a company, assess the total amount of burn</t>
  </si>
  <si>
    <t xml:space="preserve">between now and when sufficient milestones will be reached to achieve one </t>
  </si>
  <si>
    <t>of the following:</t>
  </si>
  <si>
    <t>- Cash flow positive</t>
  </si>
  <si>
    <t>- Acquisition or IPO</t>
  </si>
  <si>
    <t>- Series A, or next appropriate round of financing</t>
  </si>
  <si>
    <t>Understanding the appropriate milestones is critical to assessing the amount</t>
  </si>
  <si>
    <t>of time and total burn that will be required.  Usually this will be defined by</t>
  </si>
  <si>
    <t>a major inflection of risk such as receiving FDA certification, $1 million run rate, etc.</t>
  </si>
  <si>
    <t>Steps to Complete:</t>
  </si>
  <si>
    <t>Identify your key milestones to achieve and complete cell A12</t>
  </si>
  <si>
    <t>Calculate monthly burn and amount of time to achieve milestones</t>
  </si>
  <si>
    <t>(Or input a total burn amount if monthly burn is irregular)</t>
  </si>
  <si>
    <t xml:space="preserve">Calculate your anticipated percent of equity.  Usually 10-30%.  More if the </t>
  </si>
  <si>
    <t>company is early stage and less if it is later stage.</t>
  </si>
  <si>
    <t>Venture Capital Method</t>
  </si>
  <si>
    <t>Investment</t>
  </si>
  <si>
    <t>Years to Exit</t>
  </si>
  <si>
    <t>Exit Multiples</t>
  </si>
  <si>
    <t>Revenue</t>
  </si>
  <si>
    <t>years to exit</t>
  </si>
  <si>
    <t>multiple required</t>
  </si>
  <si>
    <t>EBITDA</t>
  </si>
  <si>
    <t>Year</t>
  </si>
  <si>
    <t>Price/Revenue  for similar companies</t>
  </si>
  <si>
    <t>Terminal Value (what the company gets bought for)</t>
  </si>
  <si>
    <t>Target IRR</t>
  </si>
  <si>
    <t>Target Investment Multiple</t>
  </si>
  <si>
    <t>Post Money Valuation (after investment)</t>
  </si>
  <si>
    <t>Pre-Money Valuation (before investment)</t>
  </si>
  <si>
    <t>This method works ONLY for investments where no further rounds</t>
  </si>
  <si>
    <t>are anticipated.</t>
  </si>
  <si>
    <t>It works by calculating the exit, and the desired return, and calculating</t>
  </si>
  <si>
    <t>a present day valuation.</t>
  </si>
  <si>
    <t>Input the investment amount in cell C2</t>
  </si>
  <si>
    <t>Calculate the exit year by reviewing your exit strategy canvas.</t>
  </si>
  <si>
    <t>Calculate the exit revenue multiple from comparables research.</t>
  </si>
  <si>
    <t>Look up the desired multiple in column G based on the number of</t>
  </si>
  <si>
    <t>years until exit and put your multiple in cell C9</t>
  </si>
  <si>
    <t>CAP TABLE VALUATION MODEL</t>
  </si>
  <si>
    <t>Instructions</t>
  </si>
  <si>
    <t>This model shows the cumulative dilution effect of multiple rounds of investment.  You can model</t>
  </si>
  <si>
    <t>more complex exit scenarios and total return to investors under various scenarios.</t>
  </si>
  <si>
    <t>Complete the raise amount and equity percentage for each round and then enter the anticipated exit.</t>
  </si>
  <si>
    <t>Founding</t>
  </si>
  <si>
    <t>Founder 1</t>
  </si>
  <si>
    <t>Holder</t>
  </si>
  <si>
    <t>Shares</t>
  </si>
  <si>
    <t>%</t>
  </si>
  <si>
    <t>paper value</t>
  </si>
  <si>
    <t>NOTES</t>
  </si>
  <si>
    <t>Zero out % if you have fewer founders; make sure it adds up to 100%</t>
  </si>
  <si>
    <t>Founder 2</t>
  </si>
  <si>
    <t>Founder 3</t>
  </si>
  <si>
    <t>Founder 4</t>
  </si>
  <si>
    <t>Total Shares</t>
  </si>
  <si>
    <t>Interim Expansion (if any)</t>
  </si>
  <si>
    <t>New Teammate</t>
  </si>
  <si>
    <t>Advisor</t>
  </si>
  <si>
    <t>FFF Round</t>
  </si>
  <si>
    <t>Left input is amount to raise, right input is investor ownership</t>
  </si>
  <si>
    <t>PreMoney Valuation</t>
  </si>
  <si>
    <t>Post</t>
  </si>
  <si>
    <t>FFF Investors</t>
  </si>
  <si>
    <t>Employee Options Pool #1</t>
  </si>
  <si>
    <t>Seed Round</t>
  </si>
  <si>
    <t>Seed Investors</t>
  </si>
  <si>
    <t>Employee Option Pool #2</t>
  </si>
  <si>
    <t>Total Options Pool:</t>
  </si>
  <si>
    <t>Series A Round</t>
  </si>
  <si>
    <t>Series A Investors</t>
  </si>
  <si>
    <t>In this scenario, angels do not re-up (see B round for example of modeling a re-up)</t>
  </si>
  <si>
    <t>Employee Option Pool 2</t>
  </si>
  <si>
    <t>Series B Round</t>
  </si>
  <si>
    <t>Series B Investors</t>
  </si>
  <si>
    <t>Employee Option Pool 3</t>
  </si>
  <si>
    <t>Exit</t>
  </si>
  <si>
    <t>Value per Share ($)</t>
  </si>
  <si>
    <t>Ownership</t>
  </si>
  <si>
    <t>Return</t>
  </si>
  <si>
    <t>Employee Options Pool</t>
  </si>
  <si>
    <t>Example Data Table</t>
  </si>
  <si>
    <t>Multiple of Return for Series A Round Investor</t>
  </si>
  <si>
    <t>Total Exit</t>
  </si>
  <si>
    <t>A Investor Ownership Stake at Time of Series A Round</t>
  </si>
  <si>
    <t>RVC Valuation Worksheet for Early Stage Companies</t>
  </si>
  <si>
    <t>Complete each of the tabs to calculate valuations and return</t>
  </si>
  <si>
    <t>to this page for a summary.</t>
  </si>
  <si>
    <t>Risk Factor Method</t>
  </si>
  <si>
    <t>Venture Capital or Cap Table Method</t>
  </si>
  <si>
    <t>type this in from the appropriate spreadsheet</t>
  </si>
  <si>
    <t>Gut Check</t>
  </si>
  <si>
    <t>HI/LO/Expected</t>
  </si>
  <si>
    <t>Median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</si>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</sst>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#,##0.0000"/>
    <numFmt numFmtId="166" formatCode="#,##0.0"/>
    <numFmt numFmtId="167" formatCode="0.0%"/>
    <numFmt numFmtId="168" formatCode="&quot;$&quot;#,##0"/>
    <numFmt numFmtId="169" formatCode="0.000"/>
    <numFmt numFmtId="170" formatCode="&quot;$&quot;#,##0.00"/>
    <numFmt numFmtId="171" formatCode="0.0\x"/>
  </numFmts>
  <fonts count="22" x14ac:knownFonts="1">
    <font>
      <sz val="11"/>
      <color theme="1"/>
      <name val="Calibri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8"/>
      <color theme="1"/>
      <name val="Arial"/>
      <family val="2"/>
    </font>
    <font>
      <sz val="10"/>
      <color rgb="FF800000"/>
      <name val="Arial"/>
      <family val="2"/>
    </font>
    <font>
      <sz val="10"/>
      <color rgb="FF0000FF"/>
      <name val="Arial"/>
      <family val="2"/>
    </font>
    <font>
      <sz val="8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</font>
    <font>
      <sz val="10"/>
      <color rgb="FFC0C0C0"/>
      <name val="Arial"/>
      <family val="2"/>
    </font>
    <font>
      <u/>
      <sz val="10"/>
      <color rgb="FF0000FF"/>
      <name val="Arial"/>
      <family val="2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0" fillId="0" borderId="2" xfId="0" applyBorder="1" applyAlignment="1">
      <alignment wrapText="1"/>
    </xf>
    <xf numFmtId="0" fontId="4" fillId="0" borderId="0" xfId="0" applyFont="1"/>
    <xf numFmtId="164" fontId="0" fillId="2" borderId="3" xfId="0" applyNumberFormat="1" applyFill="1" applyBorder="1"/>
    <xf numFmtId="9" fontId="0" fillId="0" borderId="0" xfId="0" applyNumberFormat="1"/>
    <xf numFmtId="9" fontId="0" fillId="2" borderId="3" xfId="0" applyNumberFormat="1" applyFill="1" applyBorder="1"/>
    <xf numFmtId="43" fontId="0" fillId="0" borderId="0" xfId="0" applyNumberFormat="1"/>
    <xf numFmtId="165" fontId="0" fillId="0" borderId="0" xfId="0" applyNumberFormat="1"/>
    <xf numFmtId="0" fontId="2" fillId="0" borderId="4" xfId="0" applyFont="1" applyBorder="1"/>
    <xf numFmtId="164" fontId="2" fillId="0" borderId="4" xfId="0" applyNumberFormat="1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2" borderId="3" xfId="0" applyFill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/>
    <xf numFmtId="6" fontId="0" fillId="2" borderId="3" xfId="0" applyNumberFormat="1" applyFill="1" applyBorder="1"/>
    <xf numFmtId="6" fontId="2" fillId="0" borderId="4" xfId="0" applyNumberFormat="1" applyFont="1" applyBorder="1"/>
    <xf numFmtId="0" fontId="0" fillId="0" borderId="5" xfId="0" applyBorder="1"/>
    <xf numFmtId="164" fontId="0" fillId="2" borderId="5" xfId="0" applyNumberFormat="1" applyFill="1" applyBorder="1"/>
    <xf numFmtId="0" fontId="0" fillId="2" borderId="5" xfId="0" applyFill="1" applyBorder="1"/>
    <xf numFmtId="164" fontId="0" fillId="0" borderId="5" xfId="0" applyNumberFormat="1" applyBorder="1"/>
    <xf numFmtId="9" fontId="0" fillId="2" borderId="5" xfId="0" applyNumberFormat="1" applyFill="1" applyBorder="1"/>
    <xf numFmtId="0" fontId="2" fillId="0" borderId="5" xfId="0" applyFont="1" applyBorder="1"/>
    <xf numFmtId="164" fontId="2" fillId="0" borderId="5" xfId="0" applyNumberFormat="1" applyFont="1" applyBorder="1"/>
    <xf numFmtId="0" fontId="0" fillId="0" borderId="0" xfId="0" applyAlignment="1">
      <alignment wrapText="1"/>
    </xf>
    <xf numFmtId="0" fontId="0" fillId="0" borderId="0" xfId="0" quotePrefix="1"/>
    <xf numFmtId="164" fontId="0" fillId="2" borderId="5" xfId="0" applyNumberFormat="1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0" fontId="0" fillId="0" borderId="0" xfId="0" applyAlignment="1">
      <alignment horizontal="right"/>
    </xf>
    <xf numFmtId="9" fontId="0" fillId="0" borderId="5" xfId="0" applyNumberForma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3" borderId="3" xfId="0" applyFont="1" applyFill="1" applyBorder="1"/>
    <xf numFmtId="0" fontId="0" fillId="3" borderId="3" xfId="0" applyFill="1" applyBorder="1"/>
    <xf numFmtId="0" fontId="8" fillId="0" borderId="0" xfId="0" applyFont="1"/>
    <xf numFmtId="0" fontId="0" fillId="0" borderId="6" xfId="0" applyBorder="1"/>
    <xf numFmtId="0" fontId="0" fillId="0" borderId="6" xfId="0" applyBorder="1" applyAlignment="1">
      <alignment horizontal="center"/>
    </xf>
    <xf numFmtId="0" fontId="9" fillId="0" borderId="6" xfId="0" applyFont="1" applyBorder="1"/>
    <xf numFmtId="0" fontId="10" fillId="0" borderId="0" xfId="0" applyFont="1"/>
    <xf numFmtId="1" fontId="0" fillId="0" borderId="0" xfId="0" applyNumberFormat="1"/>
    <xf numFmtId="10" fontId="10" fillId="2" borderId="3" xfId="0" applyNumberFormat="1" applyFont="1" applyFill="1" applyBorder="1"/>
    <xf numFmtId="44" fontId="0" fillId="0" borderId="0" xfId="0" applyNumberFormat="1"/>
    <xf numFmtId="0" fontId="9" fillId="0" borderId="0" xfId="0" applyFont="1"/>
    <xf numFmtId="0" fontId="0" fillId="0" borderId="7" xfId="0" applyBorder="1"/>
    <xf numFmtId="166" fontId="10" fillId="2" borderId="8" xfId="0" applyNumberFormat="1" applyFont="1" applyFill="1" applyBorder="1"/>
    <xf numFmtId="167" fontId="6" fillId="0" borderId="7" xfId="0" applyNumberFormat="1" applyFont="1" applyBorder="1"/>
    <xf numFmtId="0" fontId="11" fillId="0" borderId="0" xfId="0" applyFont="1"/>
    <xf numFmtId="10" fontId="0" fillId="0" borderId="0" xfId="0" applyNumberFormat="1"/>
    <xf numFmtId="3" fontId="10" fillId="2" borderId="3" xfId="0" applyNumberFormat="1" applyFont="1" applyFill="1" applyBorder="1"/>
    <xf numFmtId="166" fontId="6" fillId="0" borderId="7" xfId="0" applyNumberFormat="1" applyFont="1" applyBorder="1"/>
    <xf numFmtId="167" fontId="0" fillId="0" borderId="7" xfId="0" applyNumberFormat="1" applyBorder="1"/>
    <xf numFmtId="3" fontId="0" fillId="0" borderId="0" xfId="0" applyNumberFormat="1"/>
    <xf numFmtId="168" fontId="10" fillId="2" borderId="5" xfId="0" applyNumberFormat="1" applyFont="1" applyFill="1" applyBorder="1"/>
    <xf numFmtId="167" fontId="10" fillId="2" borderId="5" xfId="0" applyNumberFormat="1" applyFont="1" applyFill="1" applyBorder="1"/>
    <xf numFmtId="168" fontId="6" fillId="0" borderId="0" xfId="0" applyNumberFormat="1" applyFont="1"/>
    <xf numFmtId="168" fontId="0" fillId="0" borderId="0" xfId="0" applyNumberFormat="1"/>
    <xf numFmtId="0" fontId="12" fillId="0" borderId="0" xfId="0" applyFont="1"/>
    <xf numFmtId="0" fontId="13" fillId="0" borderId="0" xfId="0" applyFont="1"/>
    <xf numFmtId="3" fontId="12" fillId="0" borderId="0" xfId="0" applyNumberFormat="1" applyFont="1"/>
    <xf numFmtId="167" fontId="12" fillId="0" borderId="0" xfId="0" applyNumberFormat="1" applyFont="1"/>
    <xf numFmtId="169" fontId="0" fillId="0" borderId="0" xfId="0" applyNumberFormat="1"/>
    <xf numFmtId="167" fontId="0" fillId="0" borderId="0" xfId="0" applyNumberFormat="1"/>
    <xf numFmtId="3" fontId="0" fillId="0" borderId="7" xfId="0" applyNumberFormat="1" applyBorder="1"/>
    <xf numFmtId="167" fontId="6" fillId="0" borderId="0" xfId="0" applyNumberFormat="1" applyFont="1"/>
    <xf numFmtId="0" fontId="6" fillId="3" borderId="3" xfId="0" applyFont="1" applyFill="1" applyBorder="1" applyAlignment="1">
      <alignment horizontal="right"/>
    </xf>
    <xf numFmtId="167" fontId="0" fillId="3" borderId="5" xfId="0" applyNumberFormat="1" applyFill="1" applyBorder="1"/>
    <xf numFmtId="3" fontId="6" fillId="0" borderId="7" xfId="0" applyNumberFormat="1" applyFont="1" applyBorder="1"/>
    <xf numFmtId="0" fontId="10" fillId="2" borderId="5" xfId="0" applyFont="1" applyFill="1" applyBorder="1"/>
    <xf numFmtId="0" fontId="10" fillId="0" borderId="7" xfId="0" applyFont="1" applyBorder="1"/>
    <xf numFmtId="167" fontId="6" fillId="0" borderId="9" xfId="0" applyNumberFormat="1" applyFont="1" applyBorder="1"/>
    <xf numFmtId="3" fontId="6" fillId="0" borderId="0" xfId="0" applyNumberFormat="1" applyFont="1"/>
    <xf numFmtId="3" fontId="10" fillId="0" borderId="0" xfId="0" applyNumberFormat="1" applyFont="1"/>
    <xf numFmtId="170" fontId="6" fillId="0" borderId="0" xfId="0" applyNumberFormat="1" applyFont="1"/>
    <xf numFmtId="168" fontId="10" fillId="0" borderId="0" xfId="0" applyNumberFormat="1" applyFont="1"/>
    <xf numFmtId="0" fontId="6" fillId="0" borderId="6" xfId="0" applyFont="1" applyBorder="1" applyAlignment="1">
      <alignment horizontal="center"/>
    </xf>
    <xf numFmtId="171" fontId="0" fillId="0" borderId="0" xfId="0" applyNumberFormat="1"/>
    <xf numFmtId="14" fontId="0" fillId="0" borderId="0" xfId="0" applyNumberFormat="1"/>
    <xf numFmtId="170" fontId="0" fillId="0" borderId="0" xfId="0" applyNumberFormat="1"/>
    <xf numFmtId="9" fontId="0" fillId="0" borderId="7" xfId="0" applyNumberFormat="1" applyBorder="1"/>
    <xf numFmtId="168" fontId="0" fillId="0" borderId="7" xfId="0" applyNumberFormat="1" applyBorder="1"/>
    <xf numFmtId="0" fontId="6" fillId="0" borderId="10" xfId="0" applyFont="1" applyBorder="1" applyAlignment="1">
      <alignment horizontal="right"/>
    </xf>
    <xf numFmtId="171" fontId="16" fillId="0" borderId="11" xfId="0" applyNumberFormat="1" applyFont="1" applyBorder="1" applyAlignment="1">
      <alignment horizontal="right"/>
    </xf>
    <xf numFmtId="9" fontId="10" fillId="0" borderId="0" xfId="0" applyNumberFormat="1" applyFont="1"/>
    <xf numFmtId="9" fontId="0" fillId="0" borderId="12" xfId="0" applyNumberFormat="1" applyBorder="1"/>
    <xf numFmtId="168" fontId="10" fillId="0" borderId="11" xfId="0" applyNumberFormat="1" applyFont="1" applyBorder="1"/>
    <xf numFmtId="171" fontId="0" fillId="0" borderId="13" xfId="0" applyNumberFormat="1" applyBorder="1"/>
    <xf numFmtId="171" fontId="0" fillId="0" borderId="7" xfId="0" applyNumberFormat="1" applyBorder="1"/>
    <xf numFmtId="171" fontId="0" fillId="0" borderId="9" xfId="0" applyNumberFormat="1" applyBorder="1"/>
    <xf numFmtId="168" fontId="0" fillId="0" borderId="11" xfId="0" applyNumberFormat="1" applyBorder="1"/>
    <xf numFmtId="171" fontId="0" fillId="0" borderId="14" xfId="0" applyNumberFormat="1" applyBorder="1"/>
    <xf numFmtId="171" fontId="0" fillId="0" borderId="12" xfId="0" applyNumberFormat="1" applyBorder="1"/>
    <xf numFmtId="168" fontId="0" fillId="0" borderId="15" xfId="0" applyNumberFormat="1" applyBorder="1"/>
    <xf numFmtId="171" fontId="0" fillId="0" borderId="16" xfId="0" applyNumberFormat="1" applyBorder="1"/>
    <xf numFmtId="171" fontId="0" fillId="0" borderId="6" xfId="0" applyNumberFormat="1" applyBorder="1"/>
    <xf numFmtId="171" fontId="0" fillId="0" borderId="17" xfId="0" applyNumberFormat="1" applyBorder="1"/>
    <xf numFmtId="0" fontId="17" fillId="0" borderId="0" xfId="0" applyFont="1"/>
    <xf numFmtId="0" fontId="18" fillId="0" borderId="0" xfId="0" applyFont="1"/>
    <xf numFmtId="5" fontId="0" fillId="0" borderId="5" xfId="0" applyNumberFormat="1" applyBorder="1" applyAlignment="1">
      <alignment horizontal="right"/>
    </xf>
    <xf numFmtId="44" fontId="2" fillId="0" borderId="0" xfId="0" applyNumberFormat="1" applyFont="1"/>
    <xf numFmtId="6" fontId="0" fillId="0" borderId="0" xfId="0" applyNumberFormat="1"/>
    <xf numFmtId="6" fontId="2" fillId="0" borderId="0" xfId="0" applyNumberFormat="1" applyFont="1"/>
    <xf numFmtId="16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170" fontId="14" fillId="0" borderId="0" xfId="0" applyNumberFormat="1" applyFont="1" applyAlignment="1">
      <alignment horizontal="center"/>
    </xf>
    <xf numFmtId="170" fontId="6" fillId="0" borderId="7" xfId="0" applyNumberFormat="1" applyFont="1" applyBorder="1" applyAlignment="1">
      <alignment horizontal="center"/>
    </xf>
    <xf numFmtId="0" fontId="15" fillId="0" borderId="7" xfId="0" applyFont="1" applyBorder="1"/>
    <xf numFmtId="0" fontId="15" fillId="0" borderId="9" xfId="0" applyFont="1" applyBorder="1"/>
  </cellXfs>
  <cellStyles count="1">
    <cellStyle name="Normal" xfId="0" builtinId="0"/>
  </cellStyles>
  <dxfs count="3"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381000</xdr:colOff>
      <xdr:row>2</xdr:row>
      <xdr:rowOff>19050</xdr:rowOff>
    </xdr:from>
    <xdr:ext cx="7867650" cy="3952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276225</xdr:rowOff>
    </xdr:from>
    <xdr:ext cx="2114550" cy="12573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1000"/>
  <sheetViews>
    <sheetView tabSelected="1" workbookViewId="0"/>
  </sheetViews>
  <sheetFormatPr baseColWidth="10" defaultColWidth="14.5" defaultRowHeight="15" customHeight="1" x14ac:dyDescent="0.2"/>
  <cols>
    <col min="1" max="1" width="105" customWidth="1"/>
    <col min="2" max="2" width="19.5" customWidth="1"/>
    <col min="3" max="26" width="8.83203125" customWidth="1"/>
  </cols>
  <sheetData>
    <row r="1" spans="1:1" x14ac:dyDescent="0.2">
      <c r="A1" s="1" t="s">
        <v>0</v>
      </c>
    </row>
    <row r="2" spans="1:1" x14ac:dyDescent="0.2"/>
    <row r="3" spans="1:1" x14ac:dyDescent="0.2">
      <c r="A3" s="2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/>
    <row r="9" spans="1:1" x14ac:dyDescent="0.2">
      <c r="A9" s="2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/>
    <row r="15" spans="1:1" x14ac:dyDescent="0.2">
      <c r="A15" s="2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ht="15.75" customHeight="1" x14ac:dyDescent="0.2">
      <c r="A21" t="s">
        <v>17</v>
      </c>
    </row>
    <row r="22" spans="1:1" ht="15.75" customHeight="1" x14ac:dyDescent="0.2">
      <c r="A22" t="s">
        <v>18</v>
      </c>
    </row>
    <row r="23" spans="1:1" ht="15.75" customHeight="1" x14ac:dyDescent="0.2"/>
    <row r="24" spans="1:1" ht="15.75" customHeight="1" x14ac:dyDescent="0.2">
      <c r="A24" s="2" t="s">
        <v>19</v>
      </c>
    </row>
    <row r="25" spans="1:1" ht="15.75" customHeight="1" x14ac:dyDescent="0.2">
      <c r="A25" t="s">
        <v>20</v>
      </c>
    </row>
    <row r="26" spans="1:1" ht="15.75" customHeight="1" x14ac:dyDescent="0.2">
      <c r="A26" t="s">
        <v>21</v>
      </c>
    </row>
    <row r="27" spans="1:1" ht="15.75" customHeight="1" x14ac:dyDescent="0.2">
      <c r="A27" t="s">
        <v>22</v>
      </c>
    </row>
    <row r="28" spans="1:1" ht="15.75" customHeight="1" x14ac:dyDescent="0.2">
      <c r="A28" t="s">
        <v>23</v>
      </c>
    </row>
    <row r="29" spans="1:1" ht="15.75" customHeight="1" x14ac:dyDescent="0.2">
      <c r="A29" t="s">
        <v>24</v>
      </c>
    </row>
    <row r="30" spans="1:1" ht="15.75" customHeight="1" x14ac:dyDescent="0.2">
      <c r="A30" t="s">
        <v>25</v>
      </c>
    </row>
    <row r="31" spans="1:1" ht="15.75" customHeight="1" x14ac:dyDescent="0.2">
      <c r="A31" t="s">
        <v>26</v>
      </c>
    </row>
    <row r="32" spans="1:1" ht="15.75" customHeight="1" x14ac:dyDescent="0.2">
      <c r="A32" t="s">
        <v>27</v>
      </c>
    </row>
    <row r="33" spans="1:1" ht="15.75" customHeight="1" x14ac:dyDescent="0.2">
      <c r="A33" t="s">
        <v>28</v>
      </c>
    </row>
    <row r="34" spans="1:1" ht="15.75" customHeight="1" x14ac:dyDescent="0.2"/>
    <row r="35" spans="1:1" ht="15.75" customHeight="1" x14ac:dyDescent="0.2">
      <c r="A35" s="2" t="s">
        <v>29</v>
      </c>
    </row>
    <row r="36" spans="1:1" ht="15.75" customHeight="1" x14ac:dyDescent="0.2">
      <c r="A36" s="3" t="s">
        <v>30</v>
      </c>
    </row>
    <row r="37" spans="1:1" ht="15.75" customHeight="1" x14ac:dyDescent="0.2">
      <c r="A37" s="3" t="s">
        <v>31</v>
      </c>
    </row>
    <row r="38" spans="1:1" ht="15.75" customHeight="1" x14ac:dyDescent="0.2">
      <c r="A38" s="3" t="s">
        <v>32</v>
      </c>
    </row>
    <row r="39" spans="1:1" ht="15.75" customHeight="1" x14ac:dyDescent="0.2">
      <c r="A39" s="3" t="s">
        <v>33</v>
      </c>
    </row>
    <row r="40" spans="1:1" ht="15.75" customHeight="1" x14ac:dyDescent="0.2"/>
    <row r="41" spans="1:1" ht="15.75" customHeight="1" x14ac:dyDescent="0.2">
      <c r="A41" s="4" t="s">
        <v>34</v>
      </c>
    </row>
    <row r="42" spans="1:1" ht="15.75" customHeight="1" x14ac:dyDescent="0.2">
      <c r="A42" s="3" t="s">
        <v>35</v>
      </c>
    </row>
    <row r="43" spans="1:1" ht="15.75" customHeight="1" x14ac:dyDescent="0.2">
      <c r="A43" s="3" t="s">
        <v>36</v>
      </c>
    </row>
    <row r="44" spans="1:1" ht="15.75" customHeight="1" x14ac:dyDescent="0.2">
      <c r="A44" s="3" t="s">
        <v>37</v>
      </c>
    </row>
    <row r="45" spans="1:1" ht="15.75" customHeight="1" x14ac:dyDescent="0.2">
      <c r="A45" s="3"/>
    </row>
    <row r="46" spans="1:1" ht="15.75" customHeight="1" x14ac:dyDescent="0.2">
      <c r="A46" s="3"/>
    </row>
    <row r="47" spans="1:1" ht="15.75" customHeight="1" x14ac:dyDescent="0.2">
      <c r="A47" s="3" t="s">
        <v>38</v>
      </c>
    </row>
    <row r="48" spans="1:1" ht="15.75" customHeight="1" x14ac:dyDescent="0.2">
      <c r="A48" s="3" t="s">
        <v>39</v>
      </c>
    </row>
    <row r="49" spans="1:1" ht="15.75" customHeight="1" x14ac:dyDescent="0.2">
      <c r="A49" s="3"/>
    </row>
    <row r="50" spans="1:1" ht="15.75" customHeight="1" x14ac:dyDescent="0.2">
      <c r="A50" s="5" t="s">
        <v>40</v>
      </c>
    </row>
    <row r="51" spans="1:1" ht="15.75" customHeight="1" x14ac:dyDescent="0.2">
      <c r="A51" s="3" t="s">
        <v>41</v>
      </c>
    </row>
    <row r="52" spans="1:1" ht="15.75" customHeight="1" x14ac:dyDescent="0.2">
      <c r="A52" s="3" t="s">
        <v>42</v>
      </c>
    </row>
    <row r="53" spans="1:1" ht="15.75" customHeight="1" x14ac:dyDescent="0.2">
      <c r="A53" s="6" t="s">
        <v>43</v>
      </c>
    </row>
    <row r="54" spans="1:1" ht="15.75" customHeight="1" x14ac:dyDescent="0.2">
      <c r="A54" s="7" t="s">
        <v>44</v>
      </c>
    </row>
    <row r="55" spans="1:1" ht="15.75" customHeight="1" x14ac:dyDescent="0.2"/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000"/>
  <sheetViews>
    <sheetView workbookViewId="0"/>
  </sheetViews>
  <sheetFormatPr baseColWidth="10" defaultColWidth="14.5" defaultRowHeight="15" customHeight="1" x14ac:dyDescent="0.2"/>
  <cols>
    <col min="1" max="1" width="57.1640625" customWidth="1"/>
    <col min="2" max="2" width="21.5" customWidth="1"/>
    <col min="3" max="3" width="16.33203125" customWidth="1"/>
    <col min="4" max="4" width="12.5" customWidth="1"/>
    <col min="5" max="5" width="8.83203125" customWidth="1"/>
    <col min="6" max="6" width="31.5" customWidth="1"/>
    <col min="7" max="26" width="8.83203125" customWidth="1"/>
  </cols>
  <sheetData>
    <row r="1" spans="1:6" x14ac:dyDescent="0.2">
      <c r="A1" s="8" t="s">
        <v>6</v>
      </c>
    </row>
    <row r="2" spans="1:6" x14ac:dyDescent="0.2">
      <c r="A2" s="8" t="s">
        <v>45</v>
      </c>
    </row>
    <row r="3" spans="1:6" x14ac:dyDescent="0.2">
      <c r="A3" s="8" t="s">
        <v>46</v>
      </c>
      <c r="B3" s="8" t="s">
        <v>47</v>
      </c>
      <c r="C3" s="8" t="s">
        <v>48</v>
      </c>
      <c r="D3" s="8" t="s">
        <v>49</v>
      </c>
      <c r="E3" s="8" t="s">
        <v>50</v>
      </c>
      <c r="F3" s="8" t="s">
        <v>51</v>
      </c>
    </row>
    <row r="18" spans="1:5" x14ac:dyDescent="0.2">
      <c r="A18" s="8" t="s">
        <v>52</v>
      </c>
      <c r="D18" s="8">
        <f>SUM(D4:D17)</f>
        <v>0</v>
      </c>
    </row>
    <row r="19" spans="1:5" x14ac:dyDescent="0.2">
      <c r="A19" s="8" t="s">
        <v>53</v>
      </c>
      <c r="D19" s="8" t="e">
        <f t="shared" ref="D19:E19" si="0">AVERAGE(D4:D17)</f>
        <v>#DIV/0!</v>
      </c>
      <c r="E19" s="8" t="e">
        <f t="shared" si="0"/>
        <v>#DIV/0!</v>
      </c>
    </row>
    <row r="21" spans="1:5" ht="15.75" customHeight="1" x14ac:dyDescent="0.2"/>
    <row r="22" spans="1:5" ht="15.75" customHeight="1" x14ac:dyDescent="0.2"/>
    <row r="23" spans="1:5" ht="15.75" customHeight="1" x14ac:dyDescent="0.2"/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baseColWidth="10" defaultColWidth="14.5" defaultRowHeight="15" customHeight="1" x14ac:dyDescent="0.2"/>
  <cols>
    <col min="1" max="1" width="32.33203125" customWidth="1"/>
    <col min="2" max="3" width="8.83203125" customWidth="1"/>
    <col min="4" max="4" width="20.33203125" customWidth="1"/>
    <col min="5" max="26" width="8.83203125" customWidth="1"/>
  </cols>
  <sheetData>
    <row r="1" spans="1:4" x14ac:dyDescent="0.2">
      <c r="A1" s="2" t="s">
        <v>54</v>
      </c>
    </row>
    <row r="2" spans="1:4" x14ac:dyDescent="0.2">
      <c r="A2" s="8" t="s">
        <v>55</v>
      </c>
      <c r="D2" s="9">
        <v>6500000</v>
      </c>
    </row>
    <row r="3" spans="1:4" x14ac:dyDescent="0.2">
      <c r="A3" s="8" t="s">
        <v>11</v>
      </c>
      <c r="B3" s="10">
        <v>0.3</v>
      </c>
      <c r="C3" s="11">
        <v>1</v>
      </c>
      <c r="D3" s="12">
        <f t="shared" ref="D3:D9" si="0">C3*B3</f>
        <v>0.3</v>
      </c>
    </row>
    <row r="4" spans="1:4" x14ac:dyDescent="0.2">
      <c r="A4" s="8" t="s">
        <v>56</v>
      </c>
      <c r="B4" s="10">
        <v>0.25</v>
      </c>
      <c r="C4" s="11">
        <v>1</v>
      </c>
      <c r="D4" s="12">
        <f t="shared" si="0"/>
        <v>0.25</v>
      </c>
    </row>
    <row r="5" spans="1:4" x14ac:dyDescent="0.2">
      <c r="A5" s="8" t="s">
        <v>19</v>
      </c>
      <c r="B5" s="10">
        <v>0.15</v>
      </c>
      <c r="C5" s="11">
        <v>1</v>
      </c>
      <c r="D5" s="12">
        <f t="shared" si="0"/>
        <v>0.15</v>
      </c>
    </row>
    <row r="6" spans="1:4" x14ac:dyDescent="0.2">
      <c r="A6" s="8" t="s">
        <v>57</v>
      </c>
      <c r="B6" s="10">
        <v>0.1</v>
      </c>
      <c r="C6" s="11">
        <v>2</v>
      </c>
      <c r="D6" s="12">
        <f t="shared" si="0"/>
        <v>0.2</v>
      </c>
    </row>
    <row r="7" spans="1:4" x14ac:dyDescent="0.2">
      <c r="A7" s="8" t="s">
        <v>29</v>
      </c>
      <c r="B7" s="10">
        <v>0.1</v>
      </c>
      <c r="C7" s="11">
        <v>1</v>
      </c>
      <c r="D7" s="12">
        <f t="shared" si="0"/>
        <v>0.1</v>
      </c>
    </row>
    <row r="8" spans="1:4" x14ac:dyDescent="0.2">
      <c r="A8" s="8" t="s">
        <v>58</v>
      </c>
      <c r="B8" s="10">
        <v>0.05</v>
      </c>
      <c r="C8" s="11">
        <v>1</v>
      </c>
      <c r="D8" s="12">
        <f t="shared" si="0"/>
        <v>0.05</v>
      </c>
    </row>
    <row r="9" spans="1:4" x14ac:dyDescent="0.2">
      <c r="A9" s="8" t="s">
        <v>59</v>
      </c>
      <c r="B9" s="10">
        <v>0.05</v>
      </c>
      <c r="C9" s="11">
        <v>1</v>
      </c>
      <c r="D9" s="12">
        <f t="shared" si="0"/>
        <v>0.05</v>
      </c>
    </row>
    <row r="10" spans="1:4" x14ac:dyDescent="0.2">
      <c r="D10" s="13">
        <f>SUM(D3:D9)</f>
        <v>1.1000000000000003</v>
      </c>
    </row>
    <row r="12" spans="1:4" x14ac:dyDescent="0.2">
      <c r="A12" s="14" t="s">
        <v>60</v>
      </c>
      <c r="B12" s="14"/>
      <c r="C12" s="14"/>
      <c r="D12" s="15">
        <f>D2*D10</f>
        <v>7150000.0000000019</v>
      </c>
    </row>
    <row r="15" spans="1:4" x14ac:dyDescent="0.2">
      <c r="A15" s="8" t="s">
        <v>61</v>
      </c>
    </row>
    <row r="16" spans="1:4" x14ac:dyDescent="0.2">
      <c r="A16" s="8" t="s">
        <v>62</v>
      </c>
    </row>
    <row r="17" spans="1:1" x14ac:dyDescent="0.2">
      <c r="A17" s="8" t="s">
        <v>63</v>
      </c>
    </row>
    <row r="18" spans="1:1" x14ac:dyDescent="0.2">
      <c r="A18" s="8" t="s">
        <v>64</v>
      </c>
    </row>
    <row r="20" spans="1:1" x14ac:dyDescent="0.2">
      <c r="A20" s="8" t="s">
        <v>65</v>
      </c>
    </row>
    <row r="21" spans="1:1" ht="15.75" customHeight="1" x14ac:dyDescent="0.2">
      <c r="A21" s="8" t="s">
        <v>66</v>
      </c>
    </row>
    <row r="22" spans="1:1" ht="15.75" customHeight="1" x14ac:dyDescent="0.2"/>
    <row r="23" spans="1:1" ht="15.75" customHeight="1" x14ac:dyDescent="0.2">
      <c r="A23" s="8" t="s">
        <v>67</v>
      </c>
    </row>
    <row r="24" spans="1:1" ht="15.75" customHeight="1" x14ac:dyDescent="0.2">
      <c r="A24" s="8" t="s">
        <v>68</v>
      </c>
    </row>
    <row r="25" spans="1:1" ht="15.75" customHeight="1" x14ac:dyDescent="0.2">
      <c r="A25" s="8" t="s">
        <v>69</v>
      </c>
    </row>
    <row r="26" spans="1:1" ht="15.75" customHeight="1" x14ac:dyDescent="0.2">
      <c r="A26" s="8" t="s">
        <v>70</v>
      </c>
    </row>
    <row r="27" spans="1:1" ht="15.75" customHeight="1" x14ac:dyDescent="0.2">
      <c r="A27" s="8" t="s">
        <v>71</v>
      </c>
    </row>
    <row r="28" spans="1:1" ht="15.75" customHeight="1" x14ac:dyDescent="0.2">
      <c r="A28" s="8" t="s">
        <v>72</v>
      </c>
    </row>
    <row r="29" spans="1:1" ht="15.75" customHeight="1" x14ac:dyDescent="0.2">
      <c r="A29" s="8" t="s">
        <v>73</v>
      </c>
    </row>
    <row r="30" spans="1:1" ht="15.75" customHeight="1" x14ac:dyDescent="0.2">
      <c r="A30" s="8" t="s">
        <v>74</v>
      </c>
    </row>
    <row r="31" spans="1:1" ht="15.75" customHeight="1" x14ac:dyDescent="0.2">
      <c r="A31" s="8" t="s">
        <v>75</v>
      </c>
    </row>
    <row r="32" spans="1:1" ht="15.75" customHeight="1" x14ac:dyDescent="0.2">
      <c r="A32" s="8" t="s">
        <v>76</v>
      </c>
    </row>
    <row r="33" spans="1:1" ht="15.75" customHeight="1" x14ac:dyDescent="0.2">
      <c r="A33" s="8" t="s">
        <v>77</v>
      </c>
    </row>
    <row r="34" spans="1:1" ht="15.75" customHeight="1" x14ac:dyDescent="0.2">
      <c r="A34" s="8" t="s">
        <v>78</v>
      </c>
    </row>
    <row r="35" spans="1:1" ht="15.75" customHeight="1" x14ac:dyDescent="0.2">
      <c r="A35" s="8" t="s">
        <v>79</v>
      </c>
    </row>
    <row r="36" spans="1:1" ht="15.75" customHeight="1" x14ac:dyDescent="0.2"/>
    <row r="37" spans="1:1" ht="15.75" customHeight="1" x14ac:dyDescent="0.2">
      <c r="A37" s="8" t="s">
        <v>80</v>
      </c>
    </row>
    <row r="38" spans="1:1" ht="15.75" customHeight="1" x14ac:dyDescent="0.2">
      <c r="A38" s="8" t="s">
        <v>81</v>
      </c>
    </row>
    <row r="39" spans="1:1" ht="15.75" customHeight="1" x14ac:dyDescent="0.2">
      <c r="A39" s="8" t="s">
        <v>82</v>
      </c>
    </row>
    <row r="40" spans="1:1" ht="15.75" customHeight="1" x14ac:dyDescent="0.2"/>
    <row r="41" spans="1:1" ht="15.75" customHeight="1" x14ac:dyDescent="0.2"/>
    <row r="42" spans="1:1" ht="15.75" customHeight="1" x14ac:dyDescent="0.2"/>
    <row r="43" spans="1:1" ht="15.75" customHeight="1" x14ac:dyDescent="0.2"/>
    <row r="44" spans="1:1" ht="15.75" customHeight="1" x14ac:dyDescent="0.2"/>
    <row r="45" spans="1:1" ht="15.75" customHeight="1" x14ac:dyDescent="0.2"/>
    <row r="46" spans="1:1" ht="15.75" customHeight="1" x14ac:dyDescent="0.2"/>
    <row r="47" spans="1:1" ht="15.75" customHeight="1" x14ac:dyDescent="0.2"/>
    <row r="48" spans="1: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1000"/>
  <sheetViews>
    <sheetView workbookViewId="0"/>
  </sheetViews>
  <sheetFormatPr baseColWidth="10" defaultColWidth="14.5" defaultRowHeight="15" customHeight="1" x14ac:dyDescent="0.2"/>
  <cols>
    <col min="1" max="1" width="59.83203125" customWidth="1"/>
    <col min="2" max="2" width="12.6640625" customWidth="1"/>
    <col min="3" max="26" width="8.83203125" customWidth="1"/>
  </cols>
  <sheetData>
    <row r="2" spans="1:2" x14ac:dyDescent="0.2">
      <c r="A2" s="2" t="s">
        <v>83</v>
      </c>
      <c r="B2" s="16" t="s">
        <v>84</v>
      </c>
    </row>
    <row r="3" spans="1:2" ht="30" customHeight="1" x14ac:dyDescent="0.2">
      <c r="A3" s="17" t="s">
        <v>85</v>
      </c>
      <c r="B3" s="18">
        <v>-3</v>
      </c>
    </row>
    <row r="4" spans="1:2" ht="32" x14ac:dyDescent="0.2">
      <c r="A4" s="17" t="s">
        <v>86</v>
      </c>
      <c r="B4" s="18">
        <v>0</v>
      </c>
    </row>
    <row r="5" spans="1:2" ht="32" x14ac:dyDescent="0.2">
      <c r="A5" s="17" t="s">
        <v>87</v>
      </c>
      <c r="B5" s="18">
        <v>0</v>
      </c>
    </row>
    <row r="6" spans="1:2" ht="16" x14ac:dyDescent="0.2">
      <c r="A6" s="17" t="s">
        <v>88</v>
      </c>
      <c r="B6" s="18">
        <v>0</v>
      </c>
    </row>
    <row r="7" spans="1:2" ht="32" x14ac:dyDescent="0.2">
      <c r="A7" s="17" t="s">
        <v>89</v>
      </c>
      <c r="B7" s="18">
        <v>0</v>
      </c>
    </row>
    <row r="8" spans="1:2" ht="32" x14ac:dyDescent="0.2">
      <c r="A8" s="17" t="s">
        <v>90</v>
      </c>
      <c r="B8" s="18">
        <v>0</v>
      </c>
    </row>
    <row r="9" spans="1:2" ht="32" x14ac:dyDescent="0.2">
      <c r="A9" s="17" t="s">
        <v>91</v>
      </c>
      <c r="B9" s="18">
        <v>0</v>
      </c>
    </row>
    <row r="10" spans="1:2" ht="32" x14ac:dyDescent="0.2">
      <c r="A10" s="17" t="s">
        <v>92</v>
      </c>
      <c r="B10" s="18">
        <v>0</v>
      </c>
    </row>
    <row r="11" spans="1:2" ht="32" x14ac:dyDescent="0.2">
      <c r="A11" s="17" t="s">
        <v>93</v>
      </c>
      <c r="B11" s="18">
        <v>0</v>
      </c>
    </row>
    <row r="12" spans="1:2" ht="16" x14ac:dyDescent="0.2">
      <c r="A12" s="17" t="s">
        <v>94</v>
      </c>
      <c r="B12" s="18">
        <v>0</v>
      </c>
    </row>
    <row r="13" spans="1:2" x14ac:dyDescent="0.2">
      <c r="A13" s="17"/>
    </row>
    <row r="14" spans="1:2" ht="16" x14ac:dyDescent="0.2">
      <c r="A14" s="17" t="s">
        <v>95</v>
      </c>
      <c r="B14" s="19">
        <f>SUM(B3:B12)</f>
        <v>-3</v>
      </c>
    </row>
    <row r="15" spans="1:2" ht="16" x14ac:dyDescent="0.2">
      <c r="A15" s="17" t="s">
        <v>96</v>
      </c>
      <c r="B15" s="20">
        <f>B14*100000</f>
        <v>-300000</v>
      </c>
    </row>
    <row r="16" spans="1:2" ht="16" x14ac:dyDescent="0.2">
      <c r="A16" s="17" t="s">
        <v>97</v>
      </c>
      <c r="B16" s="21">
        <v>3000000</v>
      </c>
    </row>
    <row r="17" spans="1:2" x14ac:dyDescent="0.2">
      <c r="A17" s="14" t="s">
        <v>98</v>
      </c>
      <c r="B17" s="22">
        <f>B16+B15</f>
        <v>2700000</v>
      </c>
    </row>
    <row r="21" spans="1:2" ht="15.75" customHeight="1" x14ac:dyDescent="0.2">
      <c r="A21" s="2" t="s">
        <v>61</v>
      </c>
    </row>
    <row r="22" spans="1:2" ht="15.75" customHeight="1" x14ac:dyDescent="0.2">
      <c r="A22" s="8" t="s">
        <v>99</v>
      </c>
    </row>
    <row r="23" spans="1:2" ht="15.75" customHeight="1" x14ac:dyDescent="0.2">
      <c r="A23" s="8" t="s">
        <v>100</v>
      </c>
    </row>
    <row r="24" spans="1:2" ht="15.75" customHeight="1" x14ac:dyDescent="0.2">
      <c r="A24" s="8" t="s">
        <v>101</v>
      </c>
    </row>
    <row r="25" spans="1:2" ht="15.75" customHeight="1" x14ac:dyDescent="0.2">
      <c r="A25" s="8" t="s">
        <v>102</v>
      </c>
    </row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baseColWidth="10" defaultColWidth="14.5" defaultRowHeight="15" customHeight="1" x14ac:dyDescent="0.2"/>
  <cols>
    <col min="1" max="1" width="37.6640625" customWidth="1"/>
    <col min="2" max="2" width="8.83203125" customWidth="1"/>
    <col min="3" max="3" width="19" customWidth="1"/>
    <col min="4" max="26" width="8.83203125" customWidth="1"/>
  </cols>
  <sheetData>
    <row r="1" spans="1:3" x14ac:dyDescent="0.2">
      <c r="A1" s="2" t="s">
        <v>103</v>
      </c>
    </row>
    <row r="3" spans="1:3" x14ac:dyDescent="0.2">
      <c r="A3" s="23" t="s">
        <v>104</v>
      </c>
      <c r="B3" s="23"/>
      <c r="C3" s="24">
        <v>40000</v>
      </c>
    </row>
    <row r="4" spans="1:3" x14ac:dyDescent="0.2">
      <c r="A4" s="23" t="s">
        <v>105</v>
      </c>
      <c r="B4" s="23"/>
      <c r="C4" s="25">
        <v>18</v>
      </c>
    </row>
    <row r="5" spans="1:3" x14ac:dyDescent="0.2">
      <c r="A5" s="23" t="s">
        <v>106</v>
      </c>
      <c r="B5" s="23"/>
      <c r="C5" s="26">
        <f>C3*C4</f>
        <v>720000</v>
      </c>
    </row>
    <row r="6" spans="1:3" x14ac:dyDescent="0.2">
      <c r="A6" s="23" t="s">
        <v>107</v>
      </c>
      <c r="B6" s="23"/>
      <c r="C6" s="27">
        <v>0.2</v>
      </c>
    </row>
    <row r="7" spans="1:3" x14ac:dyDescent="0.2">
      <c r="A7" s="23" t="s">
        <v>108</v>
      </c>
      <c r="B7" s="23"/>
      <c r="C7" s="26">
        <f>C5/C6</f>
        <v>3600000</v>
      </c>
    </row>
    <row r="8" spans="1:3" x14ac:dyDescent="0.2">
      <c r="A8" s="28" t="s">
        <v>109</v>
      </c>
      <c r="B8" s="28"/>
      <c r="C8" s="29">
        <f>C7-C5</f>
        <v>2880000</v>
      </c>
    </row>
    <row r="11" spans="1:3" x14ac:dyDescent="0.2">
      <c r="A11" s="2" t="s">
        <v>110</v>
      </c>
    </row>
    <row r="12" spans="1:3" x14ac:dyDescent="0.2">
      <c r="A12" t="s">
        <v>111</v>
      </c>
    </row>
    <row r="13" spans="1:3" x14ac:dyDescent="0.2">
      <c r="A13" t="s">
        <v>112</v>
      </c>
    </row>
    <row r="14" spans="1:3" x14ac:dyDescent="0.2">
      <c r="A14" t="s">
        <v>113</v>
      </c>
    </row>
    <row r="15" spans="1:3" x14ac:dyDescent="0.2">
      <c r="A15" t="s">
        <v>114</v>
      </c>
    </row>
    <row r="16" spans="1:3" x14ac:dyDescent="0.2">
      <c r="A16" t="s">
        <v>115</v>
      </c>
    </row>
    <row r="17" spans="1:1" x14ac:dyDescent="0.2"/>
    <row r="18" spans="1:1" ht="22.5" customHeight="1" x14ac:dyDescent="0.2">
      <c r="A18" s="30"/>
    </row>
    <row r="19" spans="1:1" x14ac:dyDescent="0.2">
      <c r="A19" s="2" t="s">
        <v>61</v>
      </c>
    </row>
    <row r="20" spans="1:1" x14ac:dyDescent="0.2">
      <c r="A20" s="8" t="s">
        <v>116</v>
      </c>
    </row>
    <row r="21" spans="1:1" ht="15.75" customHeight="1" x14ac:dyDescent="0.2">
      <c r="A21" s="8" t="s">
        <v>117</v>
      </c>
    </row>
    <row r="22" spans="1:1" ht="15.75" customHeight="1" x14ac:dyDescent="0.2">
      <c r="A22" s="8" t="s">
        <v>118</v>
      </c>
    </row>
    <row r="23" spans="1:1" ht="15.75" customHeight="1" x14ac:dyDescent="0.2"/>
    <row r="24" spans="1:1" ht="15.75" customHeight="1" x14ac:dyDescent="0.2">
      <c r="A24" s="8" t="s">
        <v>119</v>
      </c>
    </row>
    <row r="25" spans="1:1" ht="15.75" customHeight="1" x14ac:dyDescent="0.2">
      <c r="A25" s="8" t="s">
        <v>120</v>
      </c>
    </row>
    <row r="26" spans="1:1" ht="15.75" customHeight="1" x14ac:dyDescent="0.2">
      <c r="A26" s="8" t="s">
        <v>121</v>
      </c>
    </row>
    <row r="27" spans="1:1" ht="15.75" customHeight="1" x14ac:dyDescent="0.2">
      <c r="A27" s="31" t="s">
        <v>122</v>
      </c>
    </row>
    <row r="28" spans="1:1" ht="15.75" customHeight="1" x14ac:dyDescent="0.2">
      <c r="A28" s="31" t="s">
        <v>123</v>
      </c>
    </row>
    <row r="29" spans="1:1" ht="15.75" customHeight="1" x14ac:dyDescent="0.2">
      <c r="A29" s="31" t="s">
        <v>124</v>
      </c>
    </row>
    <row r="30" spans="1:1" ht="15.75" customHeight="1" x14ac:dyDescent="0.2"/>
    <row r="31" spans="1:1" ht="15.75" customHeight="1" x14ac:dyDescent="0.2">
      <c r="A31" s="8" t="s">
        <v>125</v>
      </c>
    </row>
    <row r="32" spans="1:1" ht="15.75" customHeight="1" x14ac:dyDescent="0.2">
      <c r="A32" s="8" t="s">
        <v>126</v>
      </c>
    </row>
    <row r="33" spans="1:1" ht="15.75" customHeight="1" x14ac:dyDescent="0.2">
      <c r="A33" s="8" t="s">
        <v>127</v>
      </c>
    </row>
    <row r="34" spans="1:1" ht="15.75" customHeight="1" x14ac:dyDescent="0.2"/>
    <row r="35" spans="1:1" ht="15.75" customHeight="1" x14ac:dyDescent="0.2">
      <c r="A35" s="2" t="s">
        <v>128</v>
      </c>
    </row>
    <row r="36" spans="1:1" ht="15.75" customHeight="1" x14ac:dyDescent="0.2">
      <c r="A36" s="8" t="s">
        <v>129</v>
      </c>
    </row>
    <row r="37" spans="1:1" ht="15.75" customHeight="1" x14ac:dyDescent="0.2">
      <c r="A37" s="8" t="s">
        <v>130</v>
      </c>
    </row>
    <row r="38" spans="1:1" ht="15.75" customHeight="1" x14ac:dyDescent="0.2">
      <c r="A38" s="8" t="s">
        <v>131</v>
      </c>
    </row>
    <row r="39" spans="1:1" ht="15.75" customHeight="1" x14ac:dyDescent="0.2">
      <c r="A39" s="8" t="s">
        <v>132</v>
      </c>
    </row>
    <row r="40" spans="1:1" ht="15.75" customHeight="1" x14ac:dyDescent="0.2">
      <c r="A40" s="8" t="s">
        <v>133</v>
      </c>
    </row>
    <row r="41" spans="1:1" ht="15.75" customHeight="1" x14ac:dyDescent="0.2"/>
    <row r="42" spans="1:1" ht="15.75" customHeight="1" x14ac:dyDescent="0.2"/>
    <row r="43" spans="1:1" ht="15.75" customHeight="1" x14ac:dyDescent="0.2"/>
    <row r="44" spans="1:1" ht="15.75" customHeight="1" x14ac:dyDescent="0.2"/>
    <row r="45" spans="1:1" ht="15.75" customHeight="1" x14ac:dyDescent="0.2"/>
    <row r="46" spans="1:1" ht="15.75" customHeight="1" x14ac:dyDescent="0.2"/>
    <row r="47" spans="1:1" ht="15.75" customHeight="1" x14ac:dyDescent="0.2"/>
    <row r="48" spans="1: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000"/>
  <sheetViews>
    <sheetView workbookViewId="0"/>
  </sheetViews>
  <sheetFormatPr baseColWidth="10" defaultColWidth="14.5" defaultRowHeight="15" customHeight="1" x14ac:dyDescent="0.2"/>
  <cols>
    <col min="1" max="1" width="27" customWidth="1"/>
    <col min="2" max="2" width="14.1640625" customWidth="1"/>
    <col min="3" max="3" width="13.6640625" customWidth="1"/>
    <col min="4" max="4" width="2.5" customWidth="1"/>
    <col min="5" max="5" width="6" customWidth="1"/>
    <col min="6" max="6" width="11.1640625" customWidth="1"/>
    <col min="7" max="7" width="13.83203125" customWidth="1"/>
    <col min="8" max="8" width="3.5" customWidth="1"/>
    <col min="9" max="26" width="8.83203125" customWidth="1"/>
  </cols>
  <sheetData>
    <row r="1" spans="1:8" x14ac:dyDescent="0.2">
      <c r="A1" s="28" t="s">
        <v>134</v>
      </c>
      <c r="B1" s="23"/>
      <c r="C1" s="23"/>
    </row>
    <row r="2" spans="1:8" x14ac:dyDescent="0.2">
      <c r="A2" s="23" t="s">
        <v>135</v>
      </c>
      <c r="B2" s="23"/>
      <c r="C2" s="32">
        <v>750000</v>
      </c>
      <c r="H2" s="20"/>
    </row>
    <row r="3" spans="1:8" x14ac:dyDescent="0.2">
      <c r="A3" s="23" t="s">
        <v>136</v>
      </c>
      <c r="B3" s="23"/>
      <c r="C3" s="33">
        <v>5</v>
      </c>
      <c r="F3" s="111" t="s">
        <v>137</v>
      </c>
      <c r="G3" s="112"/>
    </row>
    <row r="4" spans="1:8" x14ac:dyDescent="0.2">
      <c r="A4" s="23" t="s">
        <v>138</v>
      </c>
      <c r="B4" s="23"/>
      <c r="C4" s="32">
        <v>10000000</v>
      </c>
      <c r="F4" s="19" t="s">
        <v>139</v>
      </c>
      <c r="G4" s="19" t="s">
        <v>140</v>
      </c>
    </row>
    <row r="5" spans="1:8" x14ac:dyDescent="0.2">
      <c r="A5" s="23" t="s">
        <v>141</v>
      </c>
      <c r="B5" s="23"/>
      <c r="C5" s="34">
        <v>0</v>
      </c>
      <c r="E5" s="35" t="s">
        <v>142</v>
      </c>
      <c r="F5" s="19">
        <v>1</v>
      </c>
      <c r="G5" s="19">
        <v>1.6</v>
      </c>
    </row>
    <row r="6" spans="1:8" x14ac:dyDescent="0.2">
      <c r="A6" s="23" t="s">
        <v>143</v>
      </c>
      <c r="B6" s="23"/>
      <c r="C6" s="33">
        <v>3</v>
      </c>
      <c r="E6" s="35" t="s">
        <v>142</v>
      </c>
      <c r="F6" s="19">
        <v>2</v>
      </c>
      <c r="G6" s="19">
        <v>2.5</v>
      </c>
    </row>
    <row r="7" spans="1:8" x14ac:dyDescent="0.2">
      <c r="A7" s="23" t="s">
        <v>144</v>
      </c>
      <c r="B7" s="23"/>
      <c r="C7" s="34">
        <f>C6*C4</f>
        <v>30000000</v>
      </c>
      <c r="E7" s="35" t="s">
        <v>142</v>
      </c>
      <c r="F7" s="19">
        <v>3</v>
      </c>
      <c r="G7" s="19">
        <v>4</v>
      </c>
    </row>
    <row r="8" spans="1:8" x14ac:dyDescent="0.2">
      <c r="A8" s="23" t="s">
        <v>145</v>
      </c>
      <c r="B8" s="23"/>
      <c r="C8" s="36">
        <v>0.57999999999999996</v>
      </c>
      <c r="E8" s="35" t="s">
        <v>142</v>
      </c>
      <c r="F8" s="19">
        <v>4</v>
      </c>
      <c r="G8" s="19">
        <v>6</v>
      </c>
    </row>
    <row r="9" spans="1:8" x14ac:dyDescent="0.2">
      <c r="A9" s="23" t="s">
        <v>146</v>
      </c>
      <c r="B9" s="23"/>
      <c r="C9" s="33">
        <v>10</v>
      </c>
      <c r="E9" s="35" t="s">
        <v>142</v>
      </c>
      <c r="F9" s="19">
        <v>5</v>
      </c>
      <c r="G9" s="19">
        <v>10</v>
      </c>
    </row>
    <row r="10" spans="1:8" x14ac:dyDescent="0.2">
      <c r="A10" s="23" t="s">
        <v>147</v>
      </c>
      <c r="B10" s="23"/>
      <c r="C10" s="26">
        <f>C7/C9</f>
        <v>3000000</v>
      </c>
      <c r="E10" s="35" t="s">
        <v>142</v>
      </c>
      <c r="F10" s="19">
        <v>6</v>
      </c>
      <c r="G10" s="19">
        <v>16</v>
      </c>
    </row>
    <row r="11" spans="1:8" x14ac:dyDescent="0.2">
      <c r="A11" s="23" t="s">
        <v>148</v>
      </c>
      <c r="B11" s="23"/>
      <c r="C11" s="26">
        <f>C10-C2</f>
        <v>2250000</v>
      </c>
      <c r="E11" s="35" t="s">
        <v>142</v>
      </c>
      <c r="F11" s="19">
        <v>7</v>
      </c>
      <c r="G11" s="19">
        <v>25</v>
      </c>
    </row>
    <row r="12" spans="1:8" x14ac:dyDescent="0.2">
      <c r="E12" s="35" t="s">
        <v>142</v>
      </c>
      <c r="F12" s="19">
        <v>8</v>
      </c>
      <c r="G12" s="19">
        <v>40</v>
      </c>
    </row>
    <row r="13" spans="1:8" x14ac:dyDescent="0.2">
      <c r="E13" s="35" t="s">
        <v>142</v>
      </c>
      <c r="F13" s="19">
        <v>9</v>
      </c>
      <c r="G13" s="19">
        <v>60</v>
      </c>
    </row>
    <row r="14" spans="1:8" x14ac:dyDescent="0.2">
      <c r="A14" s="2" t="s">
        <v>61</v>
      </c>
      <c r="E14" s="35" t="s">
        <v>142</v>
      </c>
      <c r="F14" s="19">
        <v>10</v>
      </c>
      <c r="G14" s="19">
        <v>95</v>
      </c>
    </row>
    <row r="15" spans="1:8" x14ac:dyDescent="0.2">
      <c r="A15" s="8" t="s">
        <v>149</v>
      </c>
    </row>
    <row r="16" spans="1:8" x14ac:dyDescent="0.2">
      <c r="A16" s="8" t="s">
        <v>150</v>
      </c>
    </row>
    <row r="17" spans="1:1" x14ac:dyDescent="0.2">
      <c r="A17" s="8" t="s">
        <v>151</v>
      </c>
    </row>
    <row r="18" spans="1:1" x14ac:dyDescent="0.2">
      <c r="A18" s="8" t="s">
        <v>152</v>
      </c>
    </row>
    <row r="20" spans="1:1" x14ac:dyDescent="0.2">
      <c r="A20" s="2" t="s">
        <v>80</v>
      </c>
    </row>
    <row r="21" spans="1:1" ht="15.75" customHeight="1" x14ac:dyDescent="0.2">
      <c r="A21" s="8" t="s">
        <v>153</v>
      </c>
    </row>
    <row r="22" spans="1:1" ht="15.75" customHeight="1" x14ac:dyDescent="0.2">
      <c r="A22" s="8" t="s">
        <v>154</v>
      </c>
    </row>
    <row r="23" spans="1:1" ht="15.75" customHeight="1" x14ac:dyDescent="0.2">
      <c r="A23" s="8" t="s">
        <v>155</v>
      </c>
    </row>
    <row r="24" spans="1:1" ht="15.75" customHeight="1" x14ac:dyDescent="0.2">
      <c r="A24" s="8" t="s">
        <v>156</v>
      </c>
    </row>
    <row r="25" spans="1:1" ht="15.75" customHeight="1" x14ac:dyDescent="0.2">
      <c r="A25" s="8" t="s">
        <v>157</v>
      </c>
    </row>
    <row r="26" spans="1:1" ht="15.75" customHeight="1" x14ac:dyDescent="0.2"/>
    <row r="27" spans="1:1" ht="15.75" customHeight="1" x14ac:dyDescent="0.2"/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F3:G3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000"/>
  <sheetViews>
    <sheetView workbookViewId="0"/>
  </sheetViews>
  <sheetFormatPr baseColWidth="10" defaultColWidth="14.5" defaultRowHeight="15" customHeight="1" x14ac:dyDescent="0.2"/>
  <cols>
    <col min="1" max="2" width="1.6640625" customWidth="1"/>
    <col min="3" max="3" width="28.6640625" customWidth="1"/>
    <col min="4" max="12" width="12.83203125" customWidth="1"/>
    <col min="13" max="26" width="8.83203125" customWidth="1"/>
  </cols>
  <sheetData>
    <row r="1" spans="1:26" ht="25" x14ac:dyDescent="0.25">
      <c r="A1" s="37" t="s">
        <v>158</v>
      </c>
    </row>
    <row r="2" spans="1:26" x14ac:dyDescent="0.2">
      <c r="A2" s="38"/>
      <c r="B2" s="38"/>
      <c r="C2" s="39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x14ac:dyDescent="0.2">
      <c r="A3" s="38"/>
      <c r="B3" s="38"/>
      <c r="C3" s="39" t="s">
        <v>159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2">
      <c r="A4" s="40"/>
      <c r="B4" s="40"/>
      <c r="C4" s="40" t="s">
        <v>160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x14ac:dyDescent="0.2">
      <c r="A5" s="40"/>
      <c r="B5" s="40"/>
      <c r="C5" s="40" t="s">
        <v>161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2">
      <c r="A6" s="41"/>
      <c r="B6" s="41"/>
      <c r="C6" s="41" t="s">
        <v>162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8" spans="1:26" ht="23" x14ac:dyDescent="0.25">
      <c r="A8" s="42" t="s">
        <v>163</v>
      </c>
      <c r="F8" s="19" t="s">
        <v>164</v>
      </c>
    </row>
    <row r="9" spans="1:26" x14ac:dyDescent="0.2">
      <c r="C9" s="43" t="s">
        <v>165</v>
      </c>
      <c r="D9" s="44" t="s">
        <v>166</v>
      </c>
      <c r="E9" s="44" t="s">
        <v>167</v>
      </c>
      <c r="F9" s="19" t="s">
        <v>168</v>
      </c>
      <c r="G9" s="45" t="s">
        <v>169</v>
      </c>
      <c r="H9" s="43"/>
      <c r="I9" s="43"/>
      <c r="J9" s="43"/>
      <c r="K9" s="43"/>
      <c r="L9" s="43"/>
      <c r="M9" s="43"/>
      <c r="N9" s="43"/>
      <c r="O9" s="43"/>
    </row>
    <row r="10" spans="1:26" x14ac:dyDescent="0.2">
      <c r="C10" s="46" t="s">
        <v>164</v>
      </c>
      <c r="D10" s="47">
        <f t="shared" ref="D10:D11" si="0">ROUND(E10*$D$14,0)</f>
        <v>750</v>
      </c>
      <c r="E10" s="48">
        <v>0.75</v>
      </c>
      <c r="F10" s="49">
        <v>0</v>
      </c>
      <c r="G10" s="50" t="s">
        <v>170</v>
      </c>
    </row>
    <row r="11" spans="1:26" x14ac:dyDescent="0.2">
      <c r="C11" s="46" t="s">
        <v>171</v>
      </c>
      <c r="D11" s="47">
        <f t="shared" si="0"/>
        <v>250</v>
      </c>
      <c r="E11" s="48">
        <v>0.25</v>
      </c>
    </row>
    <row r="12" spans="1:26" x14ac:dyDescent="0.2">
      <c r="C12" s="46" t="s">
        <v>172</v>
      </c>
      <c r="D12" s="47"/>
      <c r="E12" s="48">
        <v>0</v>
      </c>
    </row>
    <row r="13" spans="1:26" x14ac:dyDescent="0.2">
      <c r="C13" s="46" t="s">
        <v>173</v>
      </c>
      <c r="D13" s="47"/>
      <c r="E13" s="48">
        <v>0</v>
      </c>
    </row>
    <row r="14" spans="1:26" x14ac:dyDescent="0.2">
      <c r="C14" s="51" t="s">
        <v>174</v>
      </c>
      <c r="D14" s="52">
        <v>1000</v>
      </c>
      <c r="E14" s="53">
        <f>SUM(E10:E13)</f>
        <v>1</v>
      </c>
      <c r="F14" s="54" t="str">
        <f>IF(E14=1,"","ERROR!")</f>
        <v/>
      </c>
    </row>
    <row r="16" spans="1:26" ht="23" x14ac:dyDescent="0.25">
      <c r="A16" s="42" t="s">
        <v>175</v>
      </c>
    </row>
    <row r="17" spans="1:7" x14ac:dyDescent="0.2">
      <c r="C17" s="43" t="s">
        <v>165</v>
      </c>
      <c r="D17" s="44" t="s">
        <v>166</v>
      </c>
      <c r="E17" s="44" t="s">
        <v>167</v>
      </c>
    </row>
    <row r="18" spans="1:7" x14ac:dyDescent="0.2">
      <c r="C18" s="8" t="s">
        <v>164</v>
      </c>
      <c r="D18" s="47">
        <f t="shared" ref="D18:D21" si="1">D10</f>
        <v>750</v>
      </c>
      <c r="E18" s="55">
        <f t="shared" ref="E18:E24" si="2">D18/$D$25</f>
        <v>0.74257425742574257</v>
      </c>
      <c r="F18" s="20">
        <v>0</v>
      </c>
    </row>
    <row r="19" spans="1:7" x14ac:dyDescent="0.2">
      <c r="C19" s="8" t="s">
        <v>171</v>
      </c>
      <c r="D19" s="47">
        <f t="shared" si="1"/>
        <v>250</v>
      </c>
      <c r="E19" s="55">
        <f t="shared" si="2"/>
        <v>0.24752475247524752</v>
      </c>
    </row>
    <row r="20" spans="1:7" x14ac:dyDescent="0.2">
      <c r="C20" s="8" t="s">
        <v>172</v>
      </c>
      <c r="D20" s="47">
        <f t="shared" si="1"/>
        <v>0</v>
      </c>
      <c r="E20" s="55">
        <f t="shared" si="2"/>
        <v>0</v>
      </c>
    </row>
    <row r="21" spans="1:7" ht="15.75" customHeight="1" x14ac:dyDescent="0.2">
      <c r="C21" s="8" t="s">
        <v>173</v>
      </c>
      <c r="D21" s="47">
        <f t="shared" si="1"/>
        <v>0</v>
      </c>
      <c r="E21" s="55">
        <f t="shared" si="2"/>
        <v>0</v>
      </c>
    </row>
    <row r="22" spans="1:7" ht="15.75" customHeight="1" x14ac:dyDescent="0.2">
      <c r="C22" s="46" t="s">
        <v>176</v>
      </c>
      <c r="D22" s="56">
        <v>0</v>
      </c>
      <c r="E22" s="55">
        <f t="shared" si="2"/>
        <v>0</v>
      </c>
    </row>
    <row r="23" spans="1:7" ht="15.75" customHeight="1" x14ac:dyDescent="0.2">
      <c r="C23" s="46" t="s">
        <v>176</v>
      </c>
      <c r="D23" s="56">
        <v>0</v>
      </c>
      <c r="E23" s="55">
        <f t="shared" si="2"/>
        <v>0</v>
      </c>
    </row>
    <row r="24" spans="1:7" ht="15.75" customHeight="1" x14ac:dyDescent="0.2">
      <c r="C24" s="46" t="s">
        <v>177</v>
      </c>
      <c r="D24" s="56">
        <v>10</v>
      </c>
      <c r="E24" s="55">
        <f t="shared" si="2"/>
        <v>9.9009900990099011E-3</v>
      </c>
    </row>
    <row r="25" spans="1:7" ht="15.75" customHeight="1" x14ac:dyDescent="0.2">
      <c r="C25" s="51" t="s">
        <v>174</v>
      </c>
      <c r="D25" s="57">
        <f t="shared" ref="D25:E25" si="3">SUM(D18:D24)</f>
        <v>1010</v>
      </c>
      <c r="E25" s="58">
        <f t="shared" si="3"/>
        <v>1</v>
      </c>
      <c r="F25" s="54" t="str">
        <f>IF(E25=1,"","ERROR!")</f>
        <v/>
      </c>
    </row>
    <row r="26" spans="1:7" ht="15.75" customHeight="1" x14ac:dyDescent="0.2"/>
    <row r="27" spans="1:7" ht="15.75" customHeight="1" x14ac:dyDescent="0.2"/>
    <row r="28" spans="1:7" ht="15.75" customHeight="1" x14ac:dyDescent="0.2">
      <c r="D28" s="59"/>
    </row>
    <row r="29" spans="1:7" ht="15.75" customHeight="1" x14ac:dyDescent="0.25">
      <c r="A29" s="42" t="s">
        <v>178</v>
      </c>
      <c r="D29" s="60">
        <v>50000</v>
      </c>
      <c r="E29" s="61">
        <v>0.05</v>
      </c>
      <c r="G29" s="50" t="s">
        <v>179</v>
      </c>
    </row>
    <row r="30" spans="1:7" ht="15.75" customHeight="1" x14ac:dyDescent="0.2">
      <c r="C30" s="8" t="s">
        <v>180</v>
      </c>
      <c r="D30" s="62">
        <f>IF(ISNUMBER(D31-D29),D31-D29,0)</f>
        <v>950000</v>
      </c>
    </row>
    <row r="31" spans="1:7" ht="15.75" customHeight="1" x14ac:dyDescent="0.2">
      <c r="C31" s="8" t="s">
        <v>181</v>
      </c>
      <c r="D31" s="63">
        <f>IF(ISNUMBER(D29/E29),D29/E29,0)</f>
        <v>1000000</v>
      </c>
    </row>
    <row r="32" spans="1:7" ht="15.75" customHeight="1" x14ac:dyDescent="0.2">
      <c r="C32" s="64"/>
    </row>
    <row r="33" spans="1:7" ht="15.75" customHeight="1" x14ac:dyDescent="0.2">
      <c r="C33" s="43" t="s">
        <v>165</v>
      </c>
      <c r="D33" s="44" t="s">
        <v>166</v>
      </c>
      <c r="E33" s="44" t="s">
        <v>167</v>
      </c>
    </row>
    <row r="34" spans="1:7" ht="15.75" customHeight="1" x14ac:dyDescent="0.2">
      <c r="C34" s="65" t="s">
        <v>182</v>
      </c>
      <c r="D34" s="66">
        <f>(D25+D42)/(1/E34-1)</f>
        <v>53.157894736842103</v>
      </c>
      <c r="E34" s="67">
        <f>E29</f>
        <v>0.05</v>
      </c>
      <c r="G34" s="68"/>
    </row>
    <row r="35" spans="1:7" ht="15.75" customHeight="1" x14ac:dyDescent="0.2">
      <c r="C35" s="8" t="str">
        <f t="shared" ref="C35:D35" si="4">C18</f>
        <v>Founder 1</v>
      </c>
      <c r="D35" s="59">
        <f t="shared" si="4"/>
        <v>750</v>
      </c>
      <c r="E35" s="69">
        <f t="shared" ref="E35:E42" si="5">D35/$D$43</f>
        <v>0.70544554455445541</v>
      </c>
      <c r="F35" s="63">
        <f>E35*D31</f>
        <v>705445.54455445544</v>
      </c>
    </row>
    <row r="36" spans="1:7" ht="15.75" customHeight="1" x14ac:dyDescent="0.2">
      <c r="C36" s="8" t="str">
        <f t="shared" ref="C36:D36" si="6">C19</f>
        <v>Founder 2</v>
      </c>
      <c r="D36" s="59">
        <f t="shared" si="6"/>
        <v>250</v>
      </c>
      <c r="E36" s="69">
        <f t="shared" si="5"/>
        <v>0.23514851485148516</v>
      </c>
    </row>
    <row r="37" spans="1:7" ht="15.75" customHeight="1" x14ac:dyDescent="0.2">
      <c r="C37" s="8" t="str">
        <f t="shared" ref="C37:D37" si="7">C20</f>
        <v>Founder 3</v>
      </c>
      <c r="D37" s="59">
        <f t="shared" si="7"/>
        <v>0</v>
      </c>
      <c r="E37" s="69">
        <f t="shared" si="5"/>
        <v>0</v>
      </c>
    </row>
    <row r="38" spans="1:7" ht="15.75" customHeight="1" x14ac:dyDescent="0.2">
      <c r="C38" s="8" t="str">
        <f t="shared" ref="C38:D38" si="8">C21</f>
        <v>Founder 4</v>
      </c>
      <c r="D38" s="59">
        <f t="shared" si="8"/>
        <v>0</v>
      </c>
      <c r="E38" s="69">
        <f t="shared" si="5"/>
        <v>0</v>
      </c>
    </row>
    <row r="39" spans="1:7" ht="15.75" customHeight="1" x14ac:dyDescent="0.2">
      <c r="C39" s="8" t="str">
        <f t="shared" ref="C39:D39" si="9">C22</f>
        <v>New Teammate</v>
      </c>
      <c r="D39" s="59">
        <f t="shared" si="9"/>
        <v>0</v>
      </c>
      <c r="E39" s="69">
        <f t="shared" si="5"/>
        <v>0</v>
      </c>
    </row>
    <row r="40" spans="1:7" ht="15.75" customHeight="1" x14ac:dyDescent="0.2">
      <c r="C40" s="8" t="str">
        <f t="shared" ref="C40:D40" si="10">C23</f>
        <v>New Teammate</v>
      </c>
      <c r="D40" s="59">
        <f t="shared" si="10"/>
        <v>0</v>
      </c>
      <c r="E40" s="69">
        <f t="shared" si="5"/>
        <v>0</v>
      </c>
    </row>
    <row r="41" spans="1:7" ht="15.75" customHeight="1" x14ac:dyDescent="0.2">
      <c r="C41" t="str">
        <f t="shared" ref="C41:D41" si="11">C24</f>
        <v>Advisor</v>
      </c>
      <c r="D41" s="59">
        <f t="shared" si="11"/>
        <v>10</v>
      </c>
      <c r="E41" s="69">
        <f t="shared" si="5"/>
        <v>9.4059405940594056E-3</v>
      </c>
    </row>
    <row r="42" spans="1:7" ht="15.75" customHeight="1" x14ac:dyDescent="0.2">
      <c r="C42" s="46" t="s">
        <v>183</v>
      </c>
      <c r="D42" s="56">
        <v>0</v>
      </c>
      <c r="E42" s="69">
        <f t="shared" si="5"/>
        <v>0</v>
      </c>
    </row>
    <row r="43" spans="1:7" ht="15.75" customHeight="1" x14ac:dyDescent="0.2">
      <c r="C43" s="51" t="s">
        <v>174</v>
      </c>
      <c r="D43" s="70">
        <f t="shared" ref="D43:E43" si="12">SUM(D34:D42)</f>
        <v>1063.1578947368421</v>
      </c>
      <c r="E43" s="58">
        <f t="shared" si="12"/>
        <v>1</v>
      </c>
      <c r="F43" s="54" t="str">
        <f>IF(E43=1,"","ERROR!")</f>
        <v/>
      </c>
    </row>
    <row r="44" spans="1:7" ht="15.75" customHeight="1" x14ac:dyDescent="0.2">
      <c r="D44" s="59"/>
    </row>
    <row r="45" spans="1:7" ht="15.75" customHeight="1" x14ac:dyDescent="0.25">
      <c r="A45" s="42" t="s">
        <v>184</v>
      </c>
      <c r="D45" s="60">
        <v>1500000</v>
      </c>
      <c r="E45" s="61">
        <v>0.22</v>
      </c>
      <c r="G45" s="50" t="s">
        <v>179</v>
      </c>
    </row>
    <row r="46" spans="1:7" ht="15.75" customHeight="1" x14ac:dyDescent="0.2">
      <c r="C46" s="8" t="s">
        <v>180</v>
      </c>
      <c r="D46" s="62">
        <f>IF(ISNUMBER(D47-D45),D47-D45,0)</f>
        <v>5318181.8181818184</v>
      </c>
    </row>
    <row r="47" spans="1:7" ht="15.75" customHeight="1" x14ac:dyDescent="0.2">
      <c r="C47" s="8" t="s">
        <v>181</v>
      </c>
      <c r="D47" s="63">
        <f>IF(ISNUMBER(D45/E45),D45/E45,0)</f>
        <v>6818181.8181818184</v>
      </c>
    </row>
    <row r="48" spans="1:7" ht="15.75" customHeight="1" x14ac:dyDescent="0.2">
      <c r="C48" s="64"/>
    </row>
    <row r="49" spans="1:8" ht="15.75" customHeight="1" x14ac:dyDescent="0.2">
      <c r="C49" s="43" t="s">
        <v>165</v>
      </c>
      <c r="D49" s="44" t="s">
        <v>166</v>
      </c>
      <c r="E49" s="44" t="s">
        <v>167</v>
      </c>
    </row>
    <row r="50" spans="1:8" ht="15.75" customHeight="1" x14ac:dyDescent="0.2">
      <c r="C50" s="65" t="s">
        <v>185</v>
      </c>
      <c r="D50" s="66">
        <f>(D43+D60)/(1/E50-1)</f>
        <v>328.07017543859644</v>
      </c>
      <c r="E50" s="67">
        <f>E45</f>
        <v>0.22</v>
      </c>
    </row>
    <row r="51" spans="1:8" ht="15.75" customHeight="1" x14ac:dyDescent="0.2">
      <c r="C51" s="8" t="str">
        <f t="shared" ref="C51:D51" si="13">C34</f>
        <v>FFF Investors</v>
      </c>
      <c r="D51" s="59">
        <f t="shared" si="13"/>
        <v>53.157894736842103</v>
      </c>
      <c r="E51" s="71">
        <f t="shared" ref="E51:E60" si="14">D51/$D$61</f>
        <v>3.5647058823529414E-2</v>
      </c>
      <c r="G51" s="69"/>
    </row>
    <row r="52" spans="1:8" ht="15.75" customHeight="1" x14ac:dyDescent="0.2">
      <c r="C52" s="8" t="str">
        <f t="shared" ref="C52:D52" si="15">C35</f>
        <v>Founder 1</v>
      </c>
      <c r="D52" s="59">
        <f t="shared" si="15"/>
        <v>750</v>
      </c>
      <c r="E52" s="71">
        <f t="shared" si="14"/>
        <v>0.50294117647058834</v>
      </c>
      <c r="F52" s="63">
        <f>E52*D47</f>
        <v>3429144.3850267385</v>
      </c>
    </row>
    <row r="53" spans="1:8" ht="15.75" customHeight="1" x14ac:dyDescent="0.2">
      <c r="C53" s="8" t="str">
        <f t="shared" ref="C53:D53" si="16">C36</f>
        <v>Founder 2</v>
      </c>
      <c r="D53" s="59">
        <f t="shared" si="16"/>
        <v>250</v>
      </c>
      <c r="E53" s="71">
        <f t="shared" si="14"/>
        <v>0.16764705882352943</v>
      </c>
    </row>
    <row r="54" spans="1:8" ht="15.75" customHeight="1" x14ac:dyDescent="0.2">
      <c r="C54" s="8" t="str">
        <f t="shared" ref="C54:D54" si="17">C37</f>
        <v>Founder 3</v>
      </c>
      <c r="D54" s="59">
        <f t="shared" si="17"/>
        <v>0</v>
      </c>
      <c r="E54" s="71">
        <f t="shared" si="14"/>
        <v>0</v>
      </c>
    </row>
    <row r="55" spans="1:8" ht="15.75" customHeight="1" x14ac:dyDescent="0.2">
      <c r="C55" s="8" t="str">
        <f t="shared" ref="C55:D55" si="18">C38</f>
        <v>Founder 4</v>
      </c>
      <c r="D55" s="59">
        <f t="shared" si="18"/>
        <v>0</v>
      </c>
      <c r="E55" s="71">
        <f t="shared" si="14"/>
        <v>0</v>
      </c>
    </row>
    <row r="56" spans="1:8" ht="15.75" customHeight="1" x14ac:dyDescent="0.2">
      <c r="C56" s="8" t="str">
        <f t="shared" ref="C56:D56" si="19">C39</f>
        <v>New Teammate</v>
      </c>
      <c r="D56" s="59">
        <f t="shared" si="19"/>
        <v>0</v>
      </c>
      <c r="E56" s="71">
        <f t="shared" si="14"/>
        <v>0</v>
      </c>
    </row>
    <row r="57" spans="1:8" ht="15.75" customHeight="1" x14ac:dyDescent="0.2">
      <c r="C57" s="8" t="str">
        <f t="shared" ref="C57:D57" si="20">C40</f>
        <v>New Teammate</v>
      </c>
      <c r="D57" s="59">
        <f t="shared" si="20"/>
        <v>0</v>
      </c>
      <c r="E57" s="71">
        <f t="shared" si="14"/>
        <v>0</v>
      </c>
    </row>
    <row r="58" spans="1:8" ht="15.75" customHeight="1" x14ac:dyDescent="0.2">
      <c r="C58" s="8" t="str">
        <f t="shared" ref="C58:D58" si="21">C41</f>
        <v>Advisor</v>
      </c>
      <c r="D58" s="59">
        <f t="shared" si="21"/>
        <v>10</v>
      </c>
      <c r="E58" s="71">
        <f t="shared" si="14"/>
        <v>6.705882352941177E-3</v>
      </c>
    </row>
    <row r="59" spans="1:8" ht="15.75" customHeight="1" x14ac:dyDescent="0.2">
      <c r="C59" s="8" t="str">
        <f t="shared" ref="C59:D59" si="22">C42</f>
        <v>Employee Options Pool #1</v>
      </c>
      <c r="D59" s="59">
        <f t="shared" si="22"/>
        <v>0</v>
      </c>
      <c r="E59" s="71">
        <f t="shared" si="14"/>
        <v>0</v>
      </c>
      <c r="F59" s="41"/>
    </row>
    <row r="60" spans="1:8" ht="15.75" customHeight="1" x14ac:dyDescent="0.2">
      <c r="C60" s="46" t="s">
        <v>186</v>
      </c>
      <c r="D60" s="56">
        <v>100</v>
      </c>
      <c r="E60" s="71">
        <f t="shared" si="14"/>
        <v>6.7058823529411768E-2</v>
      </c>
      <c r="F60" s="41"/>
      <c r="G60" s="72" t="s">
        <v>187</v>
      </c>
      <c r="H60" s="73">
        <f>SUM(E59:E60)</f>
        <v>6.7058823529411768E-2</v>
      </c>
    </row>
    <row r="61" spans="1:8" ht="15.75" customHeight="1" x14ac:dyDescent="0.2">
      <c r="C61" s="51" t="s">
        <v>174</v>
      </c>
      <c r="D61" s="70">
        <f t="shared" ref="D61:E61" si="23">SUM(D50:D60)</f>
        <v>1491.2280701754385</v>
      </c>
      <c r="E61" s="58">
        <f t="shared" si="23"/>
        <v>1.0000000000000002</v>
      </c>
      <c r="F61" s="54" t="str">
        <f>IF(E61=1,"","ERROR!")</f>
        <v/>
      </c>
    </row>
    <row r="62" spans="1:8" ht="15.75" customHeight="1" x14ac:dyDescent="0.2"/>
    <row r="63" spans="1:8" ht="15.75" customHeight="1" x14ac:dyDescent="0.25">
      <c r="A63" s="42" t="s">
        <v>188</v>
      </c>
      <c r="D63" s="60">
        <v>5000000</v>
      </c>
      <c r="E63" s="61">
        <v>0.28999999999999998</v>
      </c>
      <c r="G63" s="50" t="s">
        <v>179</v>
      </c>
    </row>
    <row r="64" spans="1:8" ht="15.75" customHeight="1" x14ac:dyDescent="0.2">
      <c r="C64" s="8" t="s">
        <v>180</v>
      </c>
      <c r="D64" s="62">
        <f>IF(ISNUMBER(D65-D63),D65-D63,0)</f>
        <v>12241379.31034483</v>
      </c>
    </row>
    <row r="65" spans="3:8" ht="15.75" customHeight="1" x14ac:dyDescent="0.2">
      <c r="C65" s="8" t="s">
        <v>181</v>
      </c>
      <c r="D65" s="63">
        <f>IF(ISNUMBER(D63/E63),D63/E63,0)</f>
        <v>17241379.31034483</v>
      </c>
    </row>
    <row r="66" spans="3:8" ht="15.75" customHeight="1" x14ac:dyDescent="0.2"/>
    <row r="67" spans="3:8" ht="15.75" customHeight="1" x14ac:dyDescent="0.2">
      <c r="C67" s="43" t="s">
        <v>165</v>
      </c>
      <c r="D67" s="44" t="s">
        <v>166</v>
      </c>
      <c r="E67" s="44" t="s">
        <v>167</v>
      </c>
    </row>
    <row r="68" spans="3:8" ht="15.75" customHeight="1" x14ac:dyDescent="0.2">
      <c r="C68" s="65" t="s">
        <v>189</v>
      </c>
      <c r="D68" s="66">
        <f>IF(ISNUMBER((D61+D80)/(1/E68-1)),(D61+D80)/(1/E68-1),0)</f>
        <v>698.95231035334803</v>
      </c>
      <c r="E68" s="67">
        <f>E63</f>
        <v>0.28999999999999998</v>
      </c>
    </row>
    <row r="69" spans="3:8" ht="15.75" customHeight="1" x14ac:dyDescent="0.2">
      <c r="C69" s="8" t="str">
        <f t="shared" ref="C69:D69" si="24">C50</f>
        <v>Seed Investors</v>
      </c>
      <c r="D69" s="59">
        <f t="shared" si="24"/>
        <v>328.07017543859644</v>
      </c>
      <c r="E69" s="69">
        <f t="shared" ref="E69:E80" si="25">D69/D$81</f>
        <v>0.13611851548082837</v>
      </c>
      <c r="G69" s="50" t="s">
        <v>190</v>
      </c>
    </row>
    <row r="70" spans="3:8" ht="15.75" customHeight="1" x14ac:dyDescent="0.2">
      <c r="C70" s="8" t="str">
        <f t="shared" ref="C70:D70" si="26">C51</f>
        <v>FFF Investors</v>
      </c>
      <c r="D70" s="59">
        <f t="shared" si="26"/>
        <v>53.157894736842103</v>
      </c>
      <c r="E70" s="69">
        <f t="shared" si="25"/>
        <v>2.2055566946893583E-2</v>
      </c>
    </row>
    <row r="71" spans="3:8" ht="15.75" customHeight="1" x14ac:dyDescent="0.2">
      <c r="C71" s="8" t="str">
        <f t="shared" ref="C71:D71" si="27">C52</f>
        <v>Founder 1</v>
      </c>
      <c r="D71" s="59">
        <f t="shared" si="27"/>
        <v>750</v>
      </c>
      <c r="E71" s="69">
        <f t="shared" si="25"/>
        <v>0.3111800287061719</v>
      </c>
      <c r="F71" s="63">
        <f>E71*D65</f>
        <v>5365172.9087271029</v>
      </c>
    </row>
    <row r="72" spans="3:8" ht="15.75" customHeight="1" x14ac:dyDescent="0.2">
      <c r="C72" s="8" t="str">
        <f t="shared" ref="C72:D72" si="28">C53</f>
        <v>Founder 2</v>
      </c>
      <c r="D72" s="59">
        <f t="shared" si="28"/>
        <v>250</v>
      </c>
      <c r="E72" s="69">
        <f t="shared" si="25"/>
        <v>0.10372667623539063</v>
      </c>
    </row>
    <row r="73" spans="3:8" ht="15.75" customHeight="1" x14ac:dyDescent="0.2">
      <c r="C73" s="8" t="str">
        <f t="shared" ref="C73:D73" si="29">C54</f>
        <v>Founder 3</v>
      </c>
      <c r="D73" s="59">
        <f t="shared" si="29"/>
        <v>0</v>
      </c>
      <c r="E73" s="69">
        <f t="shared" si="25"/>
        <v>0</v>
      </c>
    </row>
    <row r="74" spans="3:8" ht="15.75" customHeight="1" x14ac:dyDescent="0.2">
      <c r="C74" s="8" t="str">
        <f t="shared" ref="C74:D74" si="30">C55</f>
        <v>Founder 4</v>
      </c>
      <c r="D74" s="59">
        <f t="shared" si="30"/>
        <v>0</v>
      </c>
      <c r="E74" s="69">
        <f t="shared" si="25"/>
        <v>0</v>
      </c>
    </row>
    <row r="75" spans="3:8" ht="15.75" customHeight="1" x14ac:dyDescent="0.2">
      <c r="C75" s="8" t="str">
        <f t="shared" ref="C75:D75" si="31">C56</f>
        <v>New Teammate</v>
      </c>
      <c r="D75" s="59">
        <f t="shared" si="31"/>
        <v>0</v>
      </c>
      <c r="E75" s="69">
        <f t="shared" si="25"/>
        <v>0</v>
      </c>
    </row>
    <row r="76" spans="3:8" ht="15.75" customHeight="1" x14ac:dyDescent="0.2">
      <c r="C76" s="8" t="str">
        <f t="shared" ref="C76:D76" si="32">C57</f>
        <v>New Teammate</v>
      </c>
      <c r="D76" s="59">
        <f t="shared" si="32"/>
        <v>0</v>
      </c>
      <c r="E76" s="69">
        <f t="shared" si="25"/>
        <v>0</v>
      </c>
    </row>
    <row r="77" spans="3:8" ht="15.75" customHeight="1" x14ac:dyDescent="0.2">
      <c r="C77" s="8" t="str">
        <f t="shared" ref="C77:D77" si="33">C58</f>
        <v>Advisor</v>
      </c>
      <c r="D77" s="59">
        <f t="shared" si="33"/>
        <v>10</v>
      </c>
      <c r="E77" s="69">
        <f t="shared" si="25"/>
        <v>4.1490670494156254E-3</v>
      </c>
    </row>
    <row r="78" spans="3:8" ht="15.75" customHeight="1" x14ac:dyDescent="0.2">
      <c r="C78" s="8" t="str">
        <f t="shared" ref="C78:D78" si="34">C59</f>
        <v>Employee Options Pool #1</v>
      </c>
      <c r="D78" s="59">
        <f t="shared" si="34"/>
        <v>0</v>
      </c>
      <c r="E78" s="69">
        <f t="shared" si="25"/>
        <v>0</v>
      </c>
      <c r="F78" s="41"/>
    </row>
    <row r="79" spans="3:8" ht="15.75" customHeight="1" x14ac:dyDescent="0.2">
      <c r="C79" s="8" t="str">
        <f t="shared" ref="C79:D79" si="35">C60</f>
        <v>Employee Option Pool #2</v>
      </c>
      <c r="D79" s="59">
        <f t="shared" si="35"/>
        <v>100</v>
      </c>
      <c r="E79" s="69">
        <f t="shared" si="25"/>
        <v>4.1490670494156251E-2</v>
      </c>
      <c r="F79" s="41"/>
    </row>
    <row r="80" spans="3:8" ht="15.75" customHeight="1" x14ac:dyDescent="0.2">
      <c r="C80" s="46" t="s">
        <v>191</v>
      </c>
      <c r="D80" s="56">
        <v>220</v>
      </c>
      <c r="E80" s="69">
        <f t="shared" si="25"/>
        <v>9.1279475087143749E-2</v>
      </c>
      <c r="F80" s="41"/>
      <c r="G80" s="72" t="s">
        <v>187</v>
      </c>
      <c r="H80" s="73">
        <f>SUM(E78:E80)</f>
        <v>0.13277014558130001</v>
      </c>
    </row>
    <row r="81" spans="1:7" ht="15.75" customHeight="1" x14ac:dyDescent="0.2">
      <c r="C81" s="51" t="s">
        <v>174</v>
      </c>
      <c r="D81" s="74">
        <f t="shared" ref="D81:E81" si="36">SUM(D68:D80)</f>
        <v>2410.1803805287864</v>
      </c>
      <c r="E81" s="58">
        <f t="shared" si="36"/>
        <v>1.0000000000000002</v>
      </c>
      <c r="F81" s="54" t="str">
        <f>IF(E81=1,"","ERROR!")</f>
        <v/>
      </c>
    </row>
    <row r="82" spans="1:7" ht="15.75" customHeight="1" x14ac:dyDescent="0.2"/>
    <row r="83" spans="1:7" ht="15.75" customHeight="1" x14ac:dyDescent="0.25">
      <c r="A83" s="42" t="s">
        <v>192</v>
      </c>
      <c r="D83" s="60">
        <v>12000000</v>
      </c>
      <c r="E83" s="75">
        <v>0.28999999999999998</v>
      </c>
      <c r="G83" s="50" t="s">
        <v>179</v>
      </c>
    </row>
    <row r="84" spans="1:7" ht="15.75" customHeight="1" x14ac:dyDescent="0.2">
      <c r="C84" s="8" t="s">
        <v>180</v>
      </c>
      <c r="D84" s="62">
        <f>IF(ISNUMBER(D85-D83),D85-D83,0)</f>
        <v>29379310.344827592</v>
      </c>
    </row>
    <row r="85" spans="1:7" ht="15.75" customHeight="1" x14ac:dyDescent="0.2">
      <c r="C85" s="8" t="s">
        <v>181</v>
      </c>
      <c r="D85" s="63">
        <f>IF(ISNUMBER(D83/E83),D83/E83,0)</f>
        <v>41379310.344827592</v>
      </c>
    </row>
    <row r="86" spans="1:7" ht="15.75" customHeight="1" x14ac:dyDescent="0.2"/>
    <row r="87" spans="1:7" ht="15.75" customHeight="1" x14ac:dyDescent="0.2">
      <c r="C87" s="43" t="s">
        <v>165</v>
      </c>
      <c r="D87" s="44" t="s">
        <v>166</v>
      </c>
      <c r="E87" s="44" t="s">
        <v>167</v>
      </c>
    </row>
    <row r="88" spans="1:7" ht="15.75" customHeight="1" x14ac:dyDescent="0.2">
      <c r="C88" s="76" t="s">
        <v>193</v>
      </c>
      <c r="D88" s="66">
        <f>IF(ISNUMBER((D81+D102)/(1/E88-1)),(D81+D102)/(1/E88-1),0)</f>
        <v>1066.1300145821801</v>
      </c>
      <c r="E88" s="77">
        <f>E83</f>
        <v>0.28999999999999998</v>
      </c>
    </row>
    <row r="89" spans="1:7" ht="15.75" customHeight="1" x14ac:dyDescent="0.2">
      <c r="C89" s="8" t="str">
        <f t="shared" ref="C89:D89" si="37">C68</f>
        <v>Series A Investors</v>
      </c>
      <c r="D89" s="78">
        <f t="shared" si="37"/>
        <v>698.95231035334803</v>
      </c>
      <c r="E89" s="69">
        <f t="shared" ref="E89:E102" si="38">D89/$D$103</f>
        <v>0.19012331256981654</v>
      </c>
    </row>
    <row r="90" spans="1:7" ht="15.75" customHeight="1" x14ac:dyDescent="0.2">
      <c r="C90" s="8" t="str">
        <f t="shared" ref="C90:D90" si="39">C69</f>
        <v>Seed Investors</v>
      </c>
      <c r="D90" s="78">
        <f t="shared" si="39"/>
        <v>328.07017543859644</v>
      </c>
      <c r="E90" s="69">
        <f t="shared" si="38"/>
        <v>8.923897608724464E-2</v>
      </c>
    </row>
    <row r="91" spans="1:7" ht="15.75" customHeight="1" x14ac:dyDescent="0.2">
      <c r="C91" s="8" t="str">
        <f t="shared" ref="C91:D91" si="40">C70</f>
        <v>FFF Investors</v>
      </c>
      <c r="D91" s="78">
        <f t="shared" si="40"/>
        <v>53.157894736842103</v>
      </c>
      <c r="E91" s="69">
        <f t="shared" si="38"/>
        <v>1.4459577408788839E-2</v>
      </c>
    </row>
    <row r="92" spans="1:7" ht="15.75" customHeight="1" x14ac:dyDescent="0.2">
      <c r="C92" s="8" t="str">
        <f t="shared" ref="C92:D92" si="41">C71</f>
        <v>Founder 1</v>
      </c>
      <c r="D92" s="78">
        <f t="shared" si="41"/>
        <v>750</v>
      </c>
      <c r="E92" s="69">
        <f t="shared" si="38"/>
        <v>0.2040088891834069</v>
      </c>
      <c r="G92" s="59"/>
    </row>
    <row r="93" spans="1:7" ht="15.75" customHeight="1" x14ac:dyDescent="0.2">
      <c r="C93" t="str">
        <f t="shared" ref="C93:D93" si="42">C72</f>
        <v>Founder 2</v>
      </c>
      <c r="D93" s="78">
        <f t="shared" si="42"/>
        <v>250</v>
      </c>
      <c r="E93" s="69">
        <f t="shared" si="38"/>
        <v>6.8002963061135638E-2</v>
      </c>
    </row>
    <row r="94" spans="1:7" ht="15.75" customHeight="1" x14ac:dyDescent="0.2">
      <c r="C94" s="8" t="str">
        <f t="shared" ref="C94:D94" si="43">C73</f>
        <v>Founder 3</v>
      </c>
      <c r="D94" s="78">
        <f t="shared" si="43"/>
        <v>0</v>
      </c>
      <c r="E94" s="69">
        <f t="shared" si="38"/>
        <v>0</v>
      </c>
    </row>
    <row r="95" spans="1:7" ht="15.75" customHeight="1" x14ac:dyDescent="0.2">
      <c r="C95" s="8" t="str">
        <f t="shared" ref="C95:D95" si="44">C74</f>
        <v>Founder 4</v>
      </c>
      <c r="D95" s="78">
        <f t="shared" si="44"/>
        <v>0</v>
      </c>
      <c r="E95" s="69">
        <f t="shared" si="38"/>
        <v>0</v>
      </c>
    </row>
    <row r="96" spans="1:7" ht="15.75" customHeight="1" x14ac:dyDescent="0.2">
      <c r="C96" s="8" t="str">
        <f t="shared" ref="C96:D96" si="45">C75</f>
        <v>New Teammate</v>
      </c>
      <c r="D96" s="78">
        <f t="shared" si="45"/>
        <v>0</v>
      </c>
      <c r="E96" s="69">
        <f t="shared" si="38"/>
        <v>0</v>
      </c>
    </row>
    <row r="97" spans="1:9" ht="15.75" customHeight="1" x14ac:dyDescent="0.2">
      <c r="C97" s="8" t="str">
        <f t="shared" ref="C97:D97" si="46">C76</f>
        <v>New Teammate</v>
      </c>
      <c r="D97" s="78">
        <f t="shared" si="46"/>
        <v>0</v>
      </c>
      <c r="E97" s="69">
        <f t="shared" si="38"/>
        <v>0</v>
      </c>
    </row>
    <row r="98" spans="1:9" ht="15.75" customHeight="1" x14ac:dyDescent="0.2">
      <c r="C98" s="8" t="str">
        <f t="shared" ref="C98:D98" si="47">C77</f>
        <v>Advisor</v>
      </c>
      <c r="D98" s="78">
        <f t="shared" si="47"/>
        <v>10</v>
      </c>
      <c r="E98" s="69">
        <f t="shared" si="38"/>
        <v>2.7201185224454251E-3</v>
      </c>
    </row>
    <row r="99" spans="1:9" ht="15.75" customHeight="1" x14ac:dyDescent="0.2">
      <c r="C99" s="8" t="str">
        <f t="shared" ref="C99:D99" si="48">C78</f>
        <v>Employee Options Pool #1</v>
      </c>
      <c r="D99" s="78">
        <f t="shared" si="48"/>
        <v>0</v>
      </c>
      <c r="E99" s="69">
        <f t="shared" si="38"/>
        <v>0</v>
      </c>
      <c r="F99" s="41"/>
    </row>
    <row r="100" spans="1:9" ht="15.75" customHeight="1" x14ac:dyDescent="0.2">
      <c r="C100" s="8" t="str">
        <f t="shared" ref="C100:D100" si="49">C79</f>
        <v>Employee Option Pool #2</v>
      </c>
      <c r="D100" s="78">
        <f t="shared" si="49"/>
        <v>100</v>
      </c>
      <c r="E100" s="69">
        <f t="shared" si="38"/>
        <v>2.7201185224454253E-2</v>
      </c>
      <c r="F100" s="41"/>
    </row>
    <row r="101" spans="1:9" ht="15.75" customHeight="1" x14ac:dyDescent="0.2">
      <c r="C101" s="8" t="str">
        <f t="shared" ref="C101:D101" si="50">C80</f>
        <v>Employee Option Pool 2</v>
      </c>
      <c r="D101" s="78">
        <f t="shared" si="50"/>
        <v>220</v>
      </c>
      <c r="E101" s="69">
        <f t="shared" si="38"/>
        <v>5.9842607493799355E-2</v>
      </c>
      <c r="F101" s="41"/>
    </row>
    <row r="102" spans="1:9" ht="15.75" customHeight="1" x14ac:dyDescent="0.2">
      <c r="C102" s="46" t="s">
        <v>194</v>
      </c>
      <c r="D102" s="79">
        <v>200</v>
      </c>
      <c r="E102" s="69">
        <f t="shared" si="38"/>
        <v>5.4402370448908506E-2</v>
      </c>
      <c r="F102" s="41"/>
      <c r="G102" s="72" t="s">
        <v>187</v>
      </c>
      <c r="H102" s="73">
        <f>SUM(E99:E102)</f>
        <v>0.1414461631671621</v>
      </c>
    </row>
    <row r="103" spans="1:9" ht="15.75" customHeight="1" x14ac:dyDescent="0.2">
      <c r="C103" s="51" t="s">
        <v>174</v>
      </c>
      <c r="D103" s="74">
        <f t="shared" ref="D103:E103" si="51">SUM(D88:D102)</f>
        <v>3676.3103951109665</v>
      </c>
      <c r="E103" s="58">
        <f t="shared" si="51"/>
        <v>1.0000000000000002</v>
      </c>
      <c r="F103" s="54" t="str">
        <f>IF(E103=1,"","ERROR!")</f>
        <v/>
      </c>
    </row>
    <row r="104" spans="1:9" ht="15.75" customHeight="1" x14ac:dyDescent="0.2"/>
    <row r="105" spans="1:9" ht="15.75" customHeight="1" x14ac:dyDescent="0.25">
      <c r="A105" s="42" t="s">
        <v>195</v>
      </c>
      <c r="C105" s="64"/>
    </row>
    <row r="106" spans="1:9" ht="15.75" customHeight="1" x14ac:dyDescent="0.2">
      <c r="C106" s="8" t="s">
        <v>195</v>
      </c>
      <c r="D106" s="60">
        <v>250000000</v>
      </c>
      <c r="G106" s="64"/>
    </row>
    <row r="107" spans="1:9" ht="15.75" customHeight="1" x14ac:dyDescent="0.2">
      <c r="C107" s="8" t="s">
        <v>196</v>
      </c>
      <c r="D107" s="80">
        <f>D106/D103</f>
        <v>68002.963061135626</v>
      </c>
      <c r="G107" s="64"/>
    </row>
    <row r="108" spans="1:9" ht="15.75" customHeight="1" x14ac:dyDescent="0.2">
      <c r="D108" s="81"/>
    </row>
    <row r="109" spans="1:9" ht="15.75" customHeight="1" x14ac:dyDescent="0.2">
      <c r="C109" s="43" t="s">
        <v>165</v>
      </c>
      <c r="D109" s="82" t="s">
        <v>197</v>
      </c>
      <c r="E109" s="82" t="s">
        <v>198</v>
      </c>
      <c r="F109" s="82" t="s">
        <v>135</v>
      </c>
      <c r="G109" s="82" t="s">
        <v>50</v>
      </c>
    </row>
    <row r="110" spans="1:9" ht="15.75" customHeight="1" x14ac:dyDescent="0.2">
      <c r="C110" s="8" t="str">
        <f t="shared" ref="C110:C120" si="52">C88</f>
        <v>Series B Investors</v>
      </c>
      <c r="D110" s="69">
        <f t="shared" ref="D110:D120" si="53">E88</f>
        <v>0.28999999999999998</v>
      </c>
      <c r="E110" s="63">
        <f t="shared" ref="E110:E121" si="54">D110*$D$103*$D$107</f>
        <v>72499999.999999985</v>
      </c>
      <c r="F110" s="63">
        <f>BCapital</f>
        <v>12000000</v>
      </c>
      <c r="G110" s="83">
        <f t="shared" ref="G110:G113" si="55">IF(ISNUMBER(E110/F110),E110/F110,0)</f>
        <v>6.0416666666666652</v>
      </c>
      <c r="I110" s="84"/>
    </row>
    <row r="111" spans="1:9" ht="15.75" customHeight="1" x14ac:dyDescent="0.2">
      <c r="C111" s="8" t="str">
        <f t="shared" si="52"/>
        <v>Series A Investors</v>
      </c>
      <c r="D111" s="69">
        <f t="shared" si="53"/>
        <v>0.19012331256981654</v>
      </c>
      <c r="E111" s="63">
        <f t="shared" si="54"/>
        <v>47530828.142454132</v>
      </c>
      <c r="F111" s="63">
        <f>ACapital</f>
        <v>5000000</v>
      </c>
      <c r="G111" s="83">
        <f t="shared" si="55"/>
        <v>9.5061656284908267</v>
      </c>
      <c r="H111" s="85"/>
      <c r="I111" s="84"/>
    </row>
    <row r="112" spans="1:9" ht="15.75" customHeight="1" x14ac:dyDescent="0.2">
      <c r="C112" s="8" t="str">
        <f t="shared" si="52"/>
        <v>Seed Investors</v>
      </c>
      <c r="D112" s="69">
        <f t="shared" si="53"/>
        <v>8.923897608724464E-2</v>
      </c>
      <c r="E112" s="63">
        <f t="shared" si="54"/>
        <v>22309744.021811157</v>
      </c>
      <c r="F112" s="63">
        <f>AngelCapital</f>
        <v>1500000</v>
      </c>
      <c r="G112" s="83">
        <f t="shared" si="55"/>
        <v>14.873162681207438</v>
      </c>
    </row>
    <row r="113" spans="1:9" ht="15.75" customHeight="1" x14ac:dyDescent="0.2">
      <c r="C113" s="8" t="str">
        <f t="shared" si="52"/>
        <v>FFF Investors</v>
      </c>
      <c r="D113" s="69">
        <f t="shared" si="53"/>
        <v>1.4459577408788839E-2</v>
      </c>
      <c r="E113" s="63">
        <f t="shared" si="54"/>
        <v>3614894.3521972094</v>
      </c>
      <c r="F113" s="63">
        <f>SeedCapital</f>
        <v>50000</v>
      </c>
      <c r="G113" s="83">
        <f t="shared" si="55"/>
        <v>72.297887043944186</v>
      </c>
    </row>
    <row r="114" spans="1:9" ht="15.75" customHeight="1" x14ac:dyDescent="0.2">
      <c r="C114" s="8" t="str">
        <f t="shared" si="52"/>
        <v>Founder 1</v>
      </c>
      <c r="D114" s="69">
        <f t="shared" si="53"/>
        <v>0.2040088891834069</v>
      </c>
      <c r="E114" s="63">
        <f t="shared" si="54"/>
        <v>51002222.295851722</v>
      </c>
      <c r="F114" s="63"/>
    </row>
    <row r="115" spans="1:9" ht="15.75" customHeight="1" x14ac:dyDescent="0.2">
      <c r="C115" s="8" t="str">
        <f t="shared" si="52"/>
        <v>Founder 2</v>
      </c>
      <c r="D115" s="69">
        <f t="shared" si="53"/>
        <v>6.8002963061135638E-2</v>
      </c>
      <c r="E115" s="63">
        <f t="shared" si="54"/>
        <v>17000740.765283909</v>
      </c>
      <c r="F115" s="63"/>
    </row>
    <row r="116" spans="1:9" ht="15.75" customHeight="1" x14ac:dyDescent="0.2">
      <c r="C116" s="8" t="str">
        <f t="shared" si="52"/>
        <v>Founder 3</v>
      </c>
      <c r="D116" s="69">
        <f t="shared" si="53"/>
        <v>0</v>
      </c>
      <c r="E116" s="63">
        <f t="shared" si="54"/>
        <v>0</v>
      </c>
      <c r="F116" s="63"/>
      <c r="I116" s="63"/>
    </row>
    <row r="117" spans="1:9" ht="15.75" customHeight="1" x14ac:dyDescent="0.2">
      <c r="C117" s="8" t="str">
        <f t="shared" si="52"/>
        <v>Founder 4</v>
      </c>
      <c r="D117" s="69">
        <f t="shared" si="53"/>
        <v>0</v>
      </c>
      <c r="E117" s="63">
        <f t="shared" si="54"/>
        <v>0</v>
      </c>
      <c r="F117" s="63"/>
      <c r="I117" s="10"/>
    </row>
    <row r="118" spans="1:9" ht="15.75" customHeight="1" x14ac:dyDescent="0.2">
      <c r="C118" s="8" t="str">
        <f t="shared" si="52"/>
        <v>New Teammate</v>
      </c>
      <c r="D118" s="69">
        <f t="shared" si="53"/>
        <v>0</v>
      </c>
      <c r="E118" s="63">
        <f t="shared" si="54"/>
        <v>0</v>
      </c>
      <c r="F118" s="63"/>
    </row>
    <row r="119" spans="1:9" ht="15.75" customHeight="1" x14ac:dyDescent="0.2">
      <c r="C119" s="8" t="str">
        <f t="shared" si="52"/>
        <v>New Teammate</v>
      </c>
      <c r="D119" s="69">
        <f t="shared" si="53"/>
        <v>0</v>
      </c>
      <c r="E119" s="63">
        <f t="shared" si="54"/>
        <v>0</v>
      </c>
      <c r="F119" s="63"/>
    </row>
    <row r="120" spans="1:9" ht="15.75" customHeight="1" x14ac:dyDescent="0.2">
      <c r="C120" s="8" t="str">
        <f t="shared" si="52"/>
        <v>Advisor</v>
      </c>
      <c r="D120" s="69">
        <f t="shared" si="53"/>
        <v>2.7201185224454251E-3</v>
      </c>
      <c r="E120" s="63">
        <f t="shared" si="54"/>
        <v>680029.63061135623</v>
      </c>
      <c r="F120" s="63"/>
    </row>
    <row r="121" spans="1:9" ht="15.75" customHeight="1" x14ac:dyDescent="0.2">
      <c r="C121" s="8" t="s">
        <v>199</v>
      </c>
      <c r="D121" s="69">
        <f>SUM(E99:E102)</f>
        <v>0.1414461631671621</v>
      </c>
      <c r="E121" s="63">
        <f t="shared" si="54"/>
        <v>35361540.791790523</v>
      </c>
      <c r="F121" s="63"/>
    </row>
    <row r="122" spans="1:9" ht="15.75" customHeight="1" x14ac:dyDescent="0.2">
      <c r="C122" s="51" t="s">
        <v>52</v>
      </c>
      <c r="D122" s="86">
        <f t="shared" ref="D122:F122" si="56">SUM(D110:D121)</f>
        <v>1.0000000000000002</v>
      </c>
      <c r="E122" s="87">
        <f t="shared" si="56"/>
        <v>250000000</v>
      </c>
      <c r="F122" s="87">
        <f t="shared" si="56"/>
        <v>18550000</v>
      </c>
    </row>
    <row r="123" spans="1:9" ht="15.75" customHeight="1" x14ac:dyDescent="0.2">
      <c r="D123" s="54" t="str">
        <f>IF(D122=1,"","ERROR!")</f>
        <v/>
      </c>
      <c r="E123" s="54" t="str">
        <f>IF(E122=D106,"","ERROR!")</f>
        <v/>
      </c>
    </row>
    <row r="124" spans="1:9" ht="15.75" customHeight="1" x14ac:dyDescent="0.2">
      <c r="D124" s="85"/>
    </row>
    <row r="125" spans="1:9" ht="15.75" customHeight="1" x14ac:dyDescent="0.25">
      <c r="A125" s="42" t="s">
        <v>200</v>
      </c>
      <c r="D125" s="85"/>
    </row>
    <row r="126" spans="1:9" ht="15.75" customHeight="1" x14ac:dyDescent="0.2">
      <c r="D126" s="85"/>
    </row>
    <row r="127" spans="1:9" ht="15.75" customHeight="1" x14ac:dyDescent="0.2">
      <c r="D127" s="113" t="s">
        <v>201</v>
      </c>
      <c r="E127" s="112"/>
      <c r="F127" s="112"/>
      <c r="G127" s="112"/>
      <c r="H127" s="112"/>
      <c r="I127" s="112"/>
    </row>
    <row r="128" spans="1:9" ht="15.75" customHeight="1" x14ac:dyDescent="0.2">
      <c r="C128" s="88" t="s">
        <v>202</v>
      </c>
      <c r="D128" s="114" t="s">
        <v>203</v>
      </c>
      <c r="E128" s="115"/>
      <c r="F128" s="115"/>
      <c r="G128" s="115"/>
      <c r="H128" s="115"/>
      <c r="I128" s="116"/>
    </row>
    <row r="129" spans="3:9" ht="15.75" customHeight="1" x14ac:dyDescent="0.2">
      <c r="C129" s="89">
        <f>G111</f>
        <v>9.5061656284908267</v>
      </c>
      <c r="D129" s="90">
        <v>0.15</v>
      </c>
      <c r="E129" s="10">
        <f t="shared" ref="E129:I129" si="57">D129+0.05</f>
        <v>0.2</v>
      </c>
      <c r="F129" s="10">
        <f t="shared" si="57"/>
        <v>0.25</v>
      </c>
      <c r="G129" s="10">
        <f t="shared" si="57"/>
        <v>0.3</v>
      </c>
      <c r="H129" s="10">
        <f t="shared" si="57"/>
        <v>0.35</v>
      </c>
      <c r="I129" s="91">
        <f t="shared" si="57"/>
        <v>0.39999999999999997</v>
      </c>
    </row>
    <row r="130" spans="3:9" ht="15.75" customHeight="1" x14ac:dyDescent="0.2">
      <c r="C130" s="92">
        <v>10000</v>
      </c>
      <c r="D130" s="93">
        <v>0.6</v>
      </c>
      <c r="E130" s="94">
        <v>0.8</v>
      </c>
      <c r="F130" s="94">
        <v>1</v>
      </c>
      <c r="G130" s="94">
        <v>1.2</v>
      </c>
      <c r="H130" s="94">
        <v>1.4</v>
      </c>
      <c r="I130" s="95">
        <v>1.6</v>
      </c>
    </row>
    <row r="131" spans="3:9" ht="15.75" customHeight="1" x14ac:dyDescent="0.2">
      <c r="C131" s="96">
        <f t="shared" ref="C131:C139" si="58">C130+20000</f>
        <v>30000</v>
      </c>
      <c r="D131" s="97">
        <v>1.8</v>
      </c>
      <c r="E131" s="83">
        <v>2.4</v>
      </c>
      <c r="F131" s="83">
        <v>3.0000000000000004</v>
      </c>
      <c r="G131" s="83">
        <v>3.6</v>
      </c>
      <c r="H131" s="83">
        <v>4.1999999999999993</v>
      </c>
      <c r="I131" s="98">
        <v>4.8</v>
      </c>
    </row>
    <row r="132" spans="3:9" ht="15.75" customHeight="1" x14ac:dyDescent="0.2">
      <c r="C132" s="96">
        <f t="shared" si="58"/>
        <v>50000</v>
      </c>
      <c r="D132" s="97">
        <v>2.9999999999999996</v>
      </c>
      <c r="E132" s="83">
        <v>4</v>
      </c>
      <c r="F132" s="83">
        <v>4.9999999999999991</v>
      </c>
      <c r="G132" s="83">
        <v>6</v>
      </c>
      <c r="H132" s="83">
        <v>7</v>
      </c>
      <c r="I132" s="98">
        <v>8</v>
      </c>
    </row>
    <row r="133" spans="3:9" ht="15.75" customHeight="1" x14ac:dyDescent="0.2">
      <c r="C133" s="96">
        <f t="shared" si="58"/>
        <v>70000</v>
      </c>
      <c r="D133" s="97">
        <v>4.2</v>
      </c>
      <c r="E133" s="83">
        <v>5.6</v>
      </c>
      <c r="F133" s="83">
        <v>7</v>
      </c>
      <c r="G133" s="83">
        <v>8.4</v>
      </c>
      <c r="H133" s="83">
        <v>9.8000000000000007</v>
      </c>
      <c r="I133" s="98">
        <v>11.2</v>
      </c>
    </row>
    <row r="134" spans="3:9" ht="15.75" customHeight="1" x14ac:dyDescent="0.2">
      <c r="C134" s="96">
        <f t="shared" si="58"/>
        <v>90000</v>
      </c>
      <c r="D134" s="97">
        <v>5.3999999999999995</v>
      </c>
      <c r="E134" s="83">
        <v>7.2</v>
      </c>
      <c r="F134" s="83">
        <v>9</v>
      </c>
      <c r="G134" s="83">
        <v>10.8</v>
      </c>
      <c r="H134" s="83">
        <v>12.599999999999998</v>
      </c>
      <c r="I134" s="98">
        <v>14.4</v>
      </c>
    </row>
    <row r="135" spans="3:9" ht="15.75" customHeight="1" x14ac:dyDescent="0.2">
      <c r="C135" s="96">
        <f t="shared" si="58"/>
        <v>110000</v>
      </c>
      <c r="D135" s="97">
        <v>6.6</v>
      </c>
      <c r="E135" s="83">
        <v>8.8000000000000007</v>
      </c>
      <c r="F135" s="83">
        <v>11</v>
      </c>
      <c r="G135" s="83">
        <v>13.2</v>
      </c>
      <c r="H135" s="83">
        <v>15.399999999999997</v>
      </c>
      <c r="I135" s="98">
        <v>17.600000000000001</v>
      </c>
    </row>
    <row r="136" spans="3:9" ht="15.75" customHeight="1" x14ac:dyDescent="0.2">
      <c r="C136" s="96">
        <f t="shared" si="58"/>
        <v>130000</v>
      </c>
      <c r="D136" s="97">
        <v>7.8</v>
      </c>
      <c r="E136" s="83">
        <v>10.4</v>
      </c>
      <c r="F136" s="83">
        <v>13</v>
      </c>
      <c r="G136" s="83">
        <v>15.6</v>
      </c>
      <c r="H136" s="83">
        <v>18.199999999999996</v>
      </c>
      <c r="I136" s="98">
        <v>20.8</v>
      </c>
    </row>
    <row r="137" spans="3:9" ht="15.75" customHeight="1" x14ac:dyDescent="0.2">
      <c r="C137" s="96">
        <f t="shared" si="58"/>
        <v>150000</v>
      </c>
      <c r="D137" s="97">
        <v>9</v>
      </c>
      <c r="E137" s="83">
        <v>12</v>
      </c>
      <c r="F137" s="83">
        <v>15</v>
      </c>
      <c r="G137" s="83">
        <v>18</v>
      </c>
      <c r="H137" s="83">
        <v>20.999999999999993</v>
      </c>
      <c r="I137" s="98">
        <v>23.999999999999996</v>
      </c>
    </row>
    <row r="138" spans="3:9" ht="15.75" customHeight="1" x14ac:dyDescent="0.2">
      <c r="C138" s="96">
        <f t="shared" si="58"/>
        <v>170000</v>
      </c>
      <c r="D138" s="97">
        <v>10.199999999999999</v>
      </c>
      <c r="E138" s="83">
        <v>13.6</v>
      </c>
      <c r="F138" s="83">
        <v>17</v>
      </c>
      <c r="G138" s="83">
        <v>20.399999999999999</v>
      </c>
      <c r="H138" s="83">
        <v>23.799999999999997</v>
      </c>
      <c r="I138" s="98">
        <v>27.2</v>
      </c>
    </row>
    <row r="139" spans="3:9" ht="15.75" customHeight="1" x14ac:dyDescent="0.2">
      <c r="C139" s="99">
        <f t="shared" si="58"/>
        <v>190000</v>
      </c>
      <c r="D139" s="100">
        <v>11.4</v>
      </c>
      <c r="E139" s="101">
        <v>15.2</v>
      </c>
      <c r="F139" s="101">
        <v>19</v>
      </c>
      <c r="G139" s="101">
        <v>22.8</v>
      </c>
      <c r="H139" s="101">
        <v>26.599999999999994</v>
      </c>
      <c r="I139" s="102">
        <v>30.4</v>
      </c>
    </row>
    <row r="140" spans="3:9" ht="15.75" customHeight="1" x14ac:dyDescent="0.2">
      <c r="D140" s="85"/>
    </row>
    <row r="141" spans="3:9" ht="15.75" customHeight="1" x14ac:dyDescent="0.2">
      <c r="D141" s="85"/>
    </row>
    <row r="142" spans="3:9" ht="15.75" customHeight="1" x14ac:dyDescent="0.2"/>
    <row r="143" spans="3:9" ht="15.75" customHeight="1" x14ac:dyDescent="0.2"/>
    <row r="144" spans="3:9" ht="15.75" customHeight="1" x14ac:dyDescent="0.2"/>
    <row r="145" spans="1:3" ht="15.75" customHeight="1" x14ac:dyDescent="0.2"/>
    <row r="146" spans="1:3" ht="15.75" customHeight="1" x14ac:dyDescent="0.2"/>
    <row r="147" spans="1:3" ht="15.75" customHeight="1" x14ac:dyDescent="0.2">
      <c r="A147" s="103"/>
      <c r="C147" s="103"/>
    </row>
    <row r="148" spans="1:3" ht="15.75" customHeight="1" x14ac:dyDescent="0.2"/>
    <row r="149" spans="1:3" ht="15.75" customHeight="1" x14ac:dyDescent="0.2"/>
    <row r="150" spans="1:3" ht="15.75" customHeight="1" x14ac:dyDescent="0.2"/>
    <row r="151" spans="1:3" ht="15.75" customHeight="1" x14ac:dyDescent="0.2"/>
    <row r="152" spans="1:3" ht="15.75" customHeight="1" x14ac:dyDescent="0.2"/>
    <row r="153" spans="1:3" ht="15.75" customHeight="1" x14ac:dyDescent="0.2"/>
    <row r="154" spans="1:3" ht="15.75" customHeight="1" x14ac:dyDescent="0.2"/>
    <row r="155" spans="1:3" ht="15.75" customHeight="1" x14ac:dyDescent="0.2"/>
    <row r="156" spans="1:3" ht="15.75" customHeight="1" x14ac:dyDescent="0.2"/>
    <row r="157" spans="1:3" ht="15.75" customHeight="1" x14ac:dyDescent="0.2"/>
    <row r="158" spans="1:3" ht="15.75" customHeight="1" x14ac:dyDescent="0.2"/>
    <row r="159" spans="1:3" ht="15.75" customHeight="1" x14ac:dyDescent="0.2"/>
    <row r="160" spans="1:3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D127:I127"/>
    <mergeCell ref="D128:I128"/>
  </mergeCells>
  <conditionalFormatting sqref="D130:I139">
    <cfRule type="cellIs" dxfId="2" priority="1" stopIfTrue="1" operator="between">
      <formula>5</formula>
      <formula>10</formula>
    </cfRule>
  </conditionalFormatting>
  <conditionalFormatting sqref="D130:I139">
    <cfRule type="cellIs" dxfId="1" priority="2" stopIfTrue="1" operator="greaterThan">
      <formula>10</formula>
    </cfRule>
  </conditionalFormatting>
  <conditionalFormatting sqref="D130:I139">
    <cfRule type="cellIs" dxfId="0" priority="3" stopIfTrue="1" operator="lessThan">
      <formula>5</formula>
    </cfRule>
  </conditionalFormatting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" width="37.6640625" customWidth="1"/>
    <col min="2" max="2" width="23.5" customWidth="1"/>
    <col min="3" max="3" width="15.33203125" customWidth="1"/>
    <col min="4" max="4" width="14.33203125" customWidth="1"/>
    <col min="5" max="26" width="8.83203125" customWidth="1"/>
  </cols>
  <sheetData>
    <row r="1" spans="1:3" ht="26" x14ac:dyDescent="0.3">
      <c r="A1" s="104" t="s">
        <v>204</v>
      </c>
    </row>
    <row r="9" spans="1:3" x14ac:dyDescent="0.2">
      <c r="A9" s="2" t="s">
        <v>61</v>
      </c>
    </row>
    <row r="10" spans="1:3" x14ac:dyDescent="0.2">
      <c r="A10" s="8" t="s">
        <v>205</v>
      </c>
    </row>
    <row r="11" spans="1:3" x14ac:dyDescent="0.2">
      <c r="A11" s="8" t="s">
        <v>206</v>
      </c>
    </row>
    <row r="13" spans="1:3" x14ac:dyDescent="0.2">
      <c r="A13" s="23" t="s">
        <v>54</v>
      </c>
      <c r="B13" s="105">
        <f>Scorecard!D12</f>
        <v>7150000.0000000019</v>
      </c>
    </row>
    <row r="14" spans="1:3" x14ac:dyDescent="0.2">
      <c r="A14" s="23" t="s">
        <v>207</v>
      </c>
      <c r="B14" s="105">
        <f>'Risk Adjusted'!B17</f>
        <v>2700000</v>
      </c>
    </row>
    <row r="15" spans="1:3" x14ac:dyDescent="0.2">
      <c r="A15" s="23" t="s">
        <v>103</v>
      </c>
      <c r="B15" s="105">
        <f>'Burn Rate Method'!C8</f>
        <v>2880000</v>
      </c>
    </row>
    <row r="16" spans="1:3" x14ac:dyDescent="0.2">
      <c r="A16" s="23" t="s">
        <v>208</v>
      </c>
      <c r="B16" s="105">
        <f>'Venture Capital Method'!C11</f>
        <v>2250000</v>
      </c>
      <c r="C16" s="8" t="s">
        <v>209</v>
      </c>
    </row>
    <row r="17" spans="1:4" x14ac:dyDescent="0.2">
      <c r="A17" s="23" t="s">
        <v>210</v>
      </c>
      <c r="B17" s="105" t="s">
        <v>211</v>
      </c>
    </row>
    <row r="18" spans="1:4" x14ac:dyDescent="0.2">
      <c r="A18" s="23"/>
      <c r="B18" s="105"/>
    </row>
    <row r="19" spans="1:4" x14ac:dyDescent="0.2">
      <c r="A19" s="23" t="s">
        <v>53</v>
      </c>
      <c r="B19" s="105">
        <f>AVERAGE(B13:B16)</f>
        <v>3745000.0000000005</v>
      </c>
    </row>
    <row r="20" spans="1:4" x14ac:dyDescent="0.2">
      <c r="A20" s="23" t="s">
        <v>212</v>
      </c>
      <c r="B20" s="105">
        <f>MEDIAN(B13:B16)</f>
        <v>2790000</v>
      </c>
    </row>
    <row r="21" spans="1:4" ht="15.75" customHeight="1" x14ac:dyDescent="0.2">
      <c r="A21" s="23" t="s">
        <v>213</v>
      </c>
      <c r="B21" s="105">
        <f>STDEV(B13:B16)</f>
        <v>2285410.2476360793</v>
      </c>
    </row>
    <row r="22" spans="1:4" ht="15.75" customHeight="1" x14ac:dyDescent="0.2"/>
    <row r="23" spans="1:4" ht="15.75" customHeight="1" x14ac:dyDescent="0.2"/>
    <row r="24" spans="1:4" ht="15.75" customHeight="1" x14ac:dyDescent="0.2">
      <c r="A24" s="2"/>
    </row>
    <row r="25" spans="1:4" ht="15.75" customHeight="1" x14ac:dyDescent="0.2">
      <c r="D25" s="59"/>
    </row>
    <row r="26" spans="1:4" ht="15.75" customHeight="1" x14ac:dyDescent="0.2">
      <c r="B26" s="10"/>
      <c r="C26" s="10"/>
      <c r="D26" s="12"/>
    </row>
    <row r="27" spans="1:4" ht="15.75" customHeight="1" x14ac:dyDescent="0.2">
      <c r="B27" s="10"/>
      <c r="C27" s="10"/>
      <c r="D27" s="12"/>
    </row>
    <row r="28" spans="1:4" ht="15.75" customHeight="1" x14ac:dyDescent="0.2">
      <c r="B28" s="10"/>
      <c r="C28" s="10"/>
      <c r="D28" s="12"/>
    </row>
    <row r="29" spans="1:4" ht="15.75" customHeight="1" x14ac:dyDescent="0.2">
      <c r="B29" s="10"/>
      <c r="C29" s="10"/>
      <c r="D29" s="12"/>
    </row>
    <row r="30" spans="1:4" ht="15.75" customHeight="1" x14ac:dyDescent="0.2">
      <c r="B30" s="10"/>
      <c r="C30" s="10"/>
      <c r="D30" s="12"/>
    </row>
    <row r="31" spans="1:4" ht="15.75" customHeight="1" x14ac:dyDescent="0.2">
      <c r="B31" s="10"/>
      <c r="C31" s="10"/>
      <c r="D31" s="12"/>
    </row>
    <row r="32" spans="1:4" ht="15.75" customHeight="1" x14ac:dyDescent="0.2">
      <c r="B32" s="10"/>
      <c r="C32" s="10"/>
      <c r="D32" s="12"/>
    </row>
    <row r="33" spans="1:26" ht="15.75" customHeight="1" x14ac:dyDescent="0.2">
      <c r="D33" s="13"/>
    </row>
    <row r="34" spans="1:26" ht="15.75" customHeight="1" x14ac:dyDescent="0.2"/>
    <row r="35" spans="1:26" ht="15.75" customHeight="1" x14ac:dyDescent="0.2">
      <c r="A35" s="2"/>
      <c r="B35" s="2"/>
      <c r="C35" s="2"/>
      <c r="D35" s="10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/>
    <row r="37" spans="1:26" ht="15.75" customHeight="1" x14ac:dyDescent="0.2"/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/>
    <row r="40" spans="1:26" ht="15.75" customHeight="1" x14ac:dyDescent="0.2"/>
    <row r="41" spans="1:26" ht="15.75" customHeight="1" x14ac:dyDescent="0.2"/>
    <row r="42" spans="1:26" ht="15.75" customHeight="1" x14ac:dyDescent="0.2"/>
    <row r="43" spans="1:26" ht="15.75" customHeight="1" x14ac:dyDescent="0.2"/>
    <row r="44" spans="1:26" ht="15.75" customHeight="1" x14ac:dyDescent="0.2"/>
    <row r="45" spans="1:26" ht="15.75" customHeight="1" x14ac:dyDescent="0.2"/>
    <row r="46" spans="1:26" ht="15.75" customHeight="1" x14ac:dyDescent="0.2"/>
    <row r="47" spans="1:26" ht="15.75" customHeight="1" x14ac:dyDescent="0.2"/>
    <row r="48" spans="1:26" ht="15.75" customHeight="1" x14ac:dyDescent="0.2"/>
    <row r="49" spans="1:26" ht="15.75" customHeight="1" x14ac:dyDescent="0.2"/>
    <row r="50" spans="1:26" ht="15.75" customHeight="1" x14ac:dyDescent="0.2"/>
    <row r="51" spans="1:26" ht="15.75" customHeight="1" x14ac:dyDescent="0.2"/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/>
    <row r="54" spans="1:26" ht="15.75" customHeight="1" x14ac:dyDescent="0.2">
      <c r="A54" s="2"/>
    </row>
    <row r="55" spans="1:26" ht="15.75" customHeight="1" x14ac:dyDescent="0.2"/>
    <row r="56" spans="1:26" ht="15.75" customHeight="1" x14ac:dyDescent="0.2">
      <c r="C56" s="107"/>
    </row>
    <row r="57" spans="1:26" ht="15.75" customHeight="1" x14ac:dyDescent="0.2"/>
    <row r="58" spans="1:26" ht="15.75" customHeight="1" x14ac:dyDescent="0.2">
      <c r="A58" s="2"/>
      <c r="B58" s="2"/>
      <c r="C58" s="108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/>
    <row r="60" spans="1:26" ht="15.75" customHeight="1" x14ac:dyDescent="0.2">
      <c r="A60" s="2"/>
    </row>
    <row r="61" spans="1:26" ht="15.75" customHeight="1" x14ac:dyDescent="0.2"/>
    <row r="62" spans="1:26" ht="15.75" customHeight="1" x14ac:dyDescent="0.2">
      <c r="C62" s="49"/>
    </row>
    <row r="63" spans="1:26" ht="15.75" customHeight="1" x14ac:dyDescent="0.2"/>
    <row r="64" spans="1:26" ht="15.75" customHeight="1" x14ac:dyDescent="0.2">
      <c r="C64" s="49"/>
      <c r="D64" s="49"/>
    </row>
    <row r="65" spans="1:26" ht="15.75" customHeight="1" x14ac:dyDescent="0.2">
      <c r="C65" s="10"/>
    </row>
    <row r="66" spans="1:26" ht="15.75" customHeight="1" x14ac:dyDescent="0.2">
      <c r="C66" s="49"/>
    </row>
    <row r="67" spans="1:26" ht="15.75" customHeight="1" x14ac:dyDescent="0.2">
      <c r="A67" s="2"/>
      <c r="B67" s="2"/>
      <c r="C67" s="106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/>
    <row r="69" spans="1:26" ht="15.75" customHeight="1" x14ac:dyDescent="0.2">
      <c r="A69" s="2"/>
    </row>
    <row r="70" spans="1:26" ht="15.75" customHeight="1" x14ac:dyDescent="0.2">
      <c r="C70" s="109"/>
    </row>
    <row r="71" spans="1:26" ht="15.75" customHeight="1" x14ac:dyDescent="0.2">
      <c r="C71" s="35"/>
    </row>
    <row r="72" spans="1:26" ht="15.75" customHeight="1" x14ac:dyDescent="0.2">
      <c r="C72" s="109"/>
    </row>
    <row r="73" spans="1:26" ht="15.75" customHeight="1" x14ac:dyDescent="0.2">
      <c r="C73" s="109"/>
    </row>
    <row r="74" spans="1:26" ht="15.75" customHeight="1" x14ac:dyDescent="0.2">
      <c r="C74" s="35"/>
    </row>
    <row r="75" spans="1:26" ht="15.75" customHeight="1" x14ac:dyDescent="0.2">
      <c r="C75" s="109"/>
    </row>
    <row r="76" spans="1:26" ht="15.75" customHeight="1" x14ac:dyDescent="0.2">
      <c r="C76" s="110"/>
    </row>
    <row r="77" spans="1:26" ht="15.75" customHeight="1" x14ac:dyDescent="0.2">
      <c r="C77" s="35"/>
    </row>
    <row r="78" spans="1:26" ht="15.75" customHeight="1" x14ac:dyDescent="0.2">
      <c r="C78" s="20"/>
    </row>
    <row r="79" spans="1:26" ht="15.75" customHeight="1" x14ac:dyDescent="0.2">
      <c r="C79" s="49"/>
    </row>
    <row r="80" spans="1:2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Questionnaire</vt:lpstr>
      <vt:lpstr>Exit Comps</vt:lpstr>
      <vt:lpstr>Scorecard</vt:lpstr>
      <vt:lpstr>Risk Adjusted</vt:lpstr>
      <vt:lpstr>Burn Rate Method</vt:lpstr>
      <vt:lpstr>Venture Capital Method</vt:lpstr>
      <vt:lpstr>CAP Table Model</vt:lpstr>
      <vt:lpstr>Summary</vt:lpstr>
      <vt:lpstr>ACapital</vt:lpstr>
      <vt:lpstr>AngelCapital</vt:lpstr>
      <vt:lpstr>BCapital</vt:lpstr>
      <vt:lpstr>SeedCapital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Adams</dc:creator>
  <cp:lastModifiedBy>Microsoft Office User</cp:lastModifiedBy>
  <dcterms:created xsi:type="dcterms:W3CDTF">2013-05-28T23:14:47Z</dcterms:created>
  <dcterms:modified xsi:type="dcterms:W3CDTF">2023-01-02T22:57:49Z</dcterms:modified>
</cp:coreProperties>
</file>