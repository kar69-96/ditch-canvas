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4/Homework/"/>
    </mc:Choice>
  </mc:AlternateContent>
  <xr:revisionPtr revIDLastSave="57" documentId="8_{859A8CA4-E82D-A847-815C-27ED94D5073C}" xr6:coauthVersionLast="47" xr6:coauthVersionMax="47" xr10:uidLastSave="{645C2B57-C0C2-C947-8C19-07D4A8863ECA}"/>
  <bookViews>
    <workbookView xWindow="43520" yWindow="1640" windowWidth="28040" windowHeight="15160" xr2:uid="{7F4BD7AB-576D-BA4A-A15D-D56D807F93FC}"/>
  </bookViews>
  <sheets>
    <sheet name="Balance Sheet" sheetId="6" r:id="rId1"/>
    <sheet name="Income Statement" sheetId="7" r:id="rId2"/>
    <sheet name="Statement of Cash Flows" sheetId="8" r:id="rId3"/>
    <sheet name="Burn-Build" sheetId="9" r:id="rId4"/>
    <sheet name="Working Capital" sheetId="10" r:id="rId5"/>
    <sheet name="Balance Sheet_ANS" sheetId="1" r:id="rId6"/>
    <sheet name="Income Statement_ANS" sheetId="2" r:id="rId7"/>
    <sheet name="Statement of Cash Flows_ANS" sheetId="3" r:id="rId8"/>
    <sheet name="Burn-Build_ANS" sheetId="4" r:id="rId9"/>
    <sheet name="Working Capital_ANS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B6" i="5"/>
  <c r="F17" i="6"/>
  <c r="C14" i="6"/>
  <c r="B14" i="6"/>
  <c r="G13" i="6"/>
  <c r="F13" i="6"/>
  <c r="G9" i="6"/>
  <c r="F9" i="6"/>
  <c r="F19" i="6" s="1"/>
  <c r="B9" i="6"/>
  <c r="G6" i="4"/>
  <c r="B6" i="4"/>
  <c r="K3" i="4"/>
  <c r="I3" i="4"/>
  <c r="H3" i="4"/>
  <c r="G3" i="4"/>
  <c r="D3" i="4"/>
  <c r="C3" i="4"/>
  <c r="B3" i="4"/>
  <c r="E28" i="3"/>
  <c r="E17" i="3"/>
  <c r="E24" i="3"/>
  <c r="E22" i="3"/>
  <c r="E20" i="3"/>
  <c r="E16" i="3"/>
  <c r="E11" i="3"/>
  <c r="E10" i="3"/>
  <c r="E9" i="3"/>
  <c r="E8" i="3"/>
  <c r="E7" i="3"/>
  <c r="E6" i="3"/>
  <c r="B4" i="2"/>
  <c r="B6" i="2" s="1"/>
  <c r="B8" i="2" s="1"/>
  <c r="B10" i="2" s="1"/>
  <c r="L6" i="4" l="1"/>
  <c r="B11" i="2"/>
  <c r="B12" i="2" l="1"/>
  <c r="E3" i="4"/>
  <c r="L3" i="4" s="1"/>
  <c r="L9" i="4" s="1"/>
  <c r="E5" i="3"/>
  <c r="E13" i="3" s="1"/>
  <c r="G17" i="6" l="1"/>
  <c r="G19" i="6" s="1"/>
  <c r="G16" i="1"/>
  <c r="G17" i="1" s="1"/>
  <c r="G13" i="1"/>
  <c r="F13" i="1"/>
  <c r="F17" i="1"/>
  <c r="G9" i="1"/>
  <c r="F9" i="1"/>
  <c r="F19" i="1" s="1"/>
  <c r="C14" i="1"/>
  <c r="B14" i="1"/>
  <c r="B9" i="1"/>
  <c r="B19" i="1" l="1"/>
  <c r="E21" i="3"/>
  <c r="E25" i="3" s="1"/>
  <c r="E27" i="3" s="1"/>
  <c r="E29" i="3" s="1"/>
  <c r="G19" i="1"/>
  <c r="C9" i="6" l="1"/>
  <c r="C6" i="1"/>
  <c r="C9" i="1" s="1"/>
  <c r="C6" i="5" l="1"/>
  <c r="C19" i="1"/>
</calcChain>
</file>

<file path=xl/sharedStrings.xml><?xml version="1.0" encoding="utf-8"?>
<sst xmlns="http://schemas.openxmlformats.org/spreadsheetml/2006/main" count="250" uniqueCount="93">
  <si>
    <t>Assets</t>
  </si>
  <si>
    <t>Liabilities &amp; Shareholders Equity</t>
  </si>
  <si>
    <t>Current Assets</t>
  </si>
  <si>
    <t>Current Liabilities</t>
  </si>
  <si>
    <t>Cash</t>
  </si>
  <si>
    <t>Accounts Payable</t>
  </si>
  <si>
    <t>Accounts Receivable</t>
  </si>
  <si>
    <t>Note Payable</t>
  </si>
  <si>
    <t>Inventories</t>
  </si>
  <si>
    <t>Accrued Liabilities</t>
  </si>
  <si>
    <t>Fixed Assets</t>
  </si>
  <si>
    <t>Long Term Liabilities</t>
  </si>
  <si>
    <t>Gross Fixed Assets</t>
  </si>
  <si>
    <t>Long Term Debt</t>
  </si>
  <si>
    <t>Accumulated Depreciation</t>
  </si>
  <si>
    <t>Net Fixed Assets</t>
  </si>
  <si>
    <t>Equity</t>
  </si>
  <si>
    <t>Common Stock</t>
  </si>
  <si>
    <t>Retained Earnings</t>
  </si>
  <si>
    <t>Total Equity</t>
  </si>
  <si>
    <t>Total Assets</t>
  </si>
  <si>
    <t>Total L &amp; SE</t>
  </si>
  <si>
    <t>Sources and Uses of Funds</t>
  </si>
  <si>
    <t>Which Financial Statement?</t>
  </si>
  <si>
    <t>Calculation</t>
  </si>
  <si>
    <t>Numbers</t>
  </si>
  <si>
    <t>Cashflows from Operating Activities</t>
  </si>
  <si>
    <t>+</t>
  </si>
  <si>
    <t>Net Income</t>
  </si>
  <si>
    <t>IS</t>
  </si>
  <si>
    <t>Depreciation</t>
  </si>
  <si>
    <t>Interest</t>
  </si>
  <si>
    <t>Change in Accounts Payable</t>
  </si>
  <si>
    <t>BS</t>
  </si>
  <si>
    <t>When we talk about Working Capital Management, we are referring to this group</t>
  </si>
  <si>
    <t>-</t>
  </si>
  <si>
    <t>Change in Accounts Receivable</t>
  </si>
  <si>
    <t>Change in Inventory</t>
  </si>
  <si>
    <t>Change in Other</t>
  </si>
  <si>
    <t>Net Cashflow From Operations</t>
  </si>
  <si>
    <t>Cashflows from Long-term Investing Activities</t>
  </si>
  <si>
    <t>Change in Fixed Assets</t>
  </si>
  <si>
    <t>Net Cashflow from Investing</t>
  </si>
  <si>
    <t>Cashflow to/from Financing</t>
  </si>
  <si>
    <t>Change in Notes Payable</t>
  </si>
  <si>
    <t>Change in Bonds</t>
  </si>
  <si>
    <t>Change in Equity (STOCK)</t>
  </si>
  <si>
    <t>Dividend Payment</t>
  </si>
  <si>
    <t xml:space="preserve"> </t>
  </si>
  <si>
    <t>Net Cashflow from financing</t>
  </si>
  <si>
    <t>Net Change in Cash</t>
  </si>
  <si>
    <t>Cash at Beginning of Year</t>
  </si>
  <si>
    <t>Cash at End of Year</t>
  </si>
  <si>
    <t>Income Statement 2021</t>
  </si>
  <si>
    <t>Revenue</t>
  </si>
  <si>
    <t>COGS</t>
  </si>
  <si>
    <t>Gross Profit</t>
  </si>
  <si>
    <t>OPEX</t>
  </si>
  <si>
    <t>EBITDA</t>
  </si>
  <si>
    <t>EBIT</t>
  </si>
  <si>
    <t>Pre Tax Income</t>
  </si>
  <si>
    <t>Change in Accrued Liabilities</t>
  </si>
  <si>
    <t>NA</t>
  </si>
  <si>
    <t>Taxes  (30%)</t>
  </si>
  <si>
    <t>INCOME STATEMENT</t>
  </si>
  <si>
    <t>OPX</t>
  </si>
  <si>
    <t>INVESTMENT</t>
  </si>
  <si>
    <t>COGS +</t>
  </si>
  <si>
    <t>OPEX +</t>
  </si>
  <si>
    <t>INTEREST +</t>
  </si>
  <si>
    <t>TAXES +</t>
  </si>
  <si>
    <t>Other +</t>
  </si>
  <si>
    <t>🔼 Inventory -</t>
  </si>
  <si>
    <t>🔼 in AP -</t>
  </si>
  <si>
    <t>🔼 Other Liab +</t>
  </si>
  <si>
    <t>CAPEX</t>
  </si>
  <si>
    <t>Cash Burn =</t>
  </si>
  <si>
    <t>Revenue -</t>
  </si>
  <si>
    <t>🔼 Receivables</t>
  </si>
  <si>
    <t xml:space="preserve">Cash Build = </t>
  </si>
  <si>
    <t>Net Burn</t>
  </si>
  <si>
    <t>R&amp;D+</t>
  </si>
  <si>
    <t>Dividiend Payout = $0</t>
  </si>
  <si>
    <t>&gt; 0 means BURNING CASH THROUGH OPERATIONS/REVENUE</t>
  </si>
  <si>
    <t>&lt; 0 means BUILDING CASH THROUGH OPERATIONS/REVENUE</t>
  </si>
  <si>
    <t>NOTE THE ORDER OF 2020 AND 2021 BELOW. BE SURE AND TAKE CHANGES ACCORDINGLY</t>
  </si>
  <si>
    <t>BALANCE SHEET</t>
  </si>
  <si>
    <t>Working Capital</t>
  </si>
  <si>
    <t>= Current Assets - Current Liabilities</t>
  </si>
  <si>
    <t xml:space="preserve">Net Working Capital = </t>
  </si>
  <si>
    <t>(Current Assets - Cash) - (Current Liabilities - Notes Payable)</t>
  </si>
  <si>
    <t>WC</t>
  </si>
  <si>
    <t>NWC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</si>
</sst>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EB67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2" fillId="3" borderId="5" xfId="0" applyFont="1" applyFill="1" applyBorder="1"/>
    <xf numFmtId="0" fontId="0" fillId="0" borderId="5" xfId="0" applyBorder="1"/>
    <xf numFmtId="0" fontId="0" fillId="0" borderId="6" xfId="0" applyBorder="1"/>
    <xf numFmtId="3" fontId="0" fillId="0" borderId="6" xfId="0" applyNumberFormat="1" applyBorder="1"/>
    <xf numFmtId="0" fontId="0" fillId="0" borderId="4" xfId="0" quotePrefix="1" applyBorder="1" applyAlignment="1">
      <alignment horizontal="center" vertical="center"/>
    </xf>
    <xf numFmtId="0" fontId="0" fillId="0" borderId="5" xfId="0" quotePrefix="1" applyBorder="1"/>
    <xf numFmtId="0" fontId="0" fillId="5" borderId="5" xfId="0" applyFill="1" applyBorder="1"/>
    <xf numFmtId="0" fontId="0" fillId="5" borderId="6" xfId="0" applyFill="1" applyBorder="1"/>
    <xf numFmtId="0" fontId="6" fillId="0" borderId="5" xfId="0" applyFont="1" applyBorder="1"/>
    <xf numFmtId="3" fontId="0" fillId="0" borderId="0" xfId="0" applyNumberFormat="1"/>
    <xf numFmtId="0" fontId="2" fillId="3" borderId="5" xfId="0" applyFont="1" applyFill="1" applyBorder="1" applyAlignment="1">
      <alignment wrapText="1"/>
    </xf>
    <xf numFmtId="1" fontId="0" fillId="0" borderId="0" xfId="0" applyNumberFormat="1"/>
    <xf numFmtId="1" fontId="0" fillId="0" borderId="6" xfId="0" applyNumberFormat="1" applyBorder="1"/>
    <xf numFmtId="0" fontId="2" fillId="0" borderId="5" xfId="0" applyFont="1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0" fillId="0" borderId="0" xfId="1" applyNumberFormat="1" applyFont="1"/>
    <xf numFmtId="164" fontId="0" fillId="0" borderId="11" xfId="1" applyNumberFormat="1" applyFont="1" applyBorder="1"/>
    <xf numFmtId="0" fontId="3" fillId="0" borderId="0" xfId="0" applyFont="1" applyAlignment="1">
      <alignment vertical="center"/>
    </xf>
    <xf numFmtId="0" fontId="0" fillId="4" borderId="0" xfId="0" applyFill="1" applyAlignment="1">
      <alignment horizontal="center"/>
    </xf>
    <xf numFmtId="0" fontId="2" fillId="8" borderId="0" xfId="0" applyFont="1" applyFill="1"/>
    <xf numFmtId="0" fontId="0" fillId="0" borderId="0" xfId="0" applyAlignment="1">
      <alignment horizontal="left"/>
    </xf>
    <xf numFmtId="0" fontId="2" fillId="9" borderId="0" xfId="0" applyFont="1" applyFill="1"/>
    <xf numFmtId="3" fontId="2" fillId="9" borderId="0" xfId="0" applyNumberFormat="1" applyFont="1" applyFill="1"/>
    <xf numFmtId="0" fontId="2" fillId="3" borderId="0" xfId="0" applyFont="1" applyFill="1"/>
    <xf numFmtId="0" fontId="2" fillId="0" borderId="0" xfId="0" applyFont="1"/>
    <xf numFmtId="3" fontId="3" fillId="8" borderId="0" xfId="0" applyNumberFormat="1" applyFont="1" applyFill="1"/>
    <xf numFmtId="3" fontId="3" fillId="3" borderId="0" xfId="0" applyNumberFormat="1" applyFont="1" applyFill="1"/>
    <xf numFmtId="9" fontId="0" fillId="0" borderId="0" xfId="2" applyFont="1"/>
    <xf numFmtId="0" fontId="0" fillId="0" borderId="0" xfId="0" quotePrefix="1"/>
    <xf numFmtId="0" fontId="0" fillId="10" borderId="0" xfId="0" applyFill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4" borderId="7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7" borderId="0" xfId="0" applyFill="1" applyAlignment="1">
      <alignment horizontal="center"/>
    </xf>
    <xf numFmtId="0" fontId="0" fillId="11" borderId="0" xfId="0" applyFill="1"/>
    <xf numFmtId="3" fontId="0" fillId="11" borderId="0" xfId="0" applyNumberFormat="1" applyFill="1"/>
    <xf numFmtId="0" fontId="0" fillId="12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7348-40FC-8049-98BA-DBC0C41E4051}">
  <dimension ref="A1:I19"/>
  <sheetViews>
    <sheetView tabSelected="1" workbookViewId="0">
      <selection activeCell="C6" sqref="C6"/>
    </sheetView>
  </sheetViews>
  <sheetFormatPr baseColWidth="10" defaultRowHeight="16" x14ac:dyDescent="0.2"/>
  <cols>
    <col min="1" max="1" width="19.1640625" customWidth="1"/>
    <col min="3" max="3" width="12.83203125" customWidth="1"/>
    <col min="5" max="5" width="21.83203125" customWidth="1"/>
  </cols>
  <sheetData>
    <row r="1" spans="1:9" ht="30" customHeight="1" x14ac:dyDescent="0.2">
      <c r="A1" s="43" t="s">
        <v>85</v>
      </c>
      <c r="B1" s="43"/>
      <c r="C1" s="43"/>
      <c r="D1" s="43"/>
      <c r="E1" s="43"/>
      <c r="F1" s="43"/>
      <c r="G1" s="43"/>
    </row>
    <row r="2" spans="1:9" ht="21" customHeight="1" x14ac:dyDescent="0.2">
      <c r="A2" s="44" t="s">
        <v>86</v>
      </c>
      <c r="B2" s="45"/>
      <c r="C2" s="45"/>
      <c r="D2" s="45"/>
      <c r="E2" s="45"/>
      <c r="F2" s="45"/>
      <c r="G2" s="46"/>
    </row>
    <row r="3" spans="1:9" x14ac:dyDescent="0.2">
      <c r="A3" s="47" t="s">
        <v>0</v>
      </c>
      <c r="B3" s="47"/>
      <c r="C3" s="47"/>
      <c r="E3" s="47" t="s">
        <v>1</v>
      </c>
      <c r="F3" s="47"/>
      <c r="G3" s="47"/>
    </row>
    <row r="4" spans="1:9" x14ac:dyDescent="0.2">
      <c r="A4" s="1"/>
      <c r="B4" s="1">
        <v>2020</v>
      </c>
      <c r="C4" s="1">
        <v>2021</v>
      </c>
      <c r="E4" s="1"/>
      <c r="F4" s="1">
        <v>2020</v>
      </c>
      <c r="G4" s="1">
        <v>2021</v>
      </c>
    </row>
    <row r="5" spans="1:9" x14ac:dyDescent="0.2">
      <c r="A5" t="s">
        <v>2</v>
      </c>
      <c r="E5" t="s">
        <v>3</v>
      </c>
    </row>
    <row r="6" spans="1:9" x14ac:dyDescent="0.2">
      <c r="A6" t="s">
        <v>4</v>
      </c>
      <c r="B6">
        <v>50000</v>
      </c>
      <c r="C6" s="58"/>
      <c r="E6" t="s">
        <v>5</v>
      </c>
      <c r="F6">
        <v>130000</v>
      </c>
      <c r="G6">
        <v>160000</v>
      </c>
    </row>
    <row r="7" spans="1:9" x14ac:dyDescent="0.2">
      <c r="A7" t="s">
        <v>6</v>
      </c>
      <c r="B7">
        <v>200000</v>
      </c>
      <c r="C7">
        <v>280000</v>
      </c>
      <c r="E7" t="s">
        <v>7</v>
      </c>
      <c r="F7">
        <v>90000</v>
      </c>
      <c r="G7">
        <v>100000</v>
      </c>
    </row>
    <row r="8" spans="1:9" x14ac:dyDescent="0.2">
      <c r="A8" t="s">
        <v>8</v>
      </c>
      <c r="B8">
        <v>400000</v>
      </c>
      <c r="C8">
        <v>500000</v>
      </c>
      <c r="E8" t="s">
        <v>9</v>
      </c>
      <c r="F8">
        <v>50000</v>
      </c>
      <c r="G8">
        <v>70000</v>
      </c>
    </row>
    <row r="9" spans="1:9" x14ac:dyDescent="0.2">
      <c r="A9" s="2" t="s">
        <v>2</v>
      </c>
      <c r="B9" s="3">
        <f>SUM(B6:B8)</f>
        <v>650000</v>
      </c>
      <c r="C9" s="3">
        <f>SUM(C6:C8)</f>
        <v>780000</v>
      </c>
      <c r="E9" s="2" t="s">
        <v>3</v>
      </c>
      <c r="F9" s="3">
        <f>SUM(F6:F8)</f>
        <v>270000</v>
      </c>
      <c r="G9" s="3">
        <f>SUM(G6:G8)</f>
        <v>330000</v>
      </c>
    </row>
    <row r="11" spans="1:9" x14ac:dyDescent="0.2">
      <c r="A11" t="s">
        <v>10</v>
      </c>
      <c r="E11" t="s">
        <v>11</v>
      </c>
    </row>
    <row r="12" spans="1:9" x14ac:dyDescent="0.2">
      <c r="A12" t="s">
        <v>12</v>
      </c>
      <c r="B12">
        <v>450000</v>
      </c>
      <c r="C12">
        <v>540000</v>
      </c>
      <c r="E12" t="s">
        <v>13</v>
      </c>
      <c r="F12">
        <v>300000</v>
      </c>
      <c r="G12">
        <v>400000</v>
      </c>
    </row>
    <row r="13" spans="1:9" x14ac:dyDescent="0.2">
      <c r="A13" s="3" t="s">
        <v>14</v>
      </c>
      <c r="B13">
        <v>100000</v>
      </c>
      <c r="C13">
        <v>140000</v>
      </c>
      <c r="E13" s="2" t="s">
        <v>11</v>
      </c>
      <c r="F13" s="3">
        <f>F12</f>
        <v>300000</v>
      </c>
      <c r="G13" s="3">
        <f>G12</f>
        <v>400000</v>
      </c>
      <c r="I13" s="4"/>
    </row>
    <row r="14" spans="1:9" x14ac:dyDescent="0.2">
      <c r="A14" s="2" t="s">
        <v>15</v>
      </c>
      <c r="B14" s="3">
        <f>B12-B13</f>
        <v>350000</v>
      </c>
      <c r="C14" s="3">
        <f>C12-C13</f>
        <v>400000</v>
      </c>
      <c r="E14" t="s">
        <v>16</v>
      </c>
    </row>
    <row r="15" spans="1:9" x14ac:dyDescent="0.2">
      <c r="E15" t="s">
        <v>17</v>
      </c>
      <c r="F15">
        <v>350000</v>
      </c>
      <c r="G15">
        <v>350000</v>
      </c>
    </row>
    <row r="16" spans="1:9" x14ac:dyDescent="0.2">
      <c r="E16" t="s">
        <v>18</v>
      </c>
      <c r="F16">
        <v>80000</v>
      </c>
      <c r="G16" s="57"/>
    </row>
    <row r="17" spans="1:7" x14ac:dyDescent="0.2">
      <c r="E17" s="2" t="s">
        <v>19</v>
      </c>
      <c r="F17" s="3">
        <f>SUM(F15:F16)</f>
        <v>430000</v>
      </c>
      <c r="G17" s="3">
        <f>SUM(G15:G16)</f>
        <v>350000</v>
      </c>
    </row>
    <row r="19" spans="1:7" x14ac:dyDescent="0.2">
      <c r="A19" s="5" t="s">
        <v>20</v>
      </c>
      <c r="E19" s="5" t="s">
        <v>21</v>
      </c>
      <c r="F19">
        <f>SUM(F9+F13+F17)</f>
        <v>1000000</v>
      </c>
      <c r="G19">
        <f>SUM(G9+G13+G17)</f>
        <v>1080000</v>
      </c>
    </row>
  </sheetData>
  <mergeCells count="4">
    <mergeCell ref="A1:G1"/>
    <mergeCell ref="A2:G2"/>
    <mergeCell ref="A3:C3"/>
    <mergeCell ref="E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4A7F-2324-E84F-B40E-A85E732B887F}">
  <dimension ref="A1:B14"/>
  <sheetViews>
    <sheetView workbookViewId="0">
      <selection activeCell="E24" sqref="E24"/>
    </sheetView>
  </sheetViews>
  <sheetFormatPr baseColWidth="10" defaultRowHeight="16" x14ac:dyDescent="0.2"/>
  <cols>
    <col min="1" max="1" width="14.6640625" customWidth="1"/>
    <col min="2" max="2" width="14.1640625" customWidth="1"/>
  </cols>
  <sheetData>
    <row r="1" spans="1:2" s="5" customFormat="1" ht="26" customHeight="1" x14ac:dyDescent="0.2">
      <c r="A1" s="31" t="s">
        <v>53</v>
      </c>
    </row>
    <row r="2" spans="1:2" x14ac:dyDescent="0.2">
      <c r="A2" t="s">
        <v>54</v>
      </c>
      <c r="B2" s="29">
        <v>1500000</v>
      </c>
    </row>
    <row r="3" spans="1:2" x14ac:dyDescent="0.2">
      <c r="A3" t="s">
        <v>55</v>
      </c>
      <c r="B3" s="30">
        <v>900000</v>
      </c>
    </row>
    <row r="4" spans="1:2" x14ac:dyDescent="0.2">
      <c r="A4" t="s">
        <v>56</v>
      </c>
      <c r="B4" s="29"/>
    </row>
    <row r="5" spans="1:2" x14ac:dyDescent="0.2">
      <c r="A5" t="s">
        <v>57</v>
      </c>
      <c r="B5" s="30">
        <v>400000</v>
      </c>
    </row>
    <row r="6" spans="1:2" x14ac:dyDescent="0.2">
      <c r="A6" t="s">
        <v>58</v>
      </c>
      <c r="B6" s="29"/>
    </row>
    <row r="7" spans="1:2" x14ac:dyDescent="0.2">
      <c r="A7" t="s">
        <v>30</v>
      </c>
      <c r="B7" s="30">
        <v>40000</v>
      </c>
    </row>
    <row r="8" spans="1:2" x14ac:dyDescent="0.2">
      <c r="A8" t="s">
        <v>59</v>
      </c>
      <c r="B8" s="29"/>
    </row>
    <row r="9" spans="1:2" x14ac:dyDescent="0.2">
      <c r="A9" t="s">
        <v>31</v>
      </c>
      <c r="B9" s="30">
        <v>65000</v>
      </c>
    </row>
    <row r="10" spans="1:2" x14ac:dyDescent="0.2">
      <c r="A10" t="s">
        <v>60</v>
      </c>
      <c r="B10" s="29"/>
    </row>
    <row r="11" spans="1:2" x14ac:dyDescent="0.2">
      <c r="A11" t="s">
        <v>63</v>
      </c>
      <c r="B11" s="29"/>
    </row>
    <row r="12" spans="1:2" x14ac:dyDescent="0.2">
      <c r="A12" t="s">
        <v>28</v>
      </c>
      <c r="B12" s="29"/>
    </row>
    <row r="14" spans="1:2" x14ac:dyDescent="0.2">
      <c r="A14" s="59" t="s">
        <v>82</v>
      </c>
      <c r="B14" s="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EFBF-C4BA-8A48-B353-0718F0D3E83B}">
  <dimension ref="A2:L31"/>
  <sheetViews>
    <sheetView workbookViewId="0">
      <selection activeCell="C37" sqref="C37"/>
    </sheetView>
  </sheetViews>
  <sheetFormatPr baseColWidth="10" defaultColWidth="10.6640625" defaultRowHeight="16" x14ac:dyDescent="0.2"/>
  <cols>
    <col min="1" max="1" width="6.6640625" style="6" customWidth="1"/>
    <col min="2" max="2" width="35.5" customWidth="1"/>
    <col min="3" max="3" width="18" customWidth="1"/>
    <col min="6" max="8" width="0" hidden="1" customWidth="1"/>
  </cols>
  <sheetData>
    <row r="2" spans="1:10" ht="17" thickBot="1" x14ac:dyDescent="0.25">
      <c r="E2" s="5">
        <v>2021</v>
      </c>
    </row>
    <row r="3" spans="1:10" ht="35" thickTop="1" x14ac:dyDescent="0.2">
      <c r="A3" s="7"/>
      <c r="B3" s="8" t="s">
        <v>22</v>
      </c>
      <c r="C3" s="9" t="s">
        <v>23</v>
      </c>
      <c r="D3" s="8" t="s">
        <v>24</v>
      </c>
      <c r="E3" s="10" t="s">
        <v>25</v>
      </c>
    </row>
    <row r="4" spans="1:10" x14ac:dyDescent="0.2">
      <c r="A4" s="11"/>
      <c r="B4" s="12" t="s">
        <v>26</v>
      </c>
      <c r="C4" s="13"/>
      <c r="D4" s="13"/>
      <c r="E4" s="14"/>
    </row>
    <row r="5" spans="1:10" x14ac:dyDescent="0.2">
      <c r="A5" s="11" t="s">
        <v>27</v>
      </c>
      <c r="B5" s="13" t="s">
        <v>28</v>
      </c>
      <c r="C5" s="13" t="s">
        <v>29</v>
      </c>
      <c r="D5" s="13"/>
      <c r="E5" s="15"/>
    </row>
    <row r="6" spans="1:10" x14ac:dyDescent="0.2">
      <c r="A6" s="11" t="s">
        <v>27</v>
      </c>
      <c r="B6" s="13" t="s">
        <v>30</v>
      </c>
      <c r="C6" s="13" t="s">
        <v>29</v>
      </c>
      <c r="D6" s="13"/>
      <c r="E6" s="14"/>
    </row>
    <row r="7" spans="1:10" x14ac:dyDescent="0.2">
      <c r="A7" s="16" t="s">
        <v>27</v>
      </c>
      <c r="B7" s="13" t="s">
        <v>31</v>
      </c>
      <c r="C7" s="13" t="s">
        <v>29</v>
      </c>
      <c r="D7" s="13"/>
      <c r="E7" s="14"/>
    </row>
    <row r="8" spans="1:10" x14ac:dyDescent="0.2">
      <c r="A8" s="11" t="s">
        <v>27</v>
      </c>
      <c r="B8" s="13" t="s">
        <v>32</v>
      </c>
      <c r="C8" s="13" t="s">
        <v>33</v>
      </c>
      <c r="D8" s="17"/>
      <c r="E8" s="14"/>
      <c r="F8" s="48" t="s">
        <v>34</v>
      </c>
      <c r="G8" s="49"/>
      <c r="H8" s="49"/>
    </row>
    <row r="9" spans="1:10" x14ac:dyDescent="0.2">
      <c r="A9" s="11" t="s">
        <v>35</v>
      </c>
      <c r="B9" s="13" t="s">
        <v>36</v>
      </c>
      <c r="C9" s="13" t="s">
        <v>33</v>
      </c>
      <c r="D9" s="13"/>
      <c r="E9" s="14"/>
      <c r="F9" s="48"/>
      <c r="G9" s="49"/>
      <c r="H9" s="49"/>
    </row>
    <row r="10" spans="1:10" x14ac:dyDescent="0.2">
      <c r="A10" s="11" t="s">
        <v>35</v>
      </c>
      <c r="B10" s="13" t="s">
        <v>37</v>
      </c>
      <c r="C10" s="13" t="s">
        <v>33</v>
      </c>
      <c r="D10" s="13"/>
      <c r="E10" s="14"/>
      <c r="F10" s="48"/>
      <c r="G10" s="49"/>
      <c r="H10" s="49"/>
    </row>
    <row r="11" spans="1:10" x14ac:dyDescent="0.2">
      <c r="A11" s="11" t="s">
        <v>27</v>
      </c>
      <c r="B11" s="18" t="s">
        <v>61</v>
      </c>
      <c r="C11" s="18" t="s">
        <v>33</v>
      </c>
      <c r="D11" s="18"/>
      <c r="E11" s="19"/>
      <c r="F11" s="48"/>
      <c r="G11" s="49"/>
      <c r="H11" s="49"/>
    </row>
    <row r="12" spans="1:10" x14ac:dyDescent="0.2">
      <c r="A12" s="11" t="s">
        <v>35</v>
      </c>
      <c r="B12" s="13" t="s">
        <v>38</v>
      </c>
      <c r="C12" s="13" t="s">
        <v>33</v>
      </c>
      <c r="D12" s="13"/>
      <c r="E12" s="14" t="s">
        <v>62</v>
      </c>
      <c r="F12" s="48"/>
      <c r="G12" s="49"/>
      <c r="H12" s="49"/>
    </row>
    <row r="13" spans="1:10" x14ac:dyDescent="0.2">
      <c r="A13" s="11"/>
      <c r="B13" s="20" t="s">
        <v>39</v>
      </c>
      <c r="C13" s="13"/>
      <c r="D13" s="13"/>
      <c r="E13" s="15"/>
      <c r="J13" s="21"/>
    </row>
    <row r="14" spans="1:10" ht="19" customHeight="1" x14ac:dyDescent="0.2">
      <c r="A14" s="50"/>
      <c r="B14" s="51"/>
      <c r="C14" s="51"/>
      <c r="D14" s="51"/>
      <c r="E14" s="52"/>
    </row>
    <row r="15" spans="1:10" ht="34" x14ac:dyDescent="0.2">
      <c r="A15" s="11"/>
      <c r="B15" s="22" t="s">
        <v>40</v>
      </c>
      <c r="C15" s="13"/>
      <c r="D15" s="13"/>
      <c r="E15" s="14"/>
    </row>
    <row r="16" spans="1:10" x14ac:dyDescent="0.2">
      <c r="A16" s="11" t="s">
        <v>35</v>
      </c>
      <c r="B16" s="13" t="s">
        <v>41</v>
      </c>
      <c r="C16" s="13" t="s">
        <v>33</v>
      </c>
      <c r="D16" s="13"/>
      <c r="E16" s="14"/>
      <c r="J16" s="41"/>
    </row>
    <row r="17" spans="1:12" x14ac:dyDescent="0.2">
      <c r="A17" s="11"/>
      <c r="B17" s="20" t="s">
        <v>42</v>
      </c>
      <c r="C17" s="13"/>
      <c r="D17" s="13"/>
      <c r="E17" s="14"/>
    </row>
    <row r="18" spans="1:12" x14ac:dyDescent="0.2">
      <c r="A18" s="50"/>
      <c r="B18" s="51"/>
      <c r="C18" s="51"/>
      <c r="D18" s="51"/>
      <c r="E18" s="52"/>
    </row>
    <row r="19" spans="1:12" x14ac:dyDescent="0.2">
      <c r="A19" s="11"/>
      <c r="B19" s="12" t="s">
        <v>43</v>
      </c>
      <c r="C19" s="13"/>
      <c r="D19" s="13"/>
    </row>
    <row r="20" spans="1:12" x14ac:dyDescent="0.2">
      <c r="A20" s="11" t="s">
        <v>27</v>
      </c>
      <c r="B20" s="13" t="s">
        <v>44</v>
      </c>
      <c r="C20" s="13" t="s">
        <v>33</v>
      </c>
      <c r="D20" s="13"/>
      <c r="E20" s="14"/>
      <c r="H20" s="21"/>
      <c r="J20" s="23"/>
    </row>
    <row r="21" spans="1:12" x14ac:dyDescent="0.2">
      <c r="A21" s="11" t="s">
        <v>27</v>
      </c>
      <c r="B21" s="13" t="s">
        <v>45</v>
      </c>
      <c r="C21" s="13" t="s">
        <v>33</v>
      </c>
      <c r="D21" s="13"/>
      <c r="E21" s="24"/>
      <c r="J21" s="23"/>
    </row>
    <row r="22" spans="1:12" x14ac:dyDescent="0.2">
      <c r="A22" s="11" t="s">
        <v>27</v>
      </c>
      <c r="B22" s="13" t="s">
        <v>46</v>
      </c>
      <c r="C22" s="13" t="s">
        <v>33</v>
      </c>
      <c r="D22" s="13"/>
      <c r="E22" s="24"/>
      <c r="J22" s="23"/>
    </row>
    <row r="23" spans="1:12" x14ac:dyDescent="0.2">
      <c r="A23" s="11" t="s">
        <v>35</v>
      </c>
      <c r="B23" s="13" t="s">
        <v>47</v>
      </c>
      <c r="C23" s="13" t="s">
        <v>29</v>
      </c>
      <c r="D23" s="20"/>
      <c r="E23" s="15"/>
      <c r="J23" s="23"/>
    </row>
    <row r="24" spans="1:12" x14ac:dyDescent="0.2">
      <c r="A24" s="11" t="s">
        <v>35</v>
      </c>
      <c r="B24" s="13" t="s">
        <v>31</v>
      </c>
      <c r="C24" s="13" t="s">
        <v>29</v>
      </c>
      <c r="D24" s="20"/>
      <c r="E24" s="15"/>
      <c r="J24" s="23"/>
      <c r="L24" t="s">
        <v>48</v>
      </c>
    </row>
    <row r="25" spans="1:12" x14ac:dyDescent="0.2">
      <c r="A25" s="16" t="s">
        <v>27</v>
      </c>
      <c r="B25" s="20" t="s">
        <v>49</v>
      </c>
      <c r="C25" s="13"/>
      <c r="D25" s="13"/>
      <c r="E25" s="15"/>
      <c r="J25" s="23"/>
      <c r="L25" s="21"/>
    </row>
    <row r="26" spans="1:12" x14ac:dyDescent="0.2">
      <c r="A26" s="50"/>
      <c r="B26" s="51"/>
      <c r="C26" s="51"/>
      <c r="D26" s="51"/>
      <c r="E26" s="52"/>
    </row>
    <row r="27" spans="1:12" x14ac:dyDescent="0.2">
      <c r="A27" s="11"/>
      <c r="B27" s="25" t="s">
        <v>50</v>
      </c>
      <c r="C27" s="13"/>
      <c r="D27" s="13"/>
      <c r="E27" s="15"/>
      <c r="J27" s="21"/>
    </row>
    <row r="28" spans="1:12" x14ac:dyDescent="0.2">
      <c r="A28" s="11"/>
      <c r="B28" s="25" t="s">
        <v>51</v>
      </c>
      <c r="C28" s="13"/>
      <c r="D28" s="13"/>
      <c r="E28" s="14"/>
    </row>
    <row r="29" spans="1:12" x14ac:dyDescent="0.2">
      <c r="A29" s="11"/>
      <c r="B29" s="25" t="s">
        <v>52</v>
      </c>
      <c r="C29" s="13"/>
      <c r="D29" s="13"/>
      <c r="E29" s="15"/>
      <c r="J29" s="21"/>
    </row>
    <row r="30" spans="1:12" ht="17" thickBot="1" x14ac:dyDescent="0.25">
      <c r="A30" s="26"/>
      <c r="B30" s="27"/>
      <c r="C30" s="27"/>
      <c r="D30" s="27"/>
      <c r="E30" s="28"/>
    </row>
    <row r="31" spans="1:12" ht="17" thickTop="1" x14ac:dyDescent="0.2"/>
  </sheetData>
  <mergeCells count="4">
    <mergeCell ref="F8:H12"/>
    <mergeCell ref="A14:E14"/>
    <mergeCell ref="A18:E18"/>
    <mergeCell ref="A26:E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DD51-ED11-F343-951D-8EE0273FCFE9}">
  <dimension ref="A1:M10"/>
  <sheetViews>
    <sheetView workbookViewId="0">
      <selection activeCell="M27" sqref="M27"/>
    </sheetView>
  </sheetViews>
  <sheetFormatPr baseColWidth="10" defaultColWidth="11" defaultRowHeight="16" x14ac:dyDescent="0.2"/>
  <cols>
    <col min="1" max="1" width="12.6640625" customWidth="1"/>
    <col min="2" max="2" width="12.33203125" customWidth="1"/>
    <col min="7" max="7" width="13" customWidth="1"/>
    <col min="9" max="10" width="15" customWidth="1"/>
    <col min="11" max="11" width="14.33203125" customWidth="1"/>
    <col min="13" max="13" width="50.33203125" customWidth="1"/>
  </cols>
  <sheetData>
    <row r="1" spans="1:13" x14ac:dyDescent="0.2">
      <c r="B1" s="53" t="s">
        <v>64</v>
      </c>
      <c r="C1" s="53"/>
      <c r="D1" s="53"/>
      <c r="E1" s="53"/>
      <c r="F1" s="32"/>
      <c r="G1" s="54" t="s">
        <v>65</v>
      </c>
      <c r="H1" s="54"/>
      <c r="I1" s="54"/>
      <c r="J1" s="56" t="s">
        <v>66</v>
      </c>
      <c r="K1" s="56"/>
    </row>
    <row r="2" spans="1:13" x14ac:dyDescent="0.2"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81</v>
      </c>
      <c r="K2" t="s">
        <v>75</v>
      </c>
    </row>
    <row r="3" spans="1:13" x14ac:dyDescent="0.2">
      <c r="A3" s="33" t="s">
        <v>76</v>
      </c>
      <c r="B3" s="21"/>
      <c r="L3" s="39"/>
    </row>
    <row r="4" spans="1:13" x14ac:dyDescent="0.2">
      <c r="A4" s="38"/>
      <c r="B4" s="21"/>
      <c r="L4" s="21"/>
    </row>
    <row r="5" spans="1:13" x14ac:dyDescent="0.2">
      <c r="B5" s="55" t="s">
        <v>77</v>
      </c>
      <c r="C5" s="55"/>
      <c r="D5" s="55"/>
      <c r="E5" s="55"/>
      <c r="F5" s="34"/>
      <c r="G5" t="s">
        <v>78</v>
      </c>
    </row>
    <row r="6" spans="1:13" x14ac:dyDescent="0.2">
      <c r="A6" s="35" t="s">
        <v>79</v>
      </c>
      <c r="B6" s="21"/>
      <c r="L6" s="36"/>
    </row>
    <row r="9" spans="1:13" x14ac:dyDescent="0.2">
      <c r="A9" s="37" t="s">
        <v>80</v>
      </c>
      <c r="L9" s="40"/>
      <c r="M9" s="38" t="s">
        <v>84</v>
      </c>
    </row>
    <row r="10" spans="1:13" x14ac:dyDescent="0.2">
      <c r="M10" s="5" t="s">
        <v>83</v>
      </c>
    </row>
  </sheetData>
  <mergeCells count="4">
    <mergeCell ref="B1:E1"/>
    <mergeCell ref="G1:I1"/>
    <mergeCell ref="J1:K1"/>
    <mergeCell ref="B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2705-CEC7-6E4F-B46A-BE4B99297741}">
  <dimension ref="A2:C7"/>
  <sheetViews>
    <sheetView workbookViewId="0">
      <selection activeCell="H24" sqref="H24"/>
    </sheetView>
  </sheetViews>
  <sheetFormatPr baseColWidth="10" defaultRowHeight="16" x14ac:dyDescent="0.2"/>
  <cols>
    <col min="1" max="1" width="19.33203125" customWidth="1"/>
  </cols>
  <sheetData>
    <row r="2" spans="1:3" x14ac:dyDescent="0.2">
      <c r="A2" t="s">
        <v>87</v>
      </c>
      <c r="B2" s="42" t="s">
        <v>88</v>
      </c>
    </row>
    <row r="3" spans="1:3" x14ac:dyDescent="0.2">
      <c r="A3" t="s">
        <v>89</v>
      </c>
      <c r="C3" t="s">
        <v>90</v>
      </c>
    </row>
    <row r="5" spans="1:3" x14ac:dyDescent="0.2">
      <c r="B5">
        <v>2020</v>
      </c>
      <c r="C5">
        <v>2021</v>
      </c>
    </row>
    <row r="6" spans="1:3" x14ac:dyDescent="0.2">
      <c r="A6" t="s">
        <v>91</v>
      </c>
    </row>
    <row r="7" spans="1:3" x14ac:dyDescent="0.2">
      <c r="A7" t="s">
        <v>92</v>
      </c>
      <c r="C7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39A2-7F41-F34D-ACBB-74BB27982ADF}">
  <dimension ref="A1:I19"/>
  <sheetViews>
    <sheetView workbookViewId="0">
      <selection sqref="A1:XFD1048576"/>
    </sheetView>
  </sheetViews>
  <sheetFormatPr baseColWidth="10" defaultRowHeight="16" x14ac:dyDescent="0.2"/>
  <cols>
    <col min="1" max="1" width="19.1640625" customWidth="1"/>
    <col min="3" max="3" width="12.83203125" customWidth="1"/>
    <col min="5" max="5" width="21.83203125" customWidth="1"/>
  </cols>
  <sheetData>
    <row r="1" spans="1:9" ht="30" customHeight="1" x14ac:dyDescent="0.2">
      <c r="A1" s="43" t="s">
        <v>85</v>
      </c>
      <c r="B1" s="43"/>
      <c r="C1" s="43"/>
      <c r="D1" s="43"/>
      <c r="E1" s="43"/>
      <c r="F1" s="43"/>
      <c r="G1" s="43"/>
    </row>
    <row r="2" spans="1:9" ht="21" customHeight="1" x14ac:dyDescent="0.2">
      <c r="A2" s="44" t="s">
        <v>86</v>
      </c>
      <c r="B2" s="45"/>
      <c r="C2" s="45"/>
      <c r="D2" s="45"/>
      <c r="E2" s="45"/>
      <c r="F2" s="45"/>
      <c r="G2" s="46"/>
    </row>
    <row r="3" spans="1:9" x14ac:dyDescent="0.2">
      <c r="A3" s="47" t="s">
        <v>0</v>
      </c>
      <c r="B3" s="47"/>
      <c r="C3" s="47"/>
      <c r="E3" s="47" t="s">
        <v>1</v>
      </c>
      <c r="F3" s="47"/>
      <c r="G3" s="47"/>
    </row>
    <row r="4" spans="1:9" x14ac:dyDescent="0.2">
      <c r="A4" s="1"/>
      <c r="B4" s="1">
        <v>2020</v>
      </c>
      <c r="C4" s="1">
        <v>2021</v>
      </c>
      <c r="E4" s="1"/>
      <c r="F4" s="1">
        <v>2020</v>
      </c>
      <c r="G4" s="1">
        <v>2021</v>
      </c>
    </row>
    <row r="5" spans="1:9" x14ac:dyDescent="0.2">
      <c r="A5" t="s">
        <v>2</v>
      </c>
      <c r="E5" t="s">
        <v>3</v>
      </c>
    </row>
    <row r="6" spans="1:9" x14ac:dyDescent="0.2">
      <c r="A6" t="s">
        <v>4</v>
      </c>
      <c r="B6">
        <v>50000</v>
      </c>
      <c r="C6" s="21">
        <f>'Statement of Cash Flows_ANS'!E29</f>
        <v>46500</v>
      </c>
      <c r="E6" t="s">
        <v>5</v>
      </c>
      <c r="F6">
        <v>130000</v>
      </c>
      <c r="G6">
        <v>160000</v>
      </c>
    </row>
    <row r="7" spans="1:9" x14ac:dyDescent="0.2">
      <c r="A7" t="s">
        <v>6</v>
      </c>
      <c r="B7">
        <v>200000</v>
      </c>
      <c r="C7">
        <v>280000</v>
      </c>
      <c r="E7" t="s">
        <v>7</v>
      </c>
      <c r="F7">
        <v>90000</v>
      </c>
      <c r="G7">
        <v>100000</v>
      </c>
    </row>
    <row r="8" spans="1:9" x14ac:dyDescent="0.2">
      <c r="A8" t="s">
        <v>8</v>
      </c>
      <c r="B8">
        <v>400000</v>
      </c>
      <c r="C8">
        <v>500000</v>
      </c>
      <c r="E8" t="s">
        <v>9</v>
      </c>
      <c r="F8">
        <v>50000</v>
      </c>
      <c r="G8">
        <v>70000</v>
      </c>
    </row>
    <row r="9" spans="1:9" x14ac:dyDescent="0.2">
      <c r="A9" s="2" t="s">
        <v>2</v>
      </c>
      <c r="B9" s="3">
        <f>SUM(B6:B8)</f>
        <v>650000</v>
      </c>
      <c r="C9" s="3">
        <f>SUM(C6:C8)</f>
        <v>826500</v>
      </c>
      <c r="E9" s="2" t="s">
        <v>3</v>
      </c>
      <c r="F9" s="3">
        <f>SUM(F6:F8)</f>
        <v>270000</v>
      </c>
      <c r="G9" s="3">
        <f>SUM(G6:G8)</f>
        <v>330000</v>
      </c>
    </row>
    <row r="11" spans="1:9" x14ac:dyDescent="0.2">
      <c r="A11" t="s">
        <v>10</v>
      </c>
      <c r="E11" t="s">
        <v>11</v>
      </c>
    </row>
    <row r="12" spans="1:9" x14ac:dyDescent="0.2">
      <c r="A12" t="s">
        <v>12</v>
      </c>
      <c r="B12">
        <v>450000</v>
      </c>
      <c r="C12">
        <v>540000</v>
      </c>
      <c r="E12" t="s">
        <v>13</v>
      </c>
      <c r="F12">
        <v>300000</v>
      </c>
      <c r="G12">
        <v>400000</v>
      </c>
    </row>
    <row r="13" spans="1:9" x14ac:dyDescent="0.2">
      <c r="A13" s="3" t="s">
        <v>14</v>
      </c>
      <c r="B13">
        <v>100000</v>
      </c>
      <c r="C13">
        <v>140000</v>
      </c>
      <c r="E13" s="2" t="s">
        <v>11</v>
      </c>
      <c r="F13" s="3">
        <f>F12</f>
        <v>300000</v>
      </c>
      <c r="G13" s="3">
        <f>G12</f>
        <v>400000</v>
      </c>
      <c r="I13" s="4"/>
    </row>
    <row r="14" spans="1:9" x14ac:dyDescent="0.2">
      <c r="A14" s="2" t="s">
        <v>15</v>
      </c>
      <c r="B14" s="3">
        <f>B12-B13</f>
        <v>350000</v>
      </c>
      <c r="C14" s="3">
        <f>C12-C13</f>
        <v>400000</v>
      </c>
      <c r="E14" t="s">
        <v>16</v>
      </c>
    </row>
    <row r="15" spans="1:9" x14ac:dyDescent="0.2">
      <c r="E15" t="s">
        <v>17</v>
      </c>
      <c r="F15">
        <v>350000</v>
      </c>
      <c r="G15">
        <v>350000</v>
      </c>
    </row>
    <row r="16" spans="1:9" x14ac:dyDescent="0.2">
      <c r="E16" t="s">
        <v>18</v>
      </c>
      <c r="F16">
        <v>80000</v>
      </c>
      <c r="G16">
        <f>F16+'Income Statement_ANS'!B12</f>
        <v>146500</v>
      </c>
    </row>
    <row r="17" spans="1:7" x14ac:dyDescent="0.2">
      <c r="E17" s="2" t="s">
        <v>19</v>
      </c>
      <c r="F17" s="3">
        <f>SUM(F15:F16)</f>
        <v>430000</v>
      </c>
      <c r="G17" s="3">
        <f>SUM(G15:G16)</f>
        <v>496500</v>
      </c>
    </row>
    <row r="19" spans="1:7" x14ac:dyDescent="0.2">
      <c r="A19" s="5" t="s">
        <v>20</v>
      </c>
      <c r="B19">
        <f>B9+B14</f>
        <v>1000000</v>
      </c>
      <c r="C19">
        <f>C9+C14</f>
        <v>1226500</v>
      </c>
      <c r="E19" s="5" t="s">
        <v>21</v>
      </c>
      <c r="F19">
        <f>SUM(F9+F13+F17)</f>
        <v>1000000</v>
      </c>
      <c r="G19">
        <f>SUM(G9+G13+G17)</f>
        <v>1226500</v>
      </c>
    </row>
  </sheetData>
  <mergeCells count="4">
    <mergeCell ref="A3:C3"/>
    <mergeCell ref="E3:G3"/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0723-1A1C-9A47-BC25-84AA689E7A2C}">
  <dimension ref="A1:B14"/>
  <sheetViews>
    <sheetView workbookViewId="0">
      <selection sqref="A1:XFD1048576"/>
    </sheetView>
  </sheetViews>
  <sheetFormatPr baseColWidth="10" defaultRowHeight="16" x14ac:dyDescent="0.2"/>
  <cols>
    <col min="1" max="1" width="14.6640625" customWidth="1"/>
    <col min="2" max="2" width="14.1640625" customWidth="1"/>
  </cols>
  <sheetData>
    <row r="1" spans="1:2" s="5" customFormat="1" ht="26" customHeight="1" x14ac:dyDescent="0.2">
      <c r="A1" s="31" t="s">
        <v>53</v>
      </c>
    </row>
    <row r="2" spans="1:2" x14ac:dyDescent="0.2">
      <c r="A2" t="s">
        <v>54</v>
      </c>
      <c r="B2" s="29">
        <v>1500000</v>
      </c>
    </row>
    <row r="3" spans="1:2" x14ac:dyDescent="0.2">
      <c r="A3" t="s">
        <v>55</v>
      </c>
      <c r="B3" s="30">
        <v>900000</v>
      </c>
    </row>
    <row r="4" spans="1:2" x14ac:dyDescent="0.2">
      <c r="A4" t="s">
        <v>56</v>
      </c>
      <c r="B4" s="29">
        <f>B2-B3</f>
        <v>600000</v>
      </c>
    </row>
    <row r="5" spans="1:2" x14ac:dyDescent="0.2">
      <c r="A5" t="s">
        <v>57</v>
      </c>
      <c r="B5" s="30">
        <v>400000</v>
      </c>
    </row>
    <row r="6" spans="1:2" x14ac:dyDescent="0.2">
      <c r="A6" t="s">
        <v>58</v>
      </c>
      <c r="B6" s="29">
        <f>B4-B5</f>
        <v>200000</v>
      </c>
    </row>
    <row r="7" spans="1:2" x14ac:dyDescent="0.2">
      <c r="A7" t="s">
        <v>30</v>
      </c>
      <c r="B7" s="30">
        <v>40000</v>
      </c>
    </row>
    <row r="8" spans="1:2" x14ac:dyDescent="0.2">
      <c r="A8" t="s">
        <v>59</v>
      </c>
      <c r="B8" s="29">
        <f>B6-B7</f>
        <v>160000</v>
      </c>
    </row>
    <row r="9" spans="1:2" x14ac:dyDescent="0.2">
      <c r="A9" t="s">
        <v>31</v>
      </c>
      <c r="B9" s="30">
        <v>65000</v>
      </c>
    </row>
    <row r="10" spans="1:2" x14ac:dyDescent="0.2">
      <c r="A10" t="s">
        <v>60</v>
      </c>
      <c r="B10" s="29">
        <f>B8-B9</f>
        <v>95000</v>
      </c>
    </row>
    <row r="11" spans="1:2" x14ac:dyDescent="0.2">
      <c r="A11" t="s">
        <v>63</v>
      </c>
      <c r="B11" s="29">
        <f>0.3*B10</f>
        <v>28500</v>
      </c>
    </row>
    <row r="12" spans="1:2" x14ac:dyDescent="0.2">
      <c r="A12" t="s">
        <v>28</v>
      </c>
      <c r="B12" s="29">
        <f>B10-B11</f>
        <v>66500</v>
      </c>
    </row>
    <row r="14" spans="1:2" x14ac:dyDescent="0.2">
      <c r="A14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2FEF-4C9D-1140-BCB6-0CB361809E87}">
  <dimension ref="A2:L31"/>
  <sheetViews>
    <sheetView topLeftCell="A3" workbookViewId="0">
      <selection activeCell="A3" sqref="A1:XFD1048576"/>
    </sheetView>
  </sheetViews>
  <sheetFormatPr baseColWidth="10" defaultColWidth="10.6640625" defaultRowHeight="16" x14ac:dyDescent="0.2"/>
  <cols>
    <col min="1" max="1" width="6.6640625" style="6" customWidth="1"/>
    <col min="2" max="2" width="35.5" customWidth="1"/>
    <col min="3" max="3" width="18" customWidth="1"/>
    <col min="6" max="8" width="0" hidden="1" customWidth="1"/>
  </cols>
  <sheetData>
    <row r="2" spans="1:10" ht="17" thickBot="1" x14ac:dyDescent="0.25">
      <c r="E2" s="5">
        <v>2021</v>
      </c>
    </row>
    <row r="3" spans="1:10" ht="35" thickTop="1" x14ac:dyDescent="0.2">
      <c r="A3" s="7"/>
      <c r="B3" s="8" t="s">
        <v>22</v>
      </c>
      <c r="C3" s="9" t="s">
        <v>23</v>
      </c>
      <c r="D3" s="8" t="s">
        <v>24</v>
      </c>
      <c r="E3" s="10" t="s">
        <v>25</v>
      </c>
    </row>
    <row r="4" spans="1:10" x14ac:dyDescent="0.2">
      <c r="A4" s="11"/>
      <c r="B4" s="12" t="s">
        <v>26</v>
      </c>
      <c r="C4" s="13"/>
      <c r="D4" s="13"/>
      <c r="E4" s="14"/>
    </row>
    <row r="5" spans="1:10" x14ac:dyDescent="0.2">
      <c r="A5" s="11" t="s">
        <v>27</v>
      </c>
      <c r="B5" s="13" t="s">
        <v>28</v>
      </c>
      <c r="C5" s="13" t="s">
        <v>29</v>
      </c>
      <c r="D5" s="13"/>
      <c r="E5" s="15">
        <f>'Income Statement_ANS'!B12</f>
        <v>66500</v>
      </c>
    </row>
    <row r="6" spans="1:10" x14ac:dyDescent="0.2">
      <c r="A6" s="11" t="s">
        <v>27</v>
      </c>
      <c r="B6" s="13" t="s">
        <v>30</v>
      </c>
      <c r="C6" s="13" t="s">
        <v>29</v>
      </c>
      <c r="D6" s="13"/>
      <c r="E6" s="14">
        <f>'Income Statement_ANS'!B7</f>
        <v>40000</v>
      </c>
    </row>
    <row r="7" spans="1:10" x14ac:dyDescent="0.2">
      <c r="A7" s="16" t="s">
        <v>27</v>
      </c>
      <c r="B7" s="13" t="s">
        <v>31</v>
      </c>
      <c r="C7" s="13" t="s">
        <v>29</v>
      </c>
      <c r="D7" s="13"/>
      <c r="E7" s="14">
        <f>'Income Statement_ANS'!B9</f>
        <v>65000</v>
      </c>
    </row>
    <row r="8" spans="1:10" x14ac:dyDescent="0.2">
      <c r="A8" s="11" t="s">
        <v>27</v>
      </c>
      <c r="B8" s="13" t="s">
        <v>32</v>
      </c>
      <c r="C8" s="13" t="s">
        <v>33</v>
      </c>
      <c r="D8" s="17"/>
      <c r="E8" s="14">
        <f>('Balance Sheet_ANS'!G6-'Balance Sheet_ANS'!F6)</f>
        <v>30000</v>
      </c>
      <c r="F8" s="48" t="s">
        <v>34</v>
      </c>
      <c r="G8" s="49"/>
      <c r="H8" s="49"/>
    </row>
    <row r="9" spans="1:10" x14ac:dyDescent="0.2">
      <c r="A9" s="11" t="s">
        <v>35</v>
      </c>
      <c r="B9" s="13" t="s">
        <v>36</v>
      </c>
      <c r="C9" s="13" t="s">
        <v>33</v>
      </c>
      <c r="D9" s="13"/>
      <c r="E9" s="14">
        <f>'Balance Sheet_ANS'!C7-'Balance Sheet_ANS'!B7</f>
        <v>80000</v>
      </c>
      <c r="F9" s="48"/>
      <c r="G9" s="49"/>
      <c r="H9" s="49"/>
    </row>
    <row r="10" spans="1:10" x14ac:dyDescent="0.2">
      <c r="A10" s="11" t="s">
        <v>35</v>
      </c>
      <c r="B10" s="13" t="s">
        <v>37</v>
      </c>
      <c r="C10" s="13" t="s">
        <v>33</v>
      </c>
      <c r="D10" s="13"/>
      <c r="E10" s="14">
        <f>'Balance Sheet_ANS'!C8-'Balance Sheet_ANS'!B8</f>
        <v>100000</v>
      </c>
      <c r="F10" s="48"/>
      <c r="G10" s="49"/>
      <c r="H10" s="49"/>
    </row>
    <row r="11" spans="1:10" x14ac:dyDescent="0.2">
      <c r="A11" s="11" t="s">
        <v>27</v>
      </c>
      <c r="B11" s="18" t="s">
        <v>61</v>
      </c>
      <c r="C11" s="18" t="s">
        <v>33</v>
      </c>
      <c r="D11" s="18"/>
      <c r="E11" s="19">
        <f>'Balance Sheet_ANS'!G8-'Balance Sheet_ANS'!F8</f>
        <v>20000</v>
      </c>
      <c r="F11" s="48"/>
      <c r="G11" s="49"/>
      <c r="H11" s="49"/>
    </row>
    <row r="12" spans="1:10" x14ac:dyDescent="0.2">
      <c r="A12" s="11" t="s">
        <v>35</v>
      </c>
      <c r="B12" s="13" t="s">
        <v>38</v>
      </c>
      <c r="C12" s="13" t="s">
        <v>33</v>
      </c>
      <c r="D12" s="13"/>
      <c r="E12" s="14" t="s">
        <v>62</v>
      </c>
      <c r="F12" s="48"/>
      <c r="G12" s="49"/>
      <c r="H12" s="49"/>
    </row>
    <row r="13" spans="1:10" x14ac:dyDescent="0.2">
      <c r="A13" s="11"/>
      <c r="B13" s="20" t="s">
        <v>39</v>
      </c>
      <c r="C13" s="13"/>
      <c r="D13" s="13"/>
      <c r="E13" s="15">
        <f>E5+E6+E7+E8-E9-E10+E11</f>
        <v>41500</v>
      </c>
      <c r="J13" s="21"/>
    </row>
    <row r="14" spans="1:10" ht="19" customHeight="1" x14ac:dyDescent="0.2">
      <c r="A14" s="50"/>
      <c r="B14" s="51"/>
      <c r="C14" s="51"/>
      <c r="D14" s="51"/>
      <c r="E14" s="52"/>
    </row>
    <row r="15" spans="1:10" ht="34" x14ac:dyDescent="0.2">
      <c r="A15" s="11"/>
      <c r="B15" s="22" t="s">
        <v>40</v>
      </c>
      <c r="C15" s="13"/>
      <c r="D15" s="13"/>
      <c r="E15" s="14"/>
    </row>
    <row r="16" spans="1:10" x14ac:dyDescent="0.2">
      <c r="A16" s="11" t="s">
        <v>35</v>
      </c>
      <c r="B16" s="13" t="s">
        <v>41</v>
      </c>
      <c r="C16" s="13" t="s">
        <v>33</v>
      </c>
      <c r="D16" s="13"/>
      <c r="E16" s="14">
        <f>'Balance Sheet_ANS'!C12-'Balance Sheet_ANS'!B12</f>
        <v>90000</v>
      </c>
      <c r="J16" s="41"/>
    </row>
    <row r="17" spans="1:12" x14ac:dyDescent="0.2">
      <c r="A17" s="11"/>
      <c r="B17" s="20" t="s">
        <v>42</v>
      </c>
      <c r="C17" s="13"/>
      <c r="D17" s="13"/>
      <c r="E17" s="14">
        <f>-E16</f>
        <v>-90000</v>
      </c>
    </row>
    <row r="18" spans="1:12" x14ac:dyDescent="0.2">
      <c r="A18" s="50"/>
      <c r="B18" s="51"/>
      <c r="C18" s="51"/>
      <c r="D18" s="51"/>
      <c r="E18" s="52"/>
    </row>
    <row r="19" spans="1:12" x14ac:dyDescent="0.2">
      <c r="A19" s="11"/>
      <c r="B19" s="12" t="s">
        <v>43</v>
      </c>
      <c r="C19" s="13"/>
      <c r="D19" s="13"/>
    </row>
    <row r="20" spans="1:12" x14ac:dyDescent="0.2">
      <c r="A20" s="11" t="s">
        <v>27</v>
      </c>
      <c r="B20" s="13" t="s">
        <v>44</v>
      </c>
      <c r="C20" s="13" t="s">
        <v>33</v>
      </c>
      <c r="D20" s="13"/>
      <c r="E20" s="14">
        <f>'Balance Sheet_ANS'!G7-'Balance Sheet_ANS'!F7</f>
        <v>10000</v>
      </c>
      <c r="H20" s="21"/>
      <c r="J20" s="23"/>
    </row>
    <row r="21" spans="1:12" x14ac:dyDescent="0.2">
      <c r="A21" s="11" t="s">
        <v>27</v>
      </c>
      <c r="B21" s="13" t="s">
        <v>45</v>
      </c>
      <c r="C21" s="13" t="s">
        <v>33</v>
      </c>
      <c r="D21" s="13"/>
      <c r="E21" s="24">
        <f>'Balance Sheet_ANS'!G13-'Balance Sheet_ANS'!F13</f>
        <v>100000</v>
      </c>
      <c r="J21" s="23"/>
    </row>
    <row r="22" spans="1:12" x14ac:dyDescent="0.2">
      <c r="A22" s="11" t="s">
        <v>27</v>
      </c>
      <c r="B22" s="13" t="s">
        <v>46</v>
      </c>
      <c r="C22" s="13" t="s">
        <v>33</v>
      </c>
      <c r="D22" s="13"/>
      <c r="E22" s="24">
        <f>'Balance Sheet_ANS'!G15-'Balance Sheet_ANS'!F15</f>
        <v>0</v>
      </c>
      <c r="J22" s="23"/>
    </row>
    <row r="23" spans="1:12" x14ac:dyDescent="0.2">
      <c r="A23" s="11" t="s">
        <v>35</v>
      </c>
      <c r="B23" s="13" t="s">
        <v>47</v>
      </c>
      <c r="C23" s="13" t="s">
        <v>29</v>
      </c>
      <c r="D23" s="20"/>
      <c r="E23" s="15">
        <v>0</v>
      </c>
      <c r="J23" s="23"/>
    </row>
    <row r="24" spans="1:12" x14ac:dyDescent="0.2">
      <c r="A24" s="11" t="s">
        <v>35</v>
      </c>
      <c r="B24" s="13" t="s">
        <v>31</v>
      </c>
      <c r="C24" s="13" t="s">
        <v>29</v>
      </c>
      <c r="D24" s="20"/>
      <c r="E24" s="15">
        <f>'Income Statement_ANS'!B9</f>
        <v>65000</v>
      </c>
      <c r="J24" s="23"/>
      <c r="L24" t="s">
        <v>48</v>
      </c>
    </row>
    <row r="25" spans="1:12" x14ac:dyDescent="0.2">
      <c r="A25" s="16" t="s">
        <v>27</v>
      </c>
      <c r="B25" s="20" t="s">
        <v>49</v>
      </c>
      <c r="C25" s="13"/>
      <c r="D25" s="13"/>
      <c r="E25" s="15">
        <f>E20+E21+E22-E23-E24</f>
        <v>45000</v>
      </c>
      <c r="J25" s="23"/>
      <c r="L25" s="21"/>
    </row>
    <row r="26" spans="1:12" x14ac:dyDescent="0.2">
      <c r="A26" s="50"/>
      <c r="B26" s="51"/>
      <c r="C26" s="51"/>
      <c r="D26" s="51"/>
      <c r="E26" s="52"/>
    </row>
    <row r="27" spans="1:12" x14ac:dyDescent="0.2">
      <c r="A27" s="11"/>
      <c r="B27" s="25" t="s">
        <v>50</v>
      </c>
      <c r="C27" s="13"/>
      <c r="D27" s="13"/>
      <c r="E27" s="15">
        <f>E13+E17+E25</f>
        <v>-3500</v>
      </c>
      <c r="J27" s="21"/>
    </row>
    <row r="28" spans="1:12" x14ac:dyDescent="0.2">
      <c r="A28" s="11"/>
      <c r="B28" s="25" t="s">
        <v>51</v>
      </c>
      <c r="C28" s="13"/>
      <c r="D28" s="13"/>
      <c r="E28" s="14">
        <f>'Balance Sheet_ANS'!B6</f>
        <v>50000</v>
      </c>
    </row>
    <row r="29" spans="1:12" x14ac:dyDescent="0.2">
      <c r="A29" s="11"/>
      <c r="B29" s="25" t="s">
        <v>52</v>
      </c>
      <c r="C29" s="13"/>
      <c r="D29" s="13"/>
      <c r="E29" s="15">
        <f>E27+E28</f>
        <v>46500</v>
      </c>
      <c r="J29" s="21"/>
    </row>
    <row r="30" spans="1:12" ht="17" thickBot="1" x14ac:dyDescent="0.25">
      <c r="A30" s="26"/>
      <c r="B30" s="27"/>
      <c r="C30" s="27"/>
      <c r="D30" s="27"/>
      <c r="E30" s="28"/>
    </row>
    <row r="31" spans="1:12" ht="17" thickTop="1" x14ac:dyDescent="0.2"/>
  </sheetData>
  <mergeCells count="4">
    <mergeCell ref="F8:H12"/>
    <mergeCell ref="A14:E14"/>
    <mergeCell ref="A18:E18"/>
    <mergeCell ref="A26:E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E297-E3B4-4046-BAF3-03117ED03E2C}">
  <dimension ref="A1:M10"/>
  <sheetViews>
    <sheetView workbookViewId="0">
      <selection sqref="A1:XFD1048576"/>
    </sheetView>
  </sheetViews>
  <sheetFormatPr baseColWidth="10" defaultColWidth="11" defaultRowHeight="16" x14ac:dyDescent="0.2"/>
  <cols>
    <col min="1" max="1" width="12.6640625" customWidth="1"/>
    <col min="2" max="2" width="12.33203125" customWidth="1"/>
    <col min="7" max="7" width="13" customWidth="1"/>
    <col min="9" max="10" width="15" customWidth="1"/>
    <col min="11" max="11" width="14.33203125" customWidth="1"/>
    <col min="13" max="13" width="50.33203125" customWidth="1"/>
  </cols>
  <sheetData>
    <row r="1" spans="1:13" x14ac:dyDescent="0.2">
      <c r="B1" s="53" t="s">
        <v>64</v>
      </c>
      <c r="C1" s="53"/>
      <c r="D1" s="53"/>
      <c r="E1" s="53"/>
      <c r="F1" s="32"/>
      <c r="G1" s="54" t="s">
        <v>65</v>
      </c>
      <c r="H1" s="54"/>
      <c r="I1" s="54"/>
      <c r="J1" s="56" t="s">
        <v>66</v>
      </c>
      <c r="K1" s="56"/>
    </row>
    <row r="2" spans="1:13" x14ac:dyDescent="0.2"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81</v>
      </c>
      <c r="K2" t="s">
        <v>75</v>
      </c>
    </row>
    <row r="3" spans="1:13" x14ac:dyDescent="0.2">
      <c r="A3" s="33" t="s">
        <v>76</v>
      </c>
      <c r="B3" s="21">
        <f>'Income Statement_ANS'!B3</f>
        <v>900000</v>
      </c>
      <c r="C3">
        <f>'Income Statement_ANS'!B5</f>
        <v>400000</v>
      </c>
      <c r="D3">
        <f>'Income Statement_ANS'!B9</f>
        <v>65000</v>
      </c>
      <c r="E3">
        <f>'Income Statement_ANS'!B11</f>
        <v>28500</v>
      </c>
      <c r="G3">
        <f>('Balance Sheet_ANS'!C8-'Balance Sheet_ANS'!B8)</f>
        <v>100000</v>
      </c>
      <c r="H3">
        <f>'Balance Sheet_ANS'!G6-'Balance Sheet_ANS'!F6</f>
        <v>30000</v>
      </c>
      <c r="I3">
        <f>'Balance Sheet_ANS'!G8-'Balance Sheet_ANS'!F8</f>
        <v>20000</v>
      </c>
      <c r="K3">
        <f>'Balance Sheet_ANS'!C12-'Balance Sheet_ANS'!B12</f>
        <v>90000</v>
      </c>
      <c r="L3" s="39">
        <f>B3+C3+D3+E3+F3+G3-H3-I3+J3+K3</f>
        <v>1533500</v>
      </c>
    </row>
    <row r="4" spans="1:13" x14ac:dyDescent="0.2">
      <c r="A4" s="38"/>
      <c r="B4" s="21"/>
      <c r="L4" s="21"/>
    </row>
    <row r="5" spans="1:13" x14ac:dyDescent="0.2">
      <c r="B5" s="55" t="s">
        <v>77</v>
      </c>
      <c r="C5" s="55"/>
      <c r="D5" s="55"/>
      <c r="E5" s="55"/>
      <c r="F5" s="34"/>
      <c r="G5" t="s">
        <v>78</v>
      </c>
    </row>
    <row r="6" spans="1:13" x14ac:dyDescent="0.2">
      <c r="A6" s="35" t="s">
        <v>79</v>
      </c>
      <c r="B6" s="21">
        <f>'Income Statement_ANS'!B2</f>
        <v>1500000</v>
      </c>
      <c r="G6">
        <f>'Balance Sheet_ANS'!C7-'Balance Sheet_ANS'!B7</f>
        <v>80000</v>
      </c>
      <c r="L6" s="36">
        <f>B6-G6</f>
        <v>1420000</v>
      </c>
    </row>
    <row r="9" spans="1:13" x14ac:dyDescent="0.2">
      <c r="A9" s="37" t="s">
        <v>80</v>
      </c>
      <c r="L9" s="40">
        <f>L3-L6</f>
        <v>113500</v>
      </c>
      <c r="M9" s="38" t="s">
        <v>84</v>
      </c>
    </row>
    <row r="10" spans="1:13" x14ac:dyDescent="0.2">
      <c r="M10" s="5" t="s">
        <v>83</v>
      </c>
    </row>
  </sheetData>
  <mergeCells count="4">
    <mergeCell ref="B1:E1"/>
    <mergeCell ref="G1:I1"/>
    <mergeCell ref="B5:E5"/>
    <mergeCell ref="J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70BF-59F4-384A-9226-89EC524FBBE8}">
  <dimension ref="A2:C7"/>
  <sheetViews>
    <sheetView workbookViewId="0">
      <selection sqref="A1:XFD1048576"/>
    </sheetView>
  </sheetViews>
  <sheetFormatPr baseColWidth="10" defaultRowHeight="16" x14ac:dyDescent="0.2"/>
  <cols>
    <col min="1" max="1" width="19.33203125" customWidth="1"/>
  </cols>
  <sheetData>
    <row r="2" spans="1:3" x14ac:dyDescent="0.2">
      <c r="A2" t="s">
        <v>87</v>
      </c>
      <c r="B2" s="42" t="s">
        <v>88</v>
      </c>
    </row>
    <row r="3" spans="1:3" x14ac:dyDescent="0.2">
      <c r="A3" t="s">
        <v>89</v>
      </c>
      <c r="C3" t="s">
        <v>90</v>
      </c>
    </row>
    <row r="5" spans="1:3" x14ac:dyDescent="0.2">
      <c r="B5">
        <v>2020</v>
      </c>
      <c r="C5">
        <v>2021</v>
      </c>
    </row>
    <row r="6" spans="1:3" x14ac:dyDescent="0.2">
      <c r="A6" t="s">
        <v>91</v>
      </c>
      <c r="B6">
        <f>'Balance Sheet_ANS'!B9-'Balance Sheet_ANS'!F9</f>
        <v>380000</v>
      </c>
      <c r="C6">
        <f>'Balance Sheet_ANS'!C9-'Balance Sheet_ANS'!G9</f>
        <v>496500</v>
      </c>
    </row>
    <row r="7" spans="1:3" x14ac:dyDescent="0.2">
      <c r="A7" t="s">
        <v>92</v>
      </c>
      <c r="B7">
        <v>420000</v>
      </c>
      <c r="C7" s="21">
        <f>('Balance Sheet_ANS'!C9-'Balance Sheet_ANS'!C6)-('Balance Sheet_ANS'!G9-'Balance Sheet_ANS'!G7)</f>
        <v>550000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Balance Sheet</vt:lpstr>
      <vt:lpstr>Income Statement</vt:lpstr>
      <vt:lpstr>Statement of Cash Flows</vt:lpstr>
      <vt:lpstr>Burn-Build</vt:lpstr>
      <vt:lpstr>Working Capital</vt:lpstr>
      <vt:lpstr>Balance Sheet_ANS</vt:lpstr>
      <vt:lpstr>Income Statement_ANS</vt:lpstr>
      <vt:lpstr>Statement of Cash Flows_ANS</vt:lpstr>
      <vt:lpstr>Burn-Build_ANS</vt:lpstr>
      <vt:lpstr>Working Capital_ANS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2024-10-03T21:25:18Z</dcterms:created>
  <dcterms:modified xsi:type="dcterms:W3CDTF">2024-10-04T18:38:39Z</dcterms:modified>
</cp:coreProperties>
</file>