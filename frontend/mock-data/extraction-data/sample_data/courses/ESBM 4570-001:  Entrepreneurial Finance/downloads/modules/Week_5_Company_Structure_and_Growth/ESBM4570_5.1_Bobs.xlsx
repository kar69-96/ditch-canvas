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defaultThemeVersion="166925"/>
  <mc:AlternateContent xmlns:mc="http://schemas.openxmlformats.org/markup-compatibility/2006">
    <mc:Choice Requires="x15">
      <x15ac:absPath xmlns:x15ac="http://schemas.microsoft.com/office/spreadsheetml/2010/11/ac" url="https://o365coloradoedu-my.sharepoint.com/personal/elbu4667_colorado_edu/Documents/ESBM4570/F2025/Lectures/"/>
    </mc:Choice>
  </mc:AlternateContent>
  <xr:revisionPtr revIDLastSave="4" documentId="8_{B1CC9078-F5B3-42D1-A093-DA7C3B90DA2B}" xr6:coauthVersionLast="47" xr6:coauthVersionMax="47" xr10:uidLastSave="{6BA71D28-BAAC-4566-8D9E-FE5081E3E451}"/>
  <bookViews>
    <workbookView xWindow="30495" yWindow="2100" windowWidth="22560" windowHeight="14220" xr2:uid="{00000000-000D-0000-FFFF-FFFF00000000}"/>
  </bookViews>
  <sheets>
    <sheet name="COVER page" sheetId="7" r:id="rId1"/>
    <sheet name="Bobs Values" sheetId="14" r:id="rId2"/>
    <sheet name="Bob Valuation" sheetId="15" r:id="rId3"/>
    <sheet name="Spangler DuPont" sheetId="8" r:id="rId4"/>
    <sheet name="Mino Comps Eval" sheetId="9" r:id="rId5"/>
    <sheet name="Mino Return Metrics" sheetId="10" r:id="rId6"/>
    <sheet name="Exhibit 1_Fin Stmnt" sheetId="4" r:id="rId7"/>
    <sheet name="Exhibit 2_Benchmark" sheetId="6" r:id="rId8"/>
    <sheet name="Exhibit 3+Analysis" sheetId="3" r:id="rId9"/>
    <sheet name="Title Page" sheetId="5" r:id="rId10"/>
  </sheets>
  <calcPr calcId="191029" iterate="1" iterateCount="1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10" l="1"/>
  <c r="D10" i="10"/>
  <c r="E10" i="10"/>
  <c r="F10" i="10"/>
  <c r="B10" i="10"/>
  <c r="F11" i="15"/>
  <c r="F12" i="15" s="1"/>
  <c r="B6" i="15"/>
  <c r="B11" i="15"/>
  <c r="C39" i="14"/>
  <c r="E36" i="14"/>
  <c r="E35" i="14"/>
  <c r="E34" i="14"/>
  <c r="E33" i="14"/>
  <c r="E32" i="14"/>
  <c r="E31" i="14"/>
  <c r="I10" i="4"/>
  <c r="J10" i="4"/>
  <c r="K10" i="4"/>
  <c r="L10" i="4"/>
  <c r="H10" i="4"/>
  <c r="I8" i="4"/>
  <c r="J8" i="4"/>
  <c r="K8" i="4"/>
  <c r="L8" i="4"/>
  <c r="H8" i="4"/>
  <c r="C15" i="14"/>
  <c r="E12" i="14"/>
  <c r="E11" i="14"/>
  <c r="E10" i="14"/>
  <c r="E9" i="14"/>
  <c r="E8" i="14"/>
  <c r="E7" i="14"/>
  <c r="B2" i="10" a="1"/>
  <c r="B2" i="10" s="1"/>
  <c r="C5" i="9"/>
  <c r="C7" i="9"/>
  <c r="C3" i="9"/>
  <c r="D16" i="8"/>
  <c r="E16" i="8"/>
  <c r="F16" i="8"/>
  <c r="G16" i="8"/>
  <c r="C16" i="8"/>
  <c r="G8" i="4"/>
  <c r="H26" i="3"/>
  <c r="G26" i="3"/>
  <c r="F26" i="3"/>
  <c r="E26" i="3"/>
  <c r="D26" i="3"/>
  <c r="H25" i="3"/>
  <c r="G25" i="3"/>
  <c r="F25" i="3"/>
  <c r="E25" i="3"/>
  <c r="H24" i="3"/>
  <c r="G24" i="3"/>
  <c r="F24" i="3"/>
  <c r="E24" i="3"/>
  <c r="H22" i="3"/>
  <c r="G22" i="3"/>
  <c r="F22" i="3"/>
  <c r="E22" i="3"/>
  <c r="D22" i="3"/>
  <c r="D25" i="3"/>
  <c r="D24" i="3"/>
  <c r="H16" i="3"/>
  <c r="G16" i="3"/>
  <c r="F16" i="3"/>
  <c r="E16" i="3"/>
  <c r="D16" i="3"/>
  <c r="H8" i="3"/>
  <c r="G8" i="3"/>
  <c r="F8" i="3"/>
  <c r="E8" i="3"/>
  <c r="G29" i="4"/>
  <c r="G32" i="4" s="1"/>
  <c r="F29" i="4"/>
  <c r="F32" i="4" s="1"/>
  <c r="E29" i="4"/>
  <c r="D29" i="4"/>
  <c r="C29" i="4"/>
  <c r="C32" i="4" s="1"/>
  <c r="G21" i="4"/>
  <c r="G24" i="4" s="1"/>
  <c r="H21" i="3" s="1"/>
  <c r="F21" i="4"/>
  <c r="G33" i="3" s="1"/>
  <c r="G23" i="3" s="1"/>
  <c r="E21" i="4"/>
  <c r="E24" i="4" s="1"/>
  <c r="F21" i="3" s="1"/>
  <c r="D21" i="4"/>
  <c r="E33" i="3" s="1"/>
  <c r="C21" i="4"/>
  <c r="C24" i="4" s="1"/>
  <c r="D21" i="3" s="1"/>
  <c r="G10" i="4"/>
  <c r="G12" i="4" s="1"/>
  <c r="G14" i="4" s="1"/>
  <c r="F8" i="4"/>
  <c r="G15" i="3" s="1"/>
  <c r="F10" i="4"/>
  <c r="G17" i="3" s="1"/>
  <c r="E8" i="4"/>
  <c r="E10" i="4" s="1"/>
  <c r="D8" i="4"/>
  <c r="D10" i="4" s="1"/>
  <c r="C8" i="4"/>
  <c r="D15" i="3" s="1"/>
  <c r="C10" i="4"/>
  <c r="C12" i="4" s="1"/>
  <c r="C14" i="4" s="1"/>
  <c r="D29" i="3"/>
  <c r="F15" i="3"/>
  <c r="G32" i="3"/>
  <c r="H15" i="3"/>
  <c r="H32" i="3"/>
  <c r="E15" i="3"/>
  <c r="F33" i="3"/>
  <c r="D34" i="3"/>
  <c r="E34" i="3"/>
  <c r="E29" i="3"/>
  <c r="D32" i="4"/>
  <c r="F29" i="3"/>
  <c r="F34" i="3"/>
  <c r="E32" i="4"/>
  <c r="G29" i="3"/>
  <c r="G34" i="3"/>
  <c r="H34" i="3"/>
  <c r="H10" i="3"/>
  <c r="H29" i="3"/>
  <c r="E16" i="14" l="1"/>
  <c r="E40" i="14"/>
  <c r="G10" i="3"/>
  <c r="H17" i="3"/>
  <c r="F12" i="4"/>
  <c r="F14" i="4" s="1"/>
  <c r="G11" i="3" s="1"/>
  <c r="D12" i="4"/>
  <c r="D14" i="4" s="1"/>
  <c r="E32" i="3"/>
  <c r="E10" i="3" s="1"/>
  <c r="E17" i="3"/>
  <c r="E12" i="4"/>
  <c r="E14" i="4" s="1"/>
  <c r="F17" i="3"/>
  <c r="F32" i="3"/>
  <c r="F10" i="3" s="1"/>
  <c r="H18" i="3"/>
  <c r="H9" i="3"/>
  <c r="H11" i="3"/>
  <c r="D18" i="3"/>
  <c r="D9" i="3"/>
  <c r="D11" i="3"/>
  <c r="D24" i="4"/>
  <c r="E21" i="3" s="1"/>
  <c r="H33" i="3"/>
  <c r="H23" i="3" s="1"/>
  <c r="D17" i="3"/>
  <c r="F24" i="4"/>
  <c r="G21" i="3" s="1"/>
  <c r="D32" i="3"/>
  <c r="D10" i="3" s="1"/>
  <c r="D33" i="3"/>
  <c r="G18" i="3" l="1"/>
  <c r="F9" i="3"/>
  <c r="F18" i="3"/>
  <c r="F11" i="3"/>
  <c r="G9" i="3"/>
  <c r="E9" i="3"/>
  <c r="E18" i="3"/>
  <c r="E11"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<sst xmlns="http://schemas.openxmlformats.org/spreadsheetml/2006/main" count="201" uniqueCount="179">
  <si>
    <t>Exhibit 1</t>
  </si>
  <si>
    <t>Revenue</t>
  </si>
  <si>
    <t>Cost of Goods Sold</t>
  </si>
  <si>
    <t xml:space="preserve">  Gross Profit</t>
  </si>
  <si>
    <t>Selling and General Expenses</t>
  </si>
  <si>
    <t xml:space="preserve">  Operating Profit</t>
  </si>
  <si>
    <t>Net Interest Expense</t>
  </si>
  <si>
    <t xml:space="preserve">Taxes </t>
  </si>
  <si>
    <t xml:space="preserve">  Net Profit</t>
  </si>
  <si>
    <t>Cash and Cash Equivalents</t>
  </si>
  <si>
    <t>Inventory</t>
  </si>
  <si>
    <t>Other Current Assets</t>
  </si>
  <si>
    <t xml:space="preserve">  Current Assets</t>
  </si>
  <si>
    <t>Net Property, Plant, and Equipment</t>
  </si>
  <si>
    <t>Other Fixed Assets</t>
  </si>
  <si>
    <t xml:space="preserve">  Total Assets</t>
  </si>
  <si>
    <t>Accounts Payable</t>
  </si>
  <si>
    <t>Wages Payable</t>
  </si>
  <si>
    <t>Other Payables</t>
  </si>
  <si>
    <t xml:space="preserve">  Current Liabilities</t>
  </si>
  <si>
    <t>Debt</t>
  </si>
  <si>
    <t>Gross Margin</t>
  </si>
  <si>
    <t>Exhibit 2</t>
  </si>
  <si>
    <t>Return on Equity</t>
  </si>
  <si>
    <t>Net Profit Margin</t>
  </si>
  <si>
    <t>Operating Margin</t>
  </si>
  <si>
    <t>AR Days (DSO)</t>
  </si>
  <si>
    <t>NWC Turnover</t>
  </si>
  <si>
    <t>PPE Turnover</t>
  </si>
  <si>
    <t>Net Working Capital</t>
  </si>
  <si>
    <t>Margins</t>
  </si>
  <si>
    <t>Asset Efficiency</t>
  </si>
  <si>
    <t>Leverage</t>
  </si>
  <si>
    <t>Growth and Returns</t>
  </si>
  <si>
    <t>Asset Turnover</t>
  </si>
  <si>
    <t>NA</t>
  </si>
  <si>
    <t>Revenue Growth</t>
  </si>
  <si>
    <t>Return on Assets</t>
  </si>
  <si>
    <t>Return on Net Assets</t>
  </si>
  <si>
    <t>Inv Days (DIO)</t>
  </si>
  <si>
    <t>AP Days (DPO)</t>
  </si>
  <si>
    <t xml:space="preserve">Net Assets </t>
  </si>
  <si>
    <t>This spreadsheet supports STUDENT analysis of the case “Bob’s Baloney” (UVA-F-1942).</t>
  </si>
  <si>
    <t>Bob’s Baloney</t>
  </si>
  <si>
    <t xml:space="preserve">  Pretax Profit</t>
  </si>
  <si>
    <t>Accounts Receivable</t>
  </si>
  <si>
    <t>Shareholders’ Equity</t>
  </si>
  <si>
    <t>Spangler’s Financial Analysis of Bob’s Baloney</t>
  </si>
  <si>
    <t>[percentage change in revenue]</t>
  </si>
  <si>
    <t>[net profit / total assets]</t>
  </si>
  <si>
    <t>[NOPAT / net assets]</t>
  </si>
  <si>
    <t>[net profit / shareholders’ equity]</t>
  </si>
  <si>
    <t>[gross profit / revenue]</t>
  </si>
  <si>
    <t>SG&amp;A Percentage</t>
  </si>
  <si>
    <t>[SG&amp;A expenditures / revenue]</t>
  </si>
  <si>
    <t>[operating profit / revenue]</t>
  </si>
  <si>
    <t>[net profit / revenue]</t>
  </si>
  <si>
    <t>[revenue / total assets]</t>
  </si>
  <si>
    <t>[revenue / net PP&amp;E]</t>
  </si>
  <si>
    <t>[revenue / net working capital]</t>
  </si>
  <si>
    <t>[accounts receivable / revenue × 365]</t>
  </si>
  <si>
    <t>[inventory / COGS × 365]</t>
  </si>
  <si>
    <t>[accounts payable / COGS × 365]</t>
  </si>
  <si>
    <t>[debt / (debt + shareholders’ equity)]</t>
  </si>
  <si>
    <t>[operating profit × (1 − tax rate)]</t>
  </si>
  <si>
    <t>[current assets − current liabilities]</t>
  </si>
  <si>
    <t>[net working capital + net fixed assets]</t>
  </si>
  <si>
    <t>NOPAT (t = 25%)</t>
  </si>
  <si>
    <t>Debt / Total Capital</t>
  </si>
  <si>
    <t xml:space="preserve">  Total Liabilities and Shareholders’ Equity</t>
  </si>
  <si>
    <t>Summary Accounts (in millions of US dollars)</t>
  </si>
  <si>
    <t>Note: NOPAT is net operating profit after tax; SG&amp;A is selling, general, and administrative expenses; PP&amp;E is net property, plant, and equipment; NWC is net working capital; AR is accounts receivable; Inv is inventory; COGS is cost of goods sold; AP is accounts payable; DSO is days sales outstanding; DIO is days inventory outstanding; and DPO is day payables outstanding.</t>
  </si>
  <si>
    <t>Financial Statements for Bob’s Baloney (in millions of US dollars)</t>
  </si>
  <si>
    <t>Exhibit 3</t>
  </si>
  <si>
    <t>Benchmark Performance Figures for Sample of Premium Food Producers</t>
  </si>
  <si>
    <t>Financial Returns for Sample of Premium Food Producers for 2019</t>
  </si>
  <si>
    <t>ROE</t>
  </si>
  <si>
    <t>RONA</t>
  </si>
  <si>
    <t>Capital Market Benchmarks for January 2020</t>
  </si>
  <si>
    <t>Estimated Cost of Equity (based on beta estimate of 0.9)</t>
  </si>
  <si>
    <t>Estimated Weighted Cost of Capital (WACC)</t>
  </si>
  <si>
    <t xml:space="preserve">NOPAT is net operating profit after tax. </t>
  </si>
  <si>
    <t xml:space="preserve">Net assets is net working capital plus PP&amp;E. </t>
  </si>
  <si>
    <t>PP&amp;E is net property, plant, and equipment.</t>
  </si>
  <si>
    <t xml:space="preserve">Net working capital is current operating assets less current operating liabilities. </t>
  </si>
  <si>
    <r>
      <rPr>
        <sz val="10"/>
        <color indexed="8"/>
        <rFont val="Garamond"/>
        <family val="1"/>
      </rPr>
      <t xml:space="preserve">This spreadsheet was prepared by Michael Schill, Sponsors Professor of Business Administration. Copyright © 2020 by the University of Virginia Darden School Foundation, Charlottesville, VA. All rights reserved.  </t>
    </r>
    <r>
      <rPr>
        <i/>
        <sz val="10"/>
        <color indexed="8"/>
        <rFont val="Garamond"/>
        <family val="1"/>
      </rPr>
      <t>For customer service inquiries, send an email to</t>
    </r>
    <r>
      <rPr>
        <sz val="10"/>
        <color indexed="8"/>
        <rFont val="Garamond"/>
        <family val="1"/>
      </rPr>
      <t>sales@dardenbusinesspublishing.com</t>
    </r>
    <r>
      <rPr>
        <i/>
        <sz val="10"/>
        <color indexed="8"/>
        <rFont val="Garamond"/>
        <family val="1"/>
      </rPr>
      <t xml:space="preserve">. No part of this publication may be reproduced, stored in a retrieval system, posted to the internet, or transmitted in any form or by any means—electronic, mechanical, photocopying, recording, or otherwise—without the permission of the Darden School Foundation. This publication is protected by copyright and may not be uploaded in whole or part to any AI, large language model, or similar system, or to any related database. </t>
    </r>
    <r>
      <rPr>
        <sz val="10"/>
        <color indexed="8"/>
        <rFont val="Garamond"/>
        <family val="1"/>
      </rPr>
      <t xml:space="preserve">Our goal is to publish materials of the highest quality, so please submit any errata to editorial@dardenbusinesspublishing.com.  </t>
    </r>
  </si>
  <si>
    <t>Source: All exhibits created by author.</t>
  </si>
  <si>
    <t xml:space="preserve">Notes:   ROE is net profit divided by shareholder’s equity. </t>
  </si>
  <si>
    <t>Low-Return Firms (25th percentile)</t>
  </si>
  <si>
    <t>Median-Return Firms (50th percentile)</t>
  </si>
  <si>
    <t>High-Return Firms (75th percentile)</t>
  </si>
  <si>
    <t xml:space="preserve">RONA (return on net assets) is NOPAT divided by net assets. </t>
  </si>
  <si>
    <t>Rev. Jan. 30, 2024</t>
  </si>
  <si>
    <t>Low Return Firms</t>
  </si>
  <si>
    <t>Median Return Firms</t>
  </si>
  <si>
    <t>High Return Firms</t>
  </si>
  <si>
    <t>% Net Profit</t>
  </si>
  <si>
    <t>Equity Multiplier</t>
  </si>
  <si>
    <t>D:E</t>
  </si>
  <si>
    <t>% Debt</t>
  </si>
  <si>
    <t>% Equity</t>
  </si>
  <si>
    <t>&lt;25%</t>
  </si>
  <si>
    <t>&lt;50%</t>
  </si>
  <si>
    <t>Firms</t>
  </si>
  <si>
    <t>&lt;75%</t>
  </si>
  <si>
    <t>Current Ratio</t>
  </si>
  <si>
    <t>Quick Ratio</t>
  </si>
  <si>
    <t>ROA</t>
  </si>
  <si>
    <t>Rev/Assets</t>
  </si>
  <si>
    <t>Rev/PPE</t>
  </si>
  <si>
    <t>ROSGA</t>
  </si>
  <si>
    <t xml:space="preserve">**Note, In this case, they. Have included depreciation in SGA.  </t>
  </si>
  <si>
    <t>Marketing is included here</t>
  </si>
  <si>
    <t>Revenue % change</t>
  </si>
  <si>
    <t>Case</t>
  </si>
  <si>
    <t>Bob's Baloney</t>
  </si>
  <si>
    <t>Capital Structure Review</t>
  </si>
  <si>
    <t>TIE</t>
  </si>
  <si>
    <t>Liquidity and Coverage</t>
  </si>
  <si>
    <t>Column1</t>
  </si>
  <si>
    <t>Column2</t>
  </si>
  <si>
    <t>Column3</t>
  </si>
  <si>
    <t>Column4</t>
  </si>
  <si>
    <t>Column5</t>
  </si>
  <si>
    <t>Column6</t>
  </si>
  <si>
    <t xml:space="preserve"> </t>
  </si>
  <si>
    <t>DUPONT ANALYSIS OVER TIME</t>
  </si>
  <si>
    <t>Bob's Scorecard</t>
  </si>
  <si>
    <t>Bucket</t>
  </si>
  <si>
    <t>Category</t>
  </si>
  <si>
    <t>Weight</t>
  </si>
  <si>
    <t>Ranking</t>
  </si>
  <si>
    <t>Value</t>
  </si>
  <si>
    <t>Financials</t>
  </si>
  <si>
    <t>Valuation based on Comps</t>
  </si>
  <si>
    <t>Team</t>
  </si>
  <si>
    <t>Market</t>
  </si>
  <si>
    <t>Competetive Environment</t>
  </si>
  <si>
    <t>Product</t>
  </si>
  <si>
    <t>Risk</t>
  </si>
  <si>
    <t>Weighted Scoreboard Multiplier</t>
  </si>
  <si>
    <t>Scorecard Adjusted Valuation</t>
  </si>
  <si>
    <t>Market Size</t>
  </si>
  <si>
    <t>Product Quality</t>
  </si>
  <si>
    <t>Reputation/Brand Alignment</t>
  </si>
  <si>
    <t>Marketing Impact</t>
  </si>
  <si>
    <t>?</t>
  </si>
  <si>
    <t>Community Service</t>
  </si>
  <si>
    <t>Best Employer</t>
  </si>
  <si>
    <t>Animal Rights</t>
  </si>
  <si>
    <t>Merch</t>
  </si>
  <si>
    <t>leave blank</t>
  </si>
  <si>
    <t>CURRENT</t>
  </si>
  <si>
    <t>RECOMMENDED</t>
  </si>
  <si>
    <t>Valuation</t>
  </si>
  <si>
    <t>On this page, we are using ASSUMPTIONS, to fill in the story of why is Mino so upset….</t>
  </si>
  <si>
    <t>YES, she holds 30% of the equity shares, so she likely has influence</t>
  </si>
  <si>
    <t>Let's develop what we DO know, to understand the impact of Bob's decision on the VALUE of INVESTOR's    AUM (Assets Under Management)</t>
  </si>
  <si>
    <t>NOPAT</t>
  </si>
  <si>
    <t>NOPAT =</t>
  </si>
  <si>
    <t>Operating profits *(1-t)</t>
  </si>
  <si>
    <t>Mino Paid
Implied AUM</t>
  </si>
  <si>
    <t>Gain/Loss</t>
  </si>
  <si>
    <t>Current Ratio = (Current Assets)/(Current Liabilities)</t>
  </si>
  <si>
    <t>TIE = Operating Profit/Interest</t>
  </si>
  <si>
    <t>Quick Ratio = (Current Assets - Inventory)/(Current Liabilities)</t>
  </si>
  <si>
    <t>% change (2015 to 2019)</t>
  </si>
  <si>
    <t>Multiple*</t>
  </si>
  <si>
    <t>* the multiple 3 is provided as an EXAMPLE.</t>
  </si>
  <si>
    <t>Assume that Mino buys in to Bobs in 2015 at the valuation you determin as a function of NOPAT and the Multiple given.</t>
  </si>
  <si>
    <t>She buys 30% of the company at this valuation.</t>
  </si>
  <si>
    <t>Based on Mino's input, Spangler's sense of issues, and YOUR understanding of value drivers, propose a Scorecard to Bob's</t>
  </si>
  <si>
    <t>The scorecard below is how Bob's seems to be valuing itself, and judging its success factors. How do you see it weighting the categories, AND ranking itself.</t>
  </si>
  <si>
    <t>You may modify the categories.</t>
  </si>
  <si>
    <t xml:space="preserve">Revenue </t>
  </si>
  <si>
    <t>TEAM (1, 2 or 3)</t>
  </si>
  <si>
    <t>Bob Team Member Names</t>
  </si>
  <si>
    <t>Spangler Team Member Names</t>
  </si>
  <si>
    <t>Mino Team Member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</si>
</sst>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_);_(* \(#,##0.0\);_(* &quot;-&quot;??_);_(@_)"/>
    <numFmt numFmtId="165" formatCode="_(* #,##0_);_(* \(#,##0\);_(* &quot;-&quot;??_);_(@_)"/>
    <numFmt numFmtId="166" formatCode="0.0%"/>
    <numFmt numFmtId="167" formatCode="0.0"/>
  </numFmts>
  <fonts count="20" x14ac:knownFonts="1">
    <font>
      <sz val="12"/>
      <color theme="1"/>
      <name val="Calibri"/>
      <family val="2"/>
      <scheme val="minor"/>
    </font>
    <font>
      <sz val="11"/>
      <color theme="1"/>
      <name val="Calibri"/>
      <family val="2"/>
      <scheme val="minor"/>
    </font>
    <font>
      <sz val="12"/>
      <color theme="1"/>
      <name val="Calibri"/>
      <family val="2"/>
      <scheme val="minor"/>
    </font>
    <font>
      <b/>
      <sz val="12"/>
      <color theme="1"/>
      <name val="Garamond"/>
      <family val="1"/>
    </font>
    <font>
      <sz val="12"/>
      <color theme="1"/>
      <name val="Garamond"/>
      <family val="1"/>
    </font>
    <font>
      <u val="singleAccounting"/>
      <sz val="12"/>
      <color theme="1"/>
      <name val="Garamond"/>
      <family val="1"/>
    </font>
    <font>
      <u/>
      <sz val="12"/>
      <color theme="1"/>
      <name val="Garamond"/>
      <family val="1"/>
    </font>
    <font>
      <sz val="10"/>
      <name val="Arial"/>
      <family val="2"/>
    </font>
    <font>
      <sz val="11"/>
      <name val="Garamond"/>
      <family val="1"/>
    </font>
    <font>
      <b/>
      <sz val="12"/>
      <name val="Arial"/>
      <family val="2"/>
    </font>
    <font>
      <sz val="10"/>
      <color theme="1"/>
      <name val="arial"/>
      <family val="2"/>
    </font>
    <font>
      <i/>
      <sz val="10"/>
      <color indexed="8"/>
      <name val="Garamond"/>
      <family val="1"/>
    </font>
    <font>
      <sz val="10"/>
      <color indexed="8"/>
      <name val="Garamond"/>
      <family val="1"/>
    </font>
    <font>
      <sz val="10"/>
      <color theme="1"/>
      <name val="Garamond"/>
      <family val="1"/>
    </font>
    <font>
      <sz val="8"/>
      <color theme="1"/>
      <name val="Garamond"/>
      <family val="1"/>
    </font>
    <font>
      <sz val="8"/>
      <name val="Calibri"/>
      <family val="2"/>
      <scheme val="minor"/>
    </font>
    <font>
      <b/>
      <sz val="12"/>
      <color theme="1"/>
      <name val="Calibri"/>
      <family val="2"/>
      <scheme val="minor"/>
    </font>
    <font>
      <i/>
      <sz val="12"/>
      <color theme="1"/>
      <name val="Calibri"/>
      <family val="2"/>
      <scheme val="minor"/>
    </font>
    <font>
      <b/>
      <i/>
      <sz val="12"/>
      <color theme="1"/>
      <name val="Calibri"/>
      <family val="2"/>
      <scheme val="minor"/>
    </font>
    <font>
      <b/>
      <sz val="12"/>
      <color rgb="FFFF0000"/>
      <name val="Calibri"/>
      <family val="2"/>
      <scheme val="minor"/>
    </font>
  </fonts>
  <fills count="8">
    <fill>
      <patternFill patternType="none"/>
    </fill>
    <fill>
      <patternFill patternType="gray125"/>
    </fill>
    <fill>
      <patternFill patternType="solid">
        <fgColor rgb="FFF7903B"/>
        <bgColor indexed="64"/>
      </patternFill>
    </fill>
    <fill>
      <patternFill patternType="solid">
        <fgColor rgb="FFFFFF00"/>
        <bgColor indexed="64"/>
      </patternFill>
    </fill>
    <fill>
      <patternFill patternType="solid">
        <fgColor theme="0" tint="-0.14999847407452621"/>
        <bgColor indexed="64"/>
      </patternFill>
    </fill>
    <fill>
      <patternFill patternType="solid">
        <fgColor theme="0" tint="-0.14999847407452621"/>
        <bgColor theme="0" tint="-0.14999847407452621"/>
      </patternFill>
    </fill>
    <fill>
      <patternFill patternType="solid">
        <fgColor theme="7" tint="0.59999389629810485"/>
        <bgColor indexed="64"/>
      </patternFill>
    </fill>
    <fill>
      <patternFill patternType="solid">
        <fgColor rgb="FFFFC000"/>
        <bgColor indexed="64"/>
      </patternFill>
    </fill>
  </fills>
  <borders count="16">
    <border>
      <left/>
      <right/>
      <top/>
      <bottom/>
      <diagonal/>
    </border>
    <border>
      <left/>
      <right/>
      <top/>
      <bottom style="thin">
        <color theme="1"/>
      </bottom>
      <diagonal/>
    </border>
    <border>
      <left/>
      <right/>
      <top style="thin">
        <color theme="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style="thin">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right/>
      <top/>
      <bottom style="thick">
        <color auto="1"/>
      </bottom>
      <diagonal/>
    </border>
  </borders>
  <cellStyleXfs count="6">
    <xf numFmtId="0" fontId="0" fillId="0" borderId="0"/>
    <xf numFmtId="43" fontId="2" fillId="0" borderId="0" applyFont="0" applyFill="0" applyBorder="0" applyAlignment="0" applyProtection="0"/>
    <xf numFmtId="9" fontId="2" fillId="0" borderId="0" applyFont="0" applyFill="0" applyBorder="0" applyAlignment="0" applyProtection="0"/>
    <xf numFmtId="0" fontId="1" fillId="0" borderId="0"/>
    <xf numFmtId="0" fontId="7" fillId="0" borderId="0"/>
    <xf numFmtId="0" fontId="10" fillId="0" borderId="0"/>
  </cellStyleXfs>
  <cellXfs count="69">
    <xf numFmtId="0" fontId="0" fillId="0" borderId="0" xfId="0"/>
    <xf numFmtId="0" fontId="3" fillId="0" borderId="0" xfId="0" applyFont="1"/>
    <xf numFmtId="0" fontId="4" fillId="0" borderId="0" xfId="0" applyFont="1"/>
    <xf numFmtId="164" fontId="4" fillId="0" borderId="0" xfId="1" applyNumberFormat="1" applyFont="1"/>
    <xf numFmtId="165" fontId="4" fillId="0" borderId="0" xfId="1" applyNumberFormat="1" applyFont="1"/>
    <xf numFmtId="9" fontId="4" fillId="0" borderId="0" xfId="2" applyFont="1"/>
    <xf numFmtId="166" fontId="4" fillId="0" borderId="0" xfId="2" applyNumberFormat="1" applyFont="1"/>
    <xf numFmtId="165" fontId="4" fillId="0" borderId="0" xfId="0" applyNumberFormat="1" applyFont="1"/>
    <xf numFmtId="164" fontId="4" fillId="0" borderId="0" xfId="1" applyNumberFormat="1" applyFont="1" applyAlignment="1">
      <alignment horizontal="right"/>
    </xf>
    <xf numFmtId="0" fontId="1" fillId="0" borderId="0" xfId="3"/>
    <xf numFmtId="0" fontId="8" fillId="2" borderId="0" xfId="4" applyFont="1" applyFill="1" applyAlignment="1">
      <alignment horizontal="center" vertical="center" wrapText="1"/>
    </xf>
    <xf numFmtId="0" fontId="9" fillId="0" borderId="0" xfId="4" applyFont="1" applyAlignment="1">
      <alignment horizontal="center" vertical="center" wrapText="1"/>
    </xf>
    <xf numFmtId="49" fontId="14" fillId="0" borderId="0" xfId="3" applyNumberFormat="1" applyFont="1"/>
    <xf numFmtId="167" fontId="4" fillId="0" borderId="0" xfId="1" applyNumberFormat="1" applyFont="1"/>
    <xf numFmtId="167" fontId="5" fillId="0" borderId="0" xfId="1" applyNumberFormat="1" applyFont="1"/>
    <xf numFmtId="167" fontId="6" fillId="0" borderId="0" xfId="0" applyNumberFormat="1" applyFont="1"/>
    <xf numFmtId="167" fontId="4" fillId="0" borderId="0" xfId="0" applyNumberFormat="1" applyFont="1"/>
    <xf numFmtId="0" fontId="6" fillId="0" borderId="0" xfId="0" applyFont="1"/>
    <xf numFmtId="0" fontId="4" fillId="0" borderId="0" xfId="0" applyFont="1" applyAlignment="1">
      <alignment horizontal="right"/>
    </xf>
    <xf numFmtId="166" fontId="4" fillId="0" borderId="0" xfId="0" applyNumberFormat="1" applyFont="1" applyAlignment="1">
      <alignment horizontal="right"/>
    </xf>
    <xf numFmtId="0" fontId="13" fillId="0" borderId="0" xfId="0" applyFont="1"/>
    <xf numFmtId="0" fontId="13" fillId="0" borderId="0" xfId="0" applyFont="1" applyAlignment="1">
      <alignment horizontal="justify" vertical="center"/>
    </xf>
    <xf numFmtId="0" fontId="13" fillId="0" borderId="0" xfId="0" applyFont="1" applyAlignment="1">
      <alignment vertical="center"/>
    </xf>
    <xf numFmtId="166" fontId="0" fillId="0" borderId="0" xfId="2" applyNumberFormat="1" applyFont="1"/>
    <xf numFmtId="10" fontId="0" fillId="0" borderId="0" xfId="2" applyNumberFormat="1" applyFont="1"/>
    <xf numFmtId="2" fontId="0" fillId="0" borderId="0" xfId="0" applyNumberFormat="1"/>
    <xf numFmtId="2" fontId="0" fillId="0" borderId="0" xfId="2" applyNumberFormat="1" applyFont="1"/>
    <xf numFmtId="0" fontId="0" fillId="4" borderId="0" xfId="0" applyFill="1"/>
    <xf numFmtId="0" fontId="16" fillId="0" borderId="0" xfId="0" applyFont="1"/>
    <xf numFmtId="0" fontId="0" fillId="5" borderId="2" xfId="0" applyFill="1" applyBorder="1"/>
    <xf numFmtId="0" fontId="0" fillId="5" borderId="0" xfId="0" applyFill="1"/>
    <xf numFmtId="0" fontId="0" fillId="5" borderId="1" xfId="0" applyFill="1" applyBorder="1"/>
    <xf numFmtId="2" fontId="0" fillId="5" borderId="2" xfId="0" applyNumberFormat="1" applyFill="1" applyBorder="1"/>
    <xf numFmtId="2" fontId="0" fillId="5" borderId="0" xfId="0" applyNumberFormat="1" applyFill="1"/>
    <xf numFmtId="166" fontId="0" fillId="5" borderId="0" xfId="2" applyNumberFormat="1" applyFont="1" applyFill="1" applyBorder="1"/>
    <xf numFmtId="10" fontId="0" fillId="5" borderId="0" xfId="2" applyNumberFormat="1" applyFont="1" applyFill="1" applyBorder="1"/>
    <xf numFmtId="10" fontId="0" fillId="5" borderId="0" xfId="0" applyNumberFormat="1" applyFill="1"/>
    <xf numFmtId="2" fontId="0" fillId="5" borderId="1" xfId="0" applyNumberFormat="1" applyFill="1" applyBorder="1"/>
    <xf numFmtId="0" fontId="17" fillId="0" borderId="3" xfId="0" applyFont="1" applyBorder="1"/>
    <xf numFmtId="0" fontId="16" fillId="0" borderId="4" xfId="0" applyFont="1"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18" fillId="0" borderId="7" xfId="0" applyFont="1" applyBorder="1"/>
    <xf numFmtId="0" fontId="0" fillId="0" borderId="12" xfId="0" applyBorder="1"/>
    <xf numFmtId="0" fontId="16" fillId="0" borderId="13" xfId="0" applyFont="1" applyBorder="1"/>
    <xf numFmtId="0" fontId="0" fillId="0" borderId="13" xfId="0" applyBorder="1"/>
    <xf numFmtId="0" fontId="0" fillId="0" borderId="14" xfId="0" applyBorder="1"/>
    <xf numFmtId="0" fontId="17" fillId="3" borderId="8" xfId="0" applyFont="1" applyFill="1" applyBorder="1"/>
    <xf numFmtId="2" fontId="3" fillId="0" borderId="0" xfId="0" applyNumberFormat="1" applyFont="1"/>
    <xf numFmtId="1" fontId="0" fillId="0" borderId="0" xfId="0" applyNumberFormat="1"/>
    <xf numFmtId="9" fontId="0" fillId="0" borderId="0" xfId="0" applyNumberFormat="1" applyAlignment="1">
      <alignment wrapText="1"/>
    </xf>
    <xf numFmtId="9" fontId="0" fillId="0" borderId="0" xfId="2" applyFont="1"/>
    <xf numFmtId="10" fontId="0" fillId="0" borderId="0" xfId="2" applyNumberFormat="1" applyFont="1" applyFill="1" applyBorder="1"/>
    <xf numFmtId="166" fontId="0" fillId="0" borderId="0" xfId="2" applyNumberFormat="1" applyFont="1" applyFill="1" applyBorder="1"/>
    <xf numFmtId="0" fontId="16" fillId="4" borderId="0" xfId="0" applyFont="1" applyFill="1"/>
    <xf numFmtId="0" fontId="0" fillId="6" borderId="15" xfId="0" applyFill="1" applyBorder="1" applyAlignment="1">
      <alignment horizontal="center"/>
    </xf>
    <xf numFmtId="0" fontId="16" fillId="0" borderId="1" xfId="0" applyFont="1" applyBorder="1" applyAlignment="1">
      <alignment horizontal="center" vertical="center"/>
    </xf>
    <xf numFmtId="2" fontId="14" fillId="0" borderId="0" xfId="0" applyNumberFormat="1" applyFont="1" applyAlignment="1">
      <alignment horizontal="justify" vertical="center" wrapText="1"/>
    </xf>
    <xf numFmtId="2" fontId="0" fillId="0" borderId="0" xfId="0" applyNumberFormat="1" applyAlignment="1">
      <alignment wrapText="1"/>
    </xf>
    <xf numFmtId="0" fontId="11" fillId="0" borderId="0" xfId="5" applyFont="1" applyAlignment="1">
      <alignment horizontal="justify" vertical="top" wrapText="1"/>
    </xf>
    <xf numFmtId="0" fontId="13" fillId="0" borderId="0" xfId="5" applyFont="1" applyAlignment="1">
      <alignment wrapText="1"/>
    </xf>
    <xf numFmtId="0" fontId="16" fillId="7" borderId="0" xfId="0" applyFont="1" applyFill="1"/>
    <xf numFmtId="0" fontId="19" fillId="0" borderId="0" xfId="0" applyFont="1" applyAlignment="1">
      <alignment horizontal="center"/>
    </xf>
  </cellXfs>
  <cellStyles count="6">
    <cellStyle name="Comma" xfId="1" builtinId="3"/>
    <cellStyle name="Normal" xfId="0" builtinId="0"/>
    <cellStyle name="Normal 2" xfId="3" xr:uid="{00000000-0005-0000-0000-000002000000}"/>
    <cellStyle name="Normal 2 2" xfId="4" xr:uid="{00000000-0005-0000-0000-000003000000}"/>
    <cellStyle name="Normal 3" xfId="5" xr:uid="{00000000-0005-0000-0000-000004000000}"/>
    <cellStyle name="Percent" xfId="2" builtinId="5"/>
  </cellStyles>
  <dxfs count="2">
    <dxf>
      <font>
        <b val="0"/>
        <i val="0"/>
        <strike val="0"/>
        <condense val="0"/>
        <extend val="0"/>
        <outline val="0"/>
        <shadow val="0"/>
        <u val="none"/>
        <vertAlign val="baseline"/>
        <sz val="12"/>
        <color theme="1"/>
        <name val="Calibri"/>
        <family val="2"/>
        <scheme val="minor"/>
      </font>
      <numFmt numFmtId="14" formatCode="0.00%"/>
    </dxf>
    <dxf>
      <font>
        <b val="0"/>
        <i val="0"/>
        <strike val="0"/>
        <condense val="0"/>
        <extend val="0"/>
        <outline val="0"/>
        <shadow val="0"/>
        <u val="none"/>
        <vertAlign val="baseline"/>
        <sz val="12"/>
        <color theme="1"/>
        <name val="Calibri"/>
        <family val="2"/>
        <scheme val="minor"/>
      </font>
      <numFmt numFmtId="1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355600</xdr:colOff>
      <xdr:row>2</xdr:row>
      <xdr:rowOff>161320</xdr:rowOff>
    </xdr:to>
    <mc:AlternateContent xmlns:mc="http://schemas.openxmlformats.org/markup-compatibility/2006" xmlns:a14="http://schemas.microsoft.com/office/drawing/2010/main">
      <mc:Choice Requires="a14">
        <xdr:sp macro="" textlink="">
          <xdr:nvSpPr>
            <xdr:cNvPr id="2" name="TextBox 5">
              <a:extLst>
                <a:ext uri="{FF2B5EF4-FFF2-40B4-BE49-F238E27FC236}">
                  <a16:creationId xmlns:a16="http://schemas.microsoft.com/office/drawing/2014/main" id="{C412F2E6-A678-59EA-A77B-B3A0AEA0FFE7}"/>
                </a:ext>
              </a:extLst>
            </xdr:cNvPr>
            <xdr:cNvSpPr txBox="1"/>
          </xdr:nvSpPr>
          <xdr:spPr>
            <a:xfrm>
              <a:off x="0" y="0"/>
              <a:ext cx="4483100" cy="567720"/>
            </a:xfrm>
            <a:prstGeom prst="rect">
              <a:avLst/>
            </a:prstGeom>
            <a:solidFill>
              <a:schemeClr val="bg1"/>
            </a:solid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14:m>
                <m:oMathPara xmlns:m="http://schemas.openxmlformats.org/officeDocument/2006/math">
                  <m:oMathParaPr>
                    <m:jc m:val="centerGroup"/>
                  </m:oMathParaPr>
                  <m:oMath xmlns:m="http://schemas.openxmlformats.org/officeDocument/2006/math">
                    <m:r>
                      <a:rPr lang="en-US" b="0" i="1">
                        <a:latin typeface="Cambria Math" panose="02040503050406030204" pitchFamily="18" charset="0"/>
                      </a:rPr>
                      <m:t>𝑅𝑂𝐸</m:t>
                    </m:r>
                    <m:r>
                      <a:rPr lang="en-US" b="0" i="1">
                        <a:latin typeface="Cambria Math" panose="02040503050406030204" pitchFamily="18" charset="0"/>
                      </a:rPr>
                      <m:t>= </m:t>
                    </m:r>
                    <m:f>
                      <m:fPr>
                        <m:ctrlPr>
                          <a:rPr lang="en-US" b="0" i="1">
                            <a:latin typeface="Cambria Math" panose="02040503050406030204" pitchFamily="18" charset="0"/>
                          </a:rPr>
                        </m:ctrlPr>
                      </m:fPr>
                      <m:num>
                        <m:r>
                          <a:rPr lang="en-US" b="0" i="1">
                            <a:latin typeface="Cambria Math" panose="02040503050406030204" pitchFamily="18" charset="0"/>
                          </a:rPr>
                          <m:t>𝑁𝑒𝑡</m:t>
                        </m:r>
                        <m:r>
                          <a:rPr lang="en-US" b="0" i="1">
                            <a:latin typeface="Cambria Math" panose="02040503050406030204" pitchFamily="18" charset="0"/>
                          </a:rPr>
                          <m:t> </m:t>
                        </m:r>
                        <m:r>
                          <a:rPr lang="en-US" b="0" i="1">
                            <a:latin typeface="Cambria Math" panose="02040503050406030204" pitchFamily="18" charset="0"/>
                          </a:rPr>
                          <m:t>𝐼𝑛𝑐𝑜𝑚𝑒</m:t>
                        </m:r>
                      </m:num>
                      <m:den>
                        <m:r>
                          <a:rPr lang="en-US" b="0" i="1">
                            <a:latin typeface="Cambria Math" panose="02040503050406030204" pitchFamily="18" charset="0"/>
                          </a:rPr>
                          <m:t>𝑅𝑒𝑣𝑒𝑛𝑢𝑒</m:t>
                        </m:r>
                      </m:den>
                    </m:f>
                    <m:r>
                      <a:rPr lang="en-US" b="0" i="1">
                        <a:latin typeface="Cambria Math" panose="02040503050406030204" pitchFamily="18" charset="0"/>
                      </a:rPr>
                      <m:t>∗</m:t>
                    </m:r>
                    <m:f>
                      <m:fPr>
                        <m:ctrlPr>
                          <a:rPr lang="en-US" b="0" i="1">
                            <a:latin typeface="Cambria Math" panose="02040503050406030204" pitchFamily="18" charset="0"/>
                          </a:rPr>
                        </m:ctrlPr>
                      </m:fPr>
                      <m:num>
                        <m:r>
                          <a:rPr lang="en-US" b="0" i="1">
                            <a:latin typeface="Cambria Math" panose="02040503050406030204" pitchFamily="18" charset="0"/>
                          </a:rPr>
                          <m:t>𝑅𝑒𝑣𝑒𝑛𝑢𝑒</m:t>
                        </m:r>
                      </m:num>
                      <m:den>
                        <m:r>
                          <a:rPr lang="en-US" b="0" i="1">
                            <a:latin typeface="Cambria Math" panose="02040503050406030204" pitchFamily="18" charset="0"/>
                          </a:rPr>
                          <m:t>𝐴𝑠𝑠𝑒𝑡𝑠</m:t>
                        </m:r>
                      </m:den>
                    </m:f>
                    <m:r>
                      <a:rPr lang="en-US" b="0" i="1">
                        <a:latin typeface="Cambria Math" panose="02040503050406030204" pitchFamily="18" charset="0"/>
                      </a:rPr>
                      <m:t>∗</m:t>
                    </m:r>
                    <m:f>
                      <m:fPr>
                        <m:ctrlPr>
                          <a:rPr lang="en-US" b="0" i="1">
                            <a:latin typeface="Cambria Math" panose="02040503050406030204" pitchFamily="18" charset="0"/>
                          </a:rPr>
                        </m:ctrlPr>
                      </m:fPr>
                      <m:num>
                        <m:r>
                          <a:rPr lang="en-US" b="0" i="1">
                            <a:latin typeface="Cambria Math" panose="02040503050406030204" pitchFamily="18" charset="0"/>
                          </a:rPr>
                          <m:t>𝐴𝑠𝑠𝑒𝑡𝑠</m:t>
                        </m:r>
                      </m:num>
                      <m:den>
                        <m:r>
                          <a:rPr lang="en-US" b="0" i="1">
                            <a:latin typeface="Cambria Math" panose="02040503050406030204" pitchFamily="18" charset="0"/>
                          </a:rPr>
                          <m:t>𝐸𝑞𝑢𝑖𝑡𝑦</m:t>
                        </m:r>
                      </m:den>
                    </m:f>
                  </m:oMath>
                </m:oMathPara>
              </a14:m>
              <a:endParaRPr lang="en-US"/>
            </a:p>
          </xdr:txBody>
        </xdr:sp>
      </mc:Choice>
      <mc:Fallback xmlns="">
        <xdr:sp macro="" textlink="">
          <xdr:nvSpPr>
            <xdr:cNvPr id="2" name="TextBox 5">
              <a:extLst>
                <a:ext uri="{FF2B5EF4-FFF2-40B4-BE49-F238E27FC236}">
                  <a16:creationId xmlns:a16="http://schemas.microsoft.com/office/drawing/2014/main" id="{C412F2E6-A678-59EA-A77B-B3A0AEA0FFE7}"/>
                </a:ext>
              </a:extLst>
            </xdr:cNvPr>
            <xdr:cNvSpPr txBox="1"/>
          </xdr:nvSpPr>
          <xdr:spPr>
            <a:xfrm>
              <a:off x="0" y="0"/>
              <a:ext cx="4483100" cy="567720"/>
            </a:xfrm>
            <a:prstGeom prst="rect">
              <a:avLst/>
            </a:prstGeom>
            <a:solidFill>
              <a:schemeClr val="bg1"/>
            </a:solidFill>
          </xdr:spPr>
          <xdr:txBody>
            <a:bodyPr wrap="square" lIns="0" tIns="0" rIns="0" bIns="0"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r>
                <a:rPr lang="en-US" b="0" i="0">
                  <a:latin typeface="Cambria Math" panose="02040503050406030204" pitchFamily="18" charset="0"/>
                </a:rPr>
                <a:t>𝑅𝑂𝐸=  (𝑁𝑒𝑡 𝐼𝑛𝑐𝑜𝑚𝑒)/𝑅𝑒𝑣𝑒𝑛𝑢𝑒∗𝑅𝑒𝑣𝑒𝑛𝑢𝑒/𝐴𝑠𝑠𝑒𝑡𝑠∗𝐴𝑠𝑠𝑒𝑡𝑠/𝐸𝑞𝑢𝑖𝑡𝑦</a:t>
              </a:r>
              <a:endParaRPr lang="en-US"/>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120650</xdr:rowOff>
    </xdr:from>
    <xdr:to>
      <xdr:col>1</xdr:col>
      <xdr:colOff>336</xdr:colOff>
      <xdr:row>1</xdr:row>
      <xdr:rowOff>724502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304800"/>
          <a:ext cx="2140286" cy="603852"/>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114E8C2-8728-40B3-A5A4-A563CD84281D}" name="Table4" displayName="Table4" ref="A2:D8" headerRowCount="0" totalsRowShown="0">
  <tableColumns count="4">
    <tableColumn id="1" xr3:uid="{CBB4567E-0CC4-4591-A4DF-D1537CF4087F}" name="Column1"/>
    <tableColumn id="2" xr3:uid="{F89BB51E-DB1D-41E1-851F-7631AEA41BCC}" name="Column2"/>
    <tableColumn id="3" xr3:uid="{E05D3B90-B6E7-4184-820A-D3C51C80971B}" name="Column3" dataDxfId="1" dataCellStyle="Percent"/>
    <tableColumn id="4" xr3:uid="{DD4874C3-A0EB-4C6F-852E-623B54256A3E}" name="Column4"/>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3DEBA-9131-43E4-89EC-00A7B8DE68FA}" name="Table7" displayName="Table7" ref="A3:F7" totalsRowShown="0" headerRowDxfId="0" headerRowCellStyle="Percent">
  <autoFilter ref="A3:F7" xr:uid="{6843DEBA-9131-43E4-89EC-00A7B8DE68FA}"/>
  <tableColumns count="6">
    <tableColumn id="1" xr3:uid="{D873CC32-A782-491B-9E49-0BF801D00786}" name="Column1"/>
    <tableColumn id="2" xr3:uid="{36AB4667-1F2A-4945-9290-0699EA552916}" name="Column2"/>
    <tableColumn id="3" xr3:uid="{0597A619-541E-4D42-972D-46290F7EF429}" name="Column3"/>
    <tableColumn id="4" xr3:uid="{C3EC0388-907C-4435-8E15-AD2151134F5E}" name="Column4"/>
    <tableColumn id="5" xr3:uid="{6E25CE06-229D-4F69-BA65-04C2644CEF24}" name="Column5"/>
    <tableColumn id="6" xr3:uid="{72271C42-B75D-4C59-9819-D3AEE9C33687}" name="Column6"/>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D4D8E-5C5E-BB42-B606-FB97C5994A36}">
  <dimension ref="A1:B17"/>
  <sheetViews>
    <sheetView tabSelected="1" workbookViewId="0">
      <selection activeCell="F16" sqref="F16"/>
    </sheetView>
  </sheetViews>
  <sheetFormatPr defaultColWidth="11" defaultRowHeight="15.75" x14ac:dyDescent="0.25"/>
  <cols>
    <col min="1" max="1" width="28.625" customWidth="1"/>
  </cols>
  <sheetData>
    <row r="1" spans="1:2" x14ac:dyDescent="0.25">
      <c r="A1" t="s">
        <v>114</v>
      </c>
      <c r="B1" t="s">
        <v>115</v>
      </c>
    </row>
    <row r="3" spans="1:2" x14ac:dyDescent="0.25">
      <c r="A3" t="s">
        <v>175</v>
      </c>
    </row>
    <row r="5" spans="1:2" x14ac:dyDescent="0.25">
      <c r="A5" t="s">
        <v>176</v>
      </c>
    </row>
    <row r="11" spans="1:2" x14ac:dyDescent="0.25">
      <c r="A11" t="s">
        <v>177</v>
      </c>
    </row>
    <row r="17" spans="1:1" x14ac:dyDescent="0.25">
      <c r="A17" t="s">
        <v>178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FE2E4-6A34-5947-9E24-D9866919F096}">
  <dimension ref="A1:E40"/>
  <sheetViews>
    <sheetView workbookViewId="0"/>
  </sheetViews>
  <sheetFormatPr defaultColWidth="11" defaultRowHeight="15.75" x14ac:dyDescent="0.25"/>
  <cols>
    <col min="1" max="1" width="19.125" customWidth="1"/>
    <col min="2" max="2" width="29.5" customWidth="1"/>
    <col min="3" max="3" width="10.875" customWidth="1"/>
    <col min="4" max="4" width="12.875" customWidth="1"/>
    <col min="5" max="5" width="14.625" customWidth="1"/>
  </cols>
  <sheetData>
    <row r="1" spans="1:5" x14ac:dyDescent="0.25">
      <c r="A1" s="68">
        <v>1</v>
      </c>
    </row>
    <row r="2" spans="1:5" x14ac:dyDescent="0.25">
      <c r="A2" t="s">
        <v>127</v>
      </c>
      <c r="B2" t="s">
        <v>172</v>
      </c>
    </row>
    <row r="3" spans="1:5" x14ac:dyDescent="0.25">
      <c r="B3" t="s">
        <v>173</v>
      </c>
    </row>
    <row r="4" spans="1:5" ht="16.5" thickBot="1" x14ac:dyDescent="0.3">
      <c r="A4" s="61" t="s">
        <v>152</v>
      </c>
      <c r="B4" s="61"/>
      <c r="C4" s="61"/>
      <c r="D4" s="61"/>
      <c r="E4" s="61"/>
    </row>
    <row r="5" spans="1:5" ht="16.5" thickTop="1" x14ac:dyDescent="0.25">
      <c r="A5" s="38" t="s">
        <v>128</v>
      </c>
      <c r="B5" s="39" t="s">
        <v>129</v>
      </c>
      <c r="C5" s="40" t="s">
        <v>130</v>
      </c>
      <c r="D5" s="40" t="s">
        <v>131</v>
      </c>
      <c r="E5" s="41" t="s">
        <v>132</v>
      </c>
    </row>
    <row r="6" spans="1:5" x14ac:dyDescent="0.25">
      <c r="A6" s="42" t="s">
        <v>133</v>
      </c>
      <c r="B6" s="43" t="s">
        <v>134</v>
      </c>
      <c r="C6" s="43"/>
      <c r="D6" s="43"/>
      <c r="E6" s="53" t="s">
        <v>151</v>
      </c>
    </row>
    <row r="7" spans="1:5" x14ac:dyDescent="0.25">
      <c r="A7" s="42" t="s">
        <v>135</v>
      </c>
      <c r="B7" s="43" t="s">
        <v>135</v>
      </c>
      <c r="C7" s="43"/>
      <c r="D7" s="43"/>
      <c r="E7" s="44">
        <f>C7*D7</f>
        <v>0</v>
      </c>
    </row>
    <row r="8" spans="1:5" x14ac:dyDescent="0.25">
      <c r="A8" s="42" t="s">
        <v>136</v>
      </c>
      <c r="B8" s="43" t="s">
        <v>142</v>
      </c>
      <c r="C8" s="43"/>
      <c r="D8" s="43"/>
      <c r="E8" s="44">
        <f t="shared" ref="E8:E12" si="0">C8*D8</f>
        <v>0</v>
      </c>
    </row>
    <row r="9" spans="1:5" x14ac:dyDescent="0.25">
      <c r="A9" s="42" t="s">
        <v>136</v>
      </c>
      <c r="B9" s="43" t="s">
        <v>137</v>
      </c>
      <c r="C9" s="43"/>
      <c r="D9" s="43"/>
      <c r="E9" s="44">
        <f t="shared" si="0"/>
        <v>0</v>
      </c>
    </row>
    <row r="10" spans="1:5" x14ac:dyDescent="0.25">
      <c r="A10" s="42" t="s">
        <v>136</v>
      </c>
      <c r="B10" s="43" t="s">
        <v>145</v>
      </c>
      <c r="C10" s="43"/>
      <c r="D10" s="43"/>
      <c r="E10" s="44">
        <f t="shared" si="0"/>
        <v>0</v>
      </c>
    </row>
    <row r="11" spans="1:5" x14ac:dyDescent="0.25">
      <c r="A11" s="42" t="s">
        <v>138</v>
      </c>
      <c r="B11" s="43" t="s">
        <v>143</v>
      </c>
      <c r="C11" s="43"/>
      <c r="D11" s="43"/>
      <c r="E11" s="44">
        <f t="shared" si="0"/>
        <v>0</v>
      </c>
    </row>
    <row r="12" spans="1:5" x14ac:dyDescent="0.25">
      <c r="A12" s="42" t="s">
        <v>136</v>
      </c>
      <c r="B12" s="43" t="s">
        <v>144</v>
      </c>
      <c r="C12" s="43"/>
      <c r="D12" s="43"/>
      <c r="E12" s="44">
        <f t="shared" si="0"/>
        <v>0</v>
      </c>
    </row>
    <row r="13" spans="1:5" x14ac:dyDescent="0.25">
      <c r="A13" s="42" t="s">
        <v>139</v>
      </c>
      <c r="B13" s="43" t="s">
        <v>139</v>
      </c>
      <c r="C13" s="43"/>
      <c r="D13" s="43"/>
      <c r="E13" s="44"/>
    </row>
    <row r="14" spans="1:5" x14ac:dyDescent="0.25">
      <c r="A14" s="42"/>
      <c r="B14" s="43"/>
      <c r="C14" s="43"/>
      <c r="D14" s="43"/>
      <c r="E14" s="44"/>
    </row>
    <row r="15" spans="1:5" x14ac:dyDescent="0.25">
      <c r="A15" s="45"/>
      <c r="B15" s="46"/>
      <c r="C15" s="46">
        <f>SUM(C7:C13)</f>
        <v>0</v>
      </c>
      <c r="D15" s="46"/>
      <c r="E15" s="47"/>
    </row>
    <row r="16" spans="1:5" x14ac:dyDescent="0.25">
      <c r="A16" s="42"/>
      <c r="B16" s="48" t="s">
        <v>140</v>
      </c>
      <c r="C16" s="43"/>
      <c r="D16" s="43"/>
      <c r="E16" s="44">
        <f>SUM(E7:E12)</f>
        <v>0</v>
      </c>
    </row>
    <row r="17" spans="1:5" ht="16.5" thickBot="1" x14ac:dyDescent="0.3">
      <c r="A17" s="49"/>
      <c r="B17" s="50" t="s">
        <v>141</v>
      </c>
      <c r="C17" s="51"/>
      <c r="D17" s="51"/>
      <c r="E17" s="52"/>
    </row>
    <row r="18" spans="1:5" ht="16.5" thickTop="1" x14ac:dyDescent="0.25"/>
    <row r="20" spans="1:5" x14ac:dyDescent="0.25">
      <c r="A20" s="67" t="s">
        <v>146</v>
      </c>
    </row>
    <row r="21" spans="1:5" x14ac:dyDescent="0.25">
      <c r="A21" t="s">
        <v>147</v>
      </c>
    </row>
    <row r="22" spans="1:5" x14ac:dyDescent="0.25">
      <c r="A22" t="s">
        <v>148</v>
      </c>
    </row>
    <row r="23" spans="1:5" x14ac:dyDescent="0.25">
      <c r="A23" t="s">
        <v>149</v>
      </c>
    </row>
    <row r="24" spans="1:5" x14ac:dyDescent="0.25">
      <c r="A24" t="s">
        <v>150</v>
      </c>
    </row>
    <row r="26" spans="1:5" x14ac:dyDescent="0.25">
      <c r="A26" s="68">
        <v>2</v>
      </c>
    </row>
    <row r="27" spans="1:5" x14ac:dyDescent="0.25">
      <c r="A27" t="s">
        <v>171</v>
      </c>
    </row>
    <row r="28" spans="1:5" ht="16.5" thickBot="1" x14ac:dyDescent="0.3">
      <c r="A28" s="61" t="s">
        <v>153</v>
      </c>
      <c r="B28" s="61"/>
      <c r="C28" s="61"/>
      <c r="D28" s="61"/>
      <c r="E28" s="61"/>
    </row>
    <row r="29" spans="1:5" ht="16.5" thickTop="1" x14ac:dyDescent="0.25">
      <c r="A29" s="38" t="s">
        <v>128</v>
      </c>
      <c r="B29" s="39" t="s">
        <v>129</v>
      </c>
      <c r="C29" s="40" t="s">
        <v>130</v>
      </c>
      <c r="D29" s="40" t="s">
        <v>131</v>
      </c>
      <c r="E29" s="41" t="s">
        <v>132</v>
      </c>
    </row>
    <row r="30" spans="1:5" x14ac:dyDescent="0.25">
      <c r="A30" s="42" t="s">
        <v>133</v>
      </c>
      <c r="B30" s="43" t="s">
        <v>134</v>
      </c>
      <c r="C30" s="43"/>
      <c r="D30" s="43"/>
      <c r="E30" s="53" t="s">
        <v>151</v>
      </c>
    </row>
    <row r="31" spans="1:5" x14ac:dyDescent="0.25">
      <c r="A31" s="42"/>
      <c r="B31" s="43"/>
      <c r="C31" s="43"/>
      <c r="D31" s="43"/>
      <c r="E31" s="44">
        <f>C31*D31</f>
        <v>0</v>
      </c>
    </row>
    <row r="32" spans="1:5" x14ac:dyDescent="0.25">
      <c r="A32" s="42"/>
      <c r="B32" s="43"/>
      <c r="C32" s="43"/>
      <c r="D32" s="43"/>
      <c r="E32" s="44">
        <f t="shared" ref="E32:E36" si="1">C32*D32</f>
        <v>0</v>
      </c>
    </row>
    <row r="33" spans="1:5" x14ac:dyDescent="0.25">
      <c r="A33" s="42"/>
      <c r="B33" s="43"/>
      <c r="C33" s="43"/>
      <c r="D33" s="43"/>
      <c r="E33" s="44">
        <f t="shared" si="1"/>
        <v>0</v>
      </c>
    </row>
    <row r="34" spans="1:5" x14ac:dyDescent="0.25">
      <c r="A34" s="42"/>
      <c r="B34" s="43"/>
      <c r="C34" s="43"/>
      <c r="D34" s="43"/>
      <c r="E34" s="44">
        <f t="shared" si="1"/>
        <v>0</v>
      </c>
    </row>
    <row r="35" spans="1:5" x14ac:dyDescent="0.25">
      <c r="A35" s="42"/>
      <c r="B35" s="43"/>
      <c r="C35" s="43"/>
      <c r="D35" s="43"/>
      <c r="E35" s="44">
        <f t="shared" si="1"/>
        <v>0</v>
      </c>
    </row>
    <row r="36" spans="1:5" x14ac:dyDescent="0.25">
      <c r="A36" s="42"/>
      <c r="B36" s="43"/>
      <c r="C36" s="43"/>
      <c r="D36" s="43"/>
      <c r="E36" s="44">
        <f t="shared" si="1"/>
        <v>0</v>
      </c>
    </row>
    <row r="37" spans="1:5" x14ac:dyDescent="0.25">
      <c r="A37" s="42"/>
      <c r="B37" s="43"/>
      <c r="C37" s="43"/>
      <c r="D37" s="43"/>
      <c r="E37" s="44"/>
    </row>
    <row r="38" spans="1:5" x14ac:dyDescent="0.25">
      <c r="A38" s="42"/>
      <c r="B38" s="43"/>
      <c r="C38" s="43"/>
      <c r="D38" s="43"/>
      <c r="E38" s="44"/>
    </row>
    <row r="39" spans="1:5" x14ac:dyDescent="0.25">
      <c r="A39" s="45"/>
      <c r="B39" s="46"/>
      <c r="C39" s="46">
        <f>SUM(C31:C37)</f>
        <v>0</v>
      </c>
      <c r="D39" s="46"/>
      <c r="E39" s="47"/>
    </row>
    <row r="40" spans="1:5" x14ac:dyDescent="0.25">
      <c r="A40" s="42"/>
      <c r="B40" s="48" t="s">
        <v>140</v>
      </c>
      <c r="C40" s="43"/>
      <c r="D40" s="43"/>
      <c r="E40" s="44">
        <f>SUM(E31:E36)</f>
        <v>0</v>
      </c>
    </row>
  </sheetData>
  <mergeCells count="2">
    <mergeCell ref="A4:E4"/>
    <mergeCell ref="A28:E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613F-FECF-8B49-84E2-E66E3D9F1B93}">
  <dimension ref="A1:I17"/>
  <sheetViews>
    <sheetView workbookViewId="0">
      <selection activeCell="A17" sqref="A17"/>
    </sheetView>
  </sheetViews>
  <sheetFormatPr defaultColWidth="11" defaultRowHeight="15.75" x14ac:dyDescent="0.25"/>
  <cols>
    <col min="1" max="1" width="14.875" customWidth="1"/>
    <col min="2" max="2" width="11.5" bestFit="1" customWidth="1"/>
    <col min="3" max="3" width="11.375" bestFit="1" customWidth="1"/>
    <col min="4" max="6" width="11" bestFit="1" customWidth="1"/>
  </cols>
  <sheetData>
    <row r="1" spans="1:9" x14ac:dyDescent="0.25">
      <c r="A1" t="s">
        <v>155</v>
      </c>
    </row>
    <row r="2" spans="1:9" x14ac:dyDescent="0.25">
      <c r="A2" t="s">
        <v>156</v>
      </c>
    </row>
    <row r="3" spans="1:9" x14ac:dyDescent="0.25">
      <c r="A3" t="s">
        <v>157</v>
      </c>
    </row>
    <row r="5" spans="1:9" x14ac:dyDescent="0.25">
      <c r="B5" s="1">
        <v>2015</v>
      </c>
      <c r="C5" s="1">
        <v>2016</v>
      </c>
      <c r="D5" s="1">
        <v>2017</v>
      </c>
      <c r="E5" s="1">
        <v>2018</v>
      </c>
      <c r="F5" s="1">
        <v>2019</v>
      </c>
    </row>
    <row r="6" spans="1:9" x14ac:dyDescent="0.25">
      <c r="A6" t="s">
        <v>158</v>
      </c>
      <c r="B6" s="54">
        <f>'Exhibit 1_Fin Stmnt'!C14*(1-('Exhibit 1_Fin Stmnt'!C13/'Exhibit 1_Fin Stmnt'!C12))</f>
        <v>20.106552538370718</v>
      </c>
      <c r="C6" s="54"/>
      <c r="D6" s="54"/>
      <c r="E6" s="54"/>
      <c r="F6" s="54"/>
      <c r="H6" t="s">
        <v>159</v>
      </c>
      <c r="I6" t="s">
        <v>160</v>
      </c>
    </row>
    <row r="7" spans="1:9" x14ac:dyDescent="0.25">
      <c r="A7" t="s">
        <v>167</v>
      </c>
      <c r="B7">
        <v>3</v>
      </c>
    </row>
    <row r="9" spans="1:9" x14ac:dyDescent="0.25">
      <c r="A9" t="s">
        <v>154</v>
      </c>
      <c r="B9" s="25"/>
      <c r="C9" s="25"/>
      <c r="D9" s="25"/>
      <c r="E9" s="25"/>
      <c r="F9" s="25"/>
    </row>
    <row r="11" spans="1:9" ht="33" customHeight="1" x14ac:dyDescent="0.25">
      <c r="A11" s="56" t="s">
        <v>161</v>
      </c>
      <c r="B11" s="55">
        <f>B9*0.3</f>
        <v>0</v>
      </c>
      <c r="F11" s="55">
        <f>0.3*F9</f>
        <v>0</v>
      </c>
    </row>
    <row r="12" spans="1:9" x14ac:dyDescent="0.25">
      <c r="A12" t="s">
        <v>162</v>
      </c>
      <c r="F12" s="57" t="e">
        <f>(F11/B11)-1</f>
        <v>#DIV/0!</v>
      </c>
    </row>
    <row r="15" spans="1:9" x14ac:dyDescent="0.25">
      <c r="A15" t="s">
        <v>168</v>
      </c>
    </row>
    <row r="16" spans="1:9" x14ac:dyDescent="0.25">
      <c r="A16" t="s">
        <v>169</v>
      </c>
    </row>
    <row r="17" spans="1:1" x14ac:dyDescent="0.25">
      <c r="A17" t="s">
        <v>170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46E07-2FC4-304A-A587-BC4A82A5C8A6}">
  <dimension ref="B5:J26"/>
  <sheetViews>
    <sheetView workbookViewId="0">
      <selection activeCell="C22" sqref="C22:G26"/>
    </sheetView>
  </sheetViews>
  <sheetFormatPr defaultColWidth="11" defaultRowHeight="15.75" x14ac:dyDescent="0.25"/>
  <cols>
    <col min="2" max="2" width="15.875" customWidth="1"/>
    <col min="3" max="7" width="12.625" bestFit="1" customWidth="1"/>
    <col min="8" max="8" width="13.625" customWidth="1"/>
  </cols>
  <sheetData>
    <row r="5" spans="2:9" x14ac:dyDescent="0.25">
      <c r="B5" s="28"/>
      <c r="C5" s="28"/>
      <c r="D5" s="28"/>
      <c r="E5" s="28"/>
      <c r="F5" s="28"/>
      <c r="G5" s="28"/>
      <c r="H5" s="28"/>
      <c r="I5" s="28"/>
    </row>
    <row r="6" spans="2:9" x14ac:dyDescent="0.25">
      <c r="B6" s="62" t="s">
        <v>126</v>
      </c>
      <c r="C6" s="62"/>
      <c r="D6" s="62"/>
      <c r="E6" s="62"/>
      <c r="F6" s="62"/>
      <c r="G6" s="62"/>
      <c r="H6" s="62"/>
      <c r="I6" s="62"/>
    </row>
    <row r="7" spans="2:9" x14ac:dyDescent="0.25">
      <c r="B7" s="29"/>
      <c r="C7" s="29">
        <v>2015</v>
      </c>
      <c r="D7" s="29">
        <v>2016</v>
      </c>
      <c r="E7" s="29">
        <v>2017</v>
      </c>
      <c r="F7" s="29">
        <v>2018</v>
      </c>
      <c r="G7" s="29">
        <v>2019</v>
      </c>
      <c r="H7" s="29" t="s">
        <v>166</v>
      </c>
      <c r="I7" s="32"/>
    </row>
    <row r="8" spans="2:9" x14ac:dyDescent="0.25">
      <c r="B8" t="s">
        <v>96</v>
      </c>
      <c r="C8" s="24"/>
      <c r="D8" s="24"/>
      <c r="E8" s="24"/>
      <c r="F8" s="24"/>
      <c r="G8" s="24"/>
      <c r="H8" s="23"/>
      <c r="I8" s="25"/>
    </row>
    <row r="9" spans="2:9" x14ac:dyDescent="0.25">
      <c r="B9" s="30" t="s">
        <v>31</v>
      </c>
      <c r="C9" s="33"/>
      <c r="D9" s="33"/>
      <c r="E9" s="33"/>
      <c r="F9" s="33"/>
      <c r="G9" s="33"/>
      <c r="H9" s="34"/>
      <c r="I9" s="25"/>
    </row>
    <row r="10" spans="2:9" x14ac:dyDescent="0.25">
      <c r="B10" t="s">
        <v>97</v>
      </c>
      <c r="C10" s="25"/>
      <c r="D10" s="25"/>
      <c r="E10" s="25"/>
      <c r="F10" s="25"/>
      <c r="G10" s="25"/>
      <c r="H10" s="23"/>
      <c r="I10" s="25"/>
    </row>
    <row r="11" spans="2:9" x14ac:dyDescent="0.25">
      <c r="B11" s="30" t="s">
        <v>76</v>
      </c>
      <c r="C11" s="35"/>
      <c r="D11" s="35"/>
      <c r="E11" s="35"/>
      <c r="F11" s="35"/>
      <c r="G11" s="35"/>
      <c r="H11" s="34"/>
      <c r="I11" s="25"/>
    </row>
    <row r="12" spans="2:9" x14ac:dyDescent="0.25">
      <c r="C12" s="58"/>
      <c r="D12" s="58"/>
      <c r="E12" s="58"/>
      <c r="F12" s="58"/>
      <c r="G12" s="58"/>
      <c r="H12" s="59"/>
      <c r="I12" s="25"/>
    </row>
    <row r="13" spans="2:9" x14ac:dyDescent="0.25">
      <c r="I13" s="25"/>
    </row>
    <row r="14" spans="2:9" x14ac:dyDescent="0.25">
      <c r="I14" s="25"/>
    </row>
    <row r="15" spans="2:9" x14ac:dyDescent="0.25">
      <c r="B15" s="60" t="s">
        <v>116</v>
      </c>
      <c r="C15" s="27"/>
      <c r="I15" s="25"/>
    </row>
    <row r="16" spans="2:9" x14ac:dyDescent="0.25">
      <c r="B16" s="30" t="s">
        <v>98</v>
      </c>
      <c r="C16" s="33">
        <f>'Exhibit 1_Fin Stmnt'!C30/'Exhibit 1_Fin Stmnt'!C31</f>
        <v>0.27390900649953576</v>
      </c>
      <c r="D16" s="33">
        <f>'Exhibit 1_Fin Stmnt'!D30/'Exhibit 1_Fin Stmnt'!D31</f>
        <v>7.3427991886409888E-2</v>
      </c>
      <c r="E16" s="33">
        <f>'Exhibit 1_Fin Stmnt'!E30/'Exhibit 1_Fin Stmnt'!E31</f>
        <v>1.4175058094500386</v>
      </c>
      <c r="F16" s="33">
        <f>'Exhibit 1_Fin Stmnt'!F30/'Exhibit 1_Fin Stmnt'!F31</f>
        <v>1.4750169058531821</v>
      </c>
      <c r="G16" s="33">
        <f>'Exhibit 1_Fin Stmnt'!G30/'Exhibit 1_Fin Stmnt'!G31</f>
        <v>1.5001804923832209</v>
      </c>
      <c r="H16" s="30"/>
      <c r="I16" s="33"/>
    </row>
    <row r="17" spans="2:10" x14ac:dyDescent="0.25">
      <c r="B17" t="s">
        <v>99</v>
      </c>
      <c r="C17" s="24"/>
      <c r="D17" s="24"/>
      <c r="E17" s="24"/>
      <c r="F17" s="24"/>
      <c r="G17" s="24"/>
      <c r="I17" s="25"/>
    </row>
    <row r="18" spans="2:10" x14ac:dyDescent="0.25">
      <c r="B18" s="30" t="s">
        <v>100</v>
      </c>
      <c r="C18" s="36"/>
      <c r="D18" s="36"/>
      <c r="E18" s="36"/>
      <c r="F18" s="36"/>
      <c r="G18" s="36"/>
      <c r="H18" s="30"/>
      <c r="I18" s="33"/>
    </row>
    <row r="19" spans="2:10" x14ac:dyDescent="0.25">
      <c r="I19" s="25"/>
    </row>
    <row r="20" spans="2:10" x14ac:dyDescent="0.25">
      <c r="I20" s="25"/>
    </row>
    <row r="21" spans="2:10" x14ac:dyDescent="0.25">
      <c r="B21" s="60" t="s">
        <v>118</v>
      </c>
      <c r="C21" s="27"/>
      <c r="I21" s="25"/>
    </row>
    <row r="22" spans="2:10" x14ac:dyDescent="0.25">
      <c r="B22" s="30" t="s">
        <v>105</v>
      </c>
      <c r="C22" s="33"/>
      <c r="D22" s="33"/>
      <c r="E22" s="33"/>
      <c r="F22" s="33"/>
      <c r="G22" s="33"/>
      <c r="H22" s="30"/>
      <c r="I22" s="33"/>
      <c r="J22" t="s">
        <v>163</v>
      </c>
    </row>
    <row r="23" spans="2:10" x14ac:dyDescent="0.25">
      <c r="B23" t="s">
        <v>106</v>
      </c>
      <c r="C23" s="25"/>
      <c r="D23" s="25"/>
      <c r="E23" s="25"/>
      <c r="F23" s="25"/>
      <c r="G23" s="25"/>
      <c r="I23" s="25"/>
      <c r="J23" t="s">
        <v>165</v>
      </c>
    </row>
    <row r="24" spans="2:10" x14ac:dyDescent="0.25">
      <c r="B24" s="30"/>
      <c r="C24" s="30"/>
      <c r="D24" s="30"/>
      <c r="E24" s="30"/>
      <c r="F24" s="30"/>
      <c r="G24" s="30"/>
      <c r="H24" s="30"/>
      <c r="I24" s="33"/>
    </row>
    <row r="25" spans="2:10" x14ac:dyDescent="0.25">
      <c r="I25" s="25"/>
    </row>
    <row r="26" spans="2:10" x14ac:dyDescent="0.25">
      <c r="B26" s="31" t="s">
        <v>117</v>
      </c>
      <c r="C26" s="37"/>
      <c r="D26" s="37"/>
      <c r="E26" s="37"/>
      <c r="F26" s="37"/>
      <c r="G26" s="37"/>
      <c r="H26" s="31"/>
      <c r="I26" s="37"/>
      <c r="J26" t="s">
        <v>164</v>
      </c>
    </row>
  </sheetData>
  <mergeCells count="1">
    <mergeCell ref="B6:I6"/>
  </mergeCells>
  <phoneticPr fontId="1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27188-35F1-BA42-AA12-2D2FEBBAA6B0}">
  <dimension ref="A2:G13"/>
  <sheetViews>
    <sheetView workbookViewId="0">
      <selection activeCell="A10" sqref="A10:XFD10"/>
    </sheetView>
  </sheetViews>
  <sheetFormatPr defaultColWidth="11" defaultRowHeight="15.75" x14ac:dyDescent="0.25"/>
  <cols>
    <col min="2" max="2" width="20.375" customWidth="1"/>
    <col min="3" max="7" width="11.625" bestFit="1" customWidth="1"/>
  </cols>
  <sheetData>
    <row r="2" spans="1:7" x14ac:dyDescent="0.25">
      <c r="A2" t="s">
        <v>125</v>
      </c>
      <c r="B2" t="s">
        <v>103</v>
      </c>
      <c r="C2" t="s">
        <v>76</v>
      </c>
      <c r="D2" t="s">
        <v>77</v>
      </c>
    </row>
    <row r="3" spans="1:7" x14ac:dyDescent="0.25">
      <c r="A3" t="s">
        <v>101</v>
      </c>
      <c r="B3" t="s">
        <v>93</v>
      </c>
      <c r="C3" s="24">
        <f>'Exhibit 2_Benchmark'!C8</f>
        <v>-1.2E-2</v>
      </c>
      <c r="D3">
        <v>2.2999999999999998</v>
      </c>
    </row>
    <row r="4" spans="1:7" x14ac:dyDescent="0.25">
      <c r="C4" s="24"/>
    </row>
    <row r="5" spans="1:7" x14ac:dyDescent="0.25">
      <c r="A5" t="s">
        <v>102</v>
      </c>
      <c r="B5" t="s">
        <v>94</v>
      </c>
      <c r="C5" s="24">
        <f>'Exhibit 2_Benchmark'!C9</f>
        <v>8.8999999999999996E-2</v>
      </c>
      <c r="D5" s="19">
        <v>7.0999999999999994E-2</v>
      </c>
    </row>
    <row r="6" spans="1:7" x14ac:dyDescent="0.25">
      <c r="C6" s="24"/>
      <c r="D6" s="19"/>
    </row>
    <row r="7" spans="1:7" x14ac:dyDescent="0.25">
      <c r="A7" t="s">
        <v>104</v>
      </c>
      <c r="B7" t="s">
        <v>95</v>
      </c>
      <c r="C7" s="24">
        <f>'Exhibit 2_Benchmark'!C10</f>
        <v>0.19400000000000001</v>
      </c>
      <c r="D7" s="19">
        <v>0.13300000000000001</v>
      </c>
    </row>
    <row r="11" spans="1:7" x14ac:dyDescent="0.25">
      <c r="C11" s="25"/>
      <c r="D11" s="25"/>
      <c r="E11" s="25"/>
      <c r="F11" s="25"/>
      <c r="G11" s="25"/>
    </row>
    <row r="13" spans="1:7" x14ac:dyDescent="0.25">
      <c r="C13" s="24"/>
      <c r="D13" s="24"/>
      <c r="E13" s="24"/>
      <c r="F13" s="24"/>
      <c r="G13" s="2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22615-7818-534F-AEB8-F988372A8487}">
  <dimension ref="A2:H10"/>
  <sheetViews>
    <sheetView workbookViewId="0">
      <selection activeCell="D23" sqref="D23"/>
    </sheetView>
  </sheetViews>
  <sheetFormatPr defaultColWidth="11" defaultRowHeight="15.75" x14ac:dyDescent="0.25"/>
  <cols>
    <col min="1" max="1" width="17.25" customWidth="1"/>
    <col min="3" max="3" width="11.375" bestFit="1" customWidth="1"/>
    <col min="4" max="6" width="11.125" bestFit="1" customWidth="1"/>
    <col min="7" max="7" width="5.375" customWidth="1"/>
  </cols>
  <sheetData>
    <row r="2" spans="1:8" x14ac:dyDescent="0.25">
      <c r="B2" cm="1">
        <f t="array" ref="B2:F2">_xlfn.SEQUENCE(1,5,2015,1)</f>
        <v>2015</v>
      </c>
      <c r="C2">
        <v>2016</v>
      </c>
      <c r="D2">
        <v>2017</v>
      </c>
      <c r="E2">
        <v>2018</v>
      </c>
      <c r="F2">
        <v>2019</v>
      </c>
    </row>
    <row r="3" spans="1:8" hidden="1" x14ac:dyDescent="0.25">
      <c r="A3" t="s">
        <v>119</v>
      </c>
      <c r="B3" s="24" t="s">
        <v>120</v>
      </c>
      <c r="C3" s="24" t="s">
        <v>121</v>
      </c>
      <c r="D3" s="24" t="s">
        <v>122</v>
      </c>
      <c r="E3" s="24" t="s">
        <v>123</v>
      </c>
      <c r="F3" s="24" t="s">
        <v>124</v>
      </c>
    </row>
    <row r="4" spans="1:8" x14ac:dyDescent="0.25">
      <c r="A4" t="s">
        <v>107</v>
      </c>
      <c r="B4" s="24"/>
      <c r="C4" s="24"/>
      <c r="D4" s="24"/>
      <c r="E4" s="24"/>
      <c r="F4" s="24"/>
    </row>
    <row r="5" spans="1:8" x14ac:dyDescent="0.25">
      <c r="A5" t="s">
        <v>108</v>
      </c>
      <c r="B5" s="25"/>
      <c r="C5" s="25"/>
      <c r="D5" s="25"/>
      <c r="E5" s="25"/>
      <c r="F5" s="25"/>
    </row>
    <row r="6" spans="1:8" x14ac:dyDescent="0.25">
      <c r="A6" t="s">
        <v>109</v>
      </c>
      <c r="B6" s="26"/>
      <c r="C6" s="26"/>
      <c r="D6" s="26"/>
      <c r="E6" s="26"/>
      <c r="F6" s="26"/>
      <c r="H6" t="s">
        <v>111</v>
      </c>
    </row>
    <row r="7" spans="1:8" x14ac:dyDescent="0.25">
      <c r="A7" t="s">
        <v>110</v>
      </c>
      <c r="B7" s="24"/>
      <c r="C7" s="24"/>
      <c r="D7" s="24"/>
      <c r="E7" s="24"/>
      <c r="F7" s="24"/>
      <c r="H7" t="s">
        <v>112</v>
      </c>
    </row>
    <row r="9" spans="1:8" x14ac:dyDescent="0.25">
      <c r="A9" t="s">
        <v>113</v>
      </c>
      <c r="C9" s="23"/>
      <c r="D9" s="23"/>
      <c r="E9" s="23"/>
      <c r="F9" s="23"/>
    </row>
    <row r="10" spans="1:8" x14ac:dyDescent="0.25">
      <c r="A10" t="s">
        <v>174</v>
      </c>
      <c r="B10">
        <f>'Exhibit 1_Fin Stmnt'!C6</f>
        <v>190.5</v>
      </c>
      <c r="C10">
        <f>'Exhibit 1_Fin Stmnt'!D6</f>
        <v>185.6</v>
      </c>
      <c r="D10">
        <f>'Exhibit 1_Fin Stmnt'!E6</f>
        <v>209.8</v>
      </c>
      <c r="E10">
        <f>'Exhibit 1_Fin Stmnt'!F6</f>
        <v>248.3</v>
      </c>
      <c r="F10">
        <f>'Exhibit 1_Fin Stmnt'!G6</f>
        <v>271.8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4"/>
  <sheetViews>
    <sheetView showGridLines="0" topLeftCell="A11" zoomScale="121" zoomScaleNormal="121" workbookViewId="0">
      <selection activeCell="C14" sqref="C14:G14"/>
    </sheetView>
  </sheetViews>
  <sheetFormatPr defaultColWidth="10.875" defaultRowHeight="15.75" x14ac:dyDescent="0.25"/>
  <cols>
    <col min="1" max="1" width="2.375" style="1" customWidth="1"/>
    <col min="2" max="2" width="35" style="2" customWidth="1"/>
    <col min="3" max="16384" width="10.875" style="2"/>
  </cols>
  <sheetData>
    <row r="1" spans="1:12" x14ac:dyDescent="0.25">
      <c r="A1" s="2" t="s">
        <v>0</v>
      </c>
    </row>
    <row r="2" spans="1:12" x14ac:dyDescent="0.25">
      <c r="A2" s="1" t="s">
        <v>43</v>
      </c>
    </row>
    <row r="3" spans="1:12" x14ac:dyDescent="0.25">
      <c r="A3" s="2" t="s">
        <v>72</v>
      </c>
    </row>
    <row r="5" spans="1:12" x14ac:dyDescent="0.25">
      <c r="C5" s="1">
        <v>2015</v>
      </c>
      <c r="D5" s="1">
        <v>2016</v>
      </c>
      <c r="E5" s="1">
        <v>2017</v>
      </c>
      <c r="F5" s="1">
        <v>2018</v>
      </c>
      <c r="G5" s="1">
        <v>2019</v>
      </c>
      <c r="H5" s="1">
        <v>2015</v>
      </c>
      <c r="I5" s="1">
        <v>2016</v>
      </c>
      <c r="J5" s="1">
        <v>2017</v>
      </c>
      <c r="K5" s="1">
        <v>2018</v>
      </c>
      <c r="L5" s="1">
        <v>2019</v>
      </c>
    </row>
    <row r="6" spans="1:12" ht="24" customHeight="1" x14ac:dyDescent="0.25">
      <c r="B6" s="2" t="s">
        <v>1</v>
      </c>
      <c r="C6" s="13">
        <v>190.5</v>
      </c>
      <c r="D6" s="13">
        <v>185.6</v>
      </c>
      <c r="E6" s="13">
        <v>209.8</v>
      </c>
      <c r="F6" s="13">
        <v>248.3</v>
      </c>
      <c r="G6" s="13">
        <v>271.8</v>
      </c>
    </row>
    <row r="7" spans="1:12" ht="18" x14ac:dyDescent="0.4">
      <c r="B7" s="2" t="s">
        <v>2</v>
      </c>
      <c r="C7" s="14">
        <v>136.9</v>
      </c>
      <c r="D7" s="14">
        <v>135.80000000000001</v>
      </c>
      <c r="E7" s="14">
        <v>156.80000000000001</v>
      </c>
      <c r="F7" s="14">
        <v>189.3</v>
      </c>
      <c r="G7" s="14">
        <v>212.1</v>
      </c>
      <c r="H7" s="6"/>
      <c r="I7" s="6"/>
      <c r="J7" s="6"/>
      <c r="K7" s="6"/>
      <c r="L7" s="6"/>
    </row>
    <row r="8" spans="1:12" x14ac:dyDescent="0.25">
      <c r="B8" s="2" t="s">
        <v>3</v>
      </c>
      <c r="C8" s="13">
        <f>C6-C7</f>
        <v>53.599999999999994</v>
      </c>
      <c r="D8" s="13">
        <f>D6-D7</f>
        <v>49.799999999999983</v>
      </c>
      <c r="E8" s="13">
        <f t="shared" ref="E8:F8" si="0">E6-E7</f>
        <v>53</v>
      </c>
      <c r="F8" s="13">
        <f t="shared" si="0"/>
        <v>59</v>
      </c>
      <c r="G8" s="13">
        <f>G6-G7</f>
        <v>59.700000000000017</v>
      </c>
      <c r="H8" s="5">
        <f>C8/C6</f>
        <v>0.28136482939632546</v>
      </c>
      <c r="I8" s="5">
        <f t="shared" ref="I8:L8" si="1">D8/D6</f>
        <v>0.26831896551724127</v>
      </c>
      <c r="J8" s="5">
        <f t="shared" si="1"/>
        <v>0.25262154432793132</v>
      </c>
      <c r="K8" s="5">
        <f t="shared" si="1"/>
        <v>0.23761578735400724</v>
      </c>
      <c r="L8" s="5">
        <f t="shared" si="1"/>
        <v>0.21964679911699786</v>
      </c>
    </row>
    <row r="9" spans="1:12" ht="18" x14ac:dyDescent="0.4">
      <c r="B9" s="2" t="s">
        <v>4</v>
      </c>
      <c r="C9" s="14">
        <v>18.8</v>
      </c>
      <c r="D9" s="14">
        <v>28.8</v>
      </c>
      <c r="E9" s="14">
        <v>38.299999999999997</v>
      </c>
      <c r="F9" s="14">
        <v>47.5</v>
      </c>
      <c r="G9" s="14">
        <v>47</v>
      </c>
      <c r="H9" s="6"/>
      <c r="I9" s="6"/>
      <c r="J9" s="6"/>
      <c r="K9" s="6"/>
      <c r="L9" s="6"/>
    </row>
    <row r="10" spans="1:12" x14ac:dyDescent="0.25">
      <c r="B10" s="2" t="s">
        <v>5</v>
      </c>
      <c r="C10" s="13">
        <f>C8-C9</f>
        <v>34.799999999999997</v>
      </c>
      <c r="D10" s="13">
        <f>D8-D9</f>
        <v>20.999999999999982</v>
      </c>
      <c r="E10" s="13">
        <f t="shared" ref="E10:G10" si="2">E8-E9</f>
        <v>14.700000000000003</v>
      </c>
      <c r="F10" s="13">
        <f t="shared" si="2"/>
        <v>11.5</v>
      </c>
      <c r="G10" s="13">
        <f t="shared" si="2"/>
        <v>12.700000000000017</v>
      </c>
      <c r="H10" s="5">
        <f>C10/C6</f>
        <v>0.18267716535433071</v>
      </c>
      <c r="I10" s="5">
        <f t="shared" ref="I10:L10" si="3">D10/D6</f>
        <v>0.11314655172413784</v>
      </c>
      <c r="J10" s="5">
        <f t="shared" si="3"/>
        <v>7.006673021925644E-2</v>
      </c>
      <c r="K10" s="5">
        <f t="shared" si="3"/>
        <v>4.6314941602899715E-2</v>
      </c>
      <c r="L10" s="5">
        <f t="shared" si="3"/>
        <v>4.6725533480500431E-2</v>
      </c>
    </row>
    <row r="11" spans="1:12" ht="18" x14ac:dyDescent="0.4">
      <c r="B11" s="2" t="s">
        <v>6</v>
      </c>
      <c r="C11" s="14">
        <v>0.92</v>
      </c>
      <c r="D11" s="14">
        <v>0.48</v>
      </c>
      <c r="E11" s="14">
        <v>6.96</v>
      </c>
      <c r="F11" s="14">
        <v>6.1</v>
      </c>
      <c r="G11" s="14">
        <v>5.6</v>
      </c>
    </row>
    <row r="12" spans="1:12" x14ac:dyDescent="0.25">
      <c r="B12" s="2" t="s">
        <v>44</v>
      </c>
      <c r="C12" s="13">
        <f>C10-C11</f>
        <v>33.879999999999995</v>
      </c>
      <c r="D12" s="13">
        <f>D10-D11</f>
        <v>20.519999999999982</v>
      </c>
      <c r="E12" s="13">
        <f t="shared" ref="E12:G12" si="4">E10-E11</f>
        <v>7.7400000000000029</v>
      </c>
      <c r="F12" s="13">
        <f t="shared" si="4"/>
        <v>5.4</v>
      </c>
      <c r="G12" s="13">
        <f t="shared" si="4"/>
        <v>7.1000000000000174</v>
      </c>
    </row>
    <row r="13" spans="1:12" ht="18" x14ac:dyDescent="0.4">
      <c r="B13" s="2" t="s">
        <v>7</v>
      </c>
      <c r="C13" s="14">
        <v>7.78</v>
      </c>
      <c r="D13" s="14">
        <v>4.97</v>
      </c>
      <c r="E13" s="14">
        <v>1.89</v>
      </c>
      <c r="F13" s="14">
        <v>1.41</v>
      </c>
      <c r="G13" s="14">
        <v>1.68</v>
      </c>
    </row>
    <row r="14" spans="1:12" x14ac:dyDescent="0.25">
      <c r="B14" s="2" t="s">
        <v>8</v>
      </c>
      <c r="C14" s="13">
        <f>C12-C13</f>
        <v>26.099999999999994</v>
      </c>
      <c r="D14" s="13">
        <f>D12-D13</f>
        <v>15.549999999999983</v>
      </c>
      <c r="E14" s="13">
        <f t="shared" ref="E14:G14" si="5">E12-E13</f>
        <v>5.8500000000000032</v>
      </c>
      <c r="F14" s="13">
        <f t="shared" si="5"/>
        <v>3.99</v>
      </c>
      <c r="G14" s="13">
        <f t="shared" si="5"/>
        <v>5.4200000000000177</v>
      </c>
    </row>
    <row r="15" spans="1:12" x14ac:dyDescent="0.25">
      <c r="C15" s="13"/>
      <c r="D15" s="13"/>
      <c r="E15" s="13"/>
      <c r="F15" s="13"/>
      <c r="G15" s="13"/>
    </row>
    <row r="16" spans="1:12" x14ac:dyDescent="0.25">
      <c r="C16" s="13"/>
      <c r="D16" s="13"/>
      <c r="E16" s="13"/>
      <c r="F16" s="13"/>
      <c r="G16" s="13"/>
    </row>
    <row r="17" spans="2:7" x14ac:dyDescent="0.25">
      <c r="B17" s="2" t="s">
        <v>9</v>
      </c>
      <c r="C17" s="13">
        <v>10.5</v>
      </c>
      <c r="D17" s="13">
        <v>9.8000000000000007</v>
      </c>
      <c r="E17" s="13">
        <v>10.5</v>
      </c>
      <c r="F17" s="13">
        <v>10.4</v>
      </c>
      <c r="G17" s="13">
        <v>8.5</v>
      </c>
    </row>
    <row r="18" spans="2:7" x14ac:dyDescent="0.25">
      <c r="B18" s="2" t="s">
        <v>45</v>
      </c>
      <c r="C18" s="13">
        <v>10</v>
      </c>
      <c r="D18" s="13">
        <v>9.6999999999999993</v>
      </c>
      <c r="E18" s="13">
        <v>10.1</v>
      </c>
      <c r="F18" s="13">
        <v>13.8</v>
      </c>
      <c r="G18" s="13">
        <v>15</v>
      </c>
    </row>
    <row r="19" spans="2:7" x14ac:dyDescent="0.25">
      <c r="B19" s="2" t="s">
        <v>10</v>
      </c>
      <c r="C19" s="13">
        <v>6.7</v>
      </c>
      <c r="D19" s="13">
        <v>7.7</v>
      </c>
      <c r="E19" s="13">
        <v>8.4</v>
      </c>
      <c r="F19" s="13">
        <v>10.9</v>
      </c>
      <c r="G19" s="13">
        <v>12</v>
      </c>
    </row>
    <row r="20" spans="2:7" ht="18" x14ac:dyDescent="0.4">
      <c r="B20" s="2" t="s">
        <v>11</v>
      </c>
      <c r="C20" s="14">
        <v>3.6</v>
      </c>
      <c r="D20" s="14">
        <v>3.2</v>
      </c>
      <c r="E20" s="14">
        <v>4.5999999999999996</v>
      </c>
      <c r="F20" s="14">
        <v>6.9</v>
      </c>
      <c r="G20" s="14">
        <v>7.7</v>
      </c>
    </row>
    <row r="21" spans="2:7" x14ac:dyDescent="0.25">
      <c r="B21" s="2" t="s">
        <v>12</v>
      </c>
      <c r="C21" s="13">
        <f>SUM(C17:C20)</f>
        <v>30.8</v>
      </c>
      <c r="D21" s="13">
        <f>SUM(D17:D20)</f>
        <v>30.4</v>
      </c>
      <c r="E21" s="13">
        <f t="shared" ref="E21:G21" si="6">SUM(E17:E20)</f>
        <v>33.6</v>
      </c>
      <c r="F21" s="13">
        <f t="shared" si="6"/>
        <v>42</v>
      </c>
      <c r="G21" s="13">
        <f t="shared" si="6"/>
        <v>43.2</v>
      </c>
    </row>
    <row r="22" spans="2:7" ht="23.25" customHeight="1" x14ac:dyDescent="0.25">
      <c r="B22" s="2" t="s">
        <v>13</v>
      </c>
      <c r="C22" s="13">
        <v>92</v>
      </c>
      <c r="D22" s="13">
        <v>89.9</v>
      </c>
      <c r="E22" s="13">
        <v>264.39999999999998</v>
      </c>
      <c r="F22" s="13">
        <v>275.5</v>
      </c>
      <c r="G22" s="13">
        <v>289</v>
      </c>
    </row>
    <row r="23" spans="2:7" ht="18" x14ac:dyDescent="0.4">
      <c r="B23" s="2" t="s">
        <v>14</v>
      </c>
      <c r="C23" s="14">
        <v>47.1</v>
      </c>
      <c r="D23" s="14">
        <v>47.6</v>
      </c>
      <c r="E23" s="14">
        <v>48.9</v>
      </c>
      <c r="F23" s="14">
        <v>46.6</v>
      </c>
      <c r="G23" s="14">
        <v>49.7</v>
      </c>
    </row>
    <row r="24" spans="2:7" x14ac:dyDescent="0.25">
      <c r="B24" s="2" t="s">
        <v>15</v>
      </c>
      <c r="C24" s="13">
        <f>C21+C22+C23</f>
        <v>169.9</v>
      </c>
      <c r="D24" s="13">
        <f>D21+D22+D23</f>
        <v>167.9</v>
      </c>
      <c r="E24" s="13">
        <f t="shared" ref="E24:G24" si="7">E21+E22+E23</f>
        <v>346.9</v>
      </c>
      <c r="F24" s="13">
        <f t="shared" si="7"/>
        <v>364.1</v>
      </c>
      <c r="G24" s="13">
        <f t="shared" si="7"/>
        <v>381.9</v>
      </c>
    </row>
    <row r="25" spans="2:7" x14ac:dyDescent="0.25">
      <c r="C25" s="13"/>
      <c r="D25" s="13"/>
      <c r="E25" s="13"/>
      <c r="F25" s="13"/>
      <c r="G25" s="13"/>
    </row>
    <row r="26" spans="2:7" x14ac:dyDescent="0.25">
      <c r="B26" s="2" t="s">
        <v>16</v>
      </c>
      <c r="C26" s="13">
        <v>12.2</v>
      </c>
      <c r="D26" s="13">
        <v>13.4</v>
      </c>
      <c r="E26" s="13">
        <v>15.4</v>
      </c>
      <c r="F26" s="13">
        <v>14.4</v>
      </c>
      <c r="G26" s="13">
        <v>12.3</v>
      </c>
    </row>
    <row r="27" spans="2:7" x14ac:dyDescent="0.25">
      <c r="B27" s="2" t="s">
        <v>17</v>
      </c>
      <c r="C27" s="13">
        <v>12.4</v>
      </c>
      <c r="D27" s="13">
        <v>14.4</v>
      </c>
      <c r="E27" s="13">
        <v>13.8</v>
      </c>
      <c r="F27" s="13">
        <v>13.7</v>
      </c>
      <c r="G27" s="13">
        <v>15</v>
      </c>
    </row>
    <row r="28" spans="2:7" ht="18" x14ac:dyDescent="0.4">
      <c r="B28" s="2" t="s">
        <v>18</v>
      </c>
      <c r="C28" s="14">
        <v>8.1</v>
      </c>
      <c r="D28" s="14">
        <v>7.8</v>
      </c>
      <c r="E28" s="14">
        <v>5.6</v>
      </c>
      <c r="F28" s="14">
        <v>6.6</v>
      </c>
      <c r="G28" s="14">
        <v>8.3000000000000007</v>
      </c>
    </row>
    <row r="29" spans="2:7" x14ac:dyDescent="0.25">
      <c r="B29" s="2" t="s">
        <v>19</v>
      </c>
      <c r="C29" s="13">
        <f>SUM(C26:C28)</f>
        <v>32.700000000000003</v>
      </c>
      <c r="D29" s="13">
        <f>SUM(D26:D28)</f>
        <v>35.6</v>
      </c>
      <c r="E29" s="13">
        <f>SUM(E26:E28)</f>
        <v>34.800000000000004</v>
      </c>
      <c r="F29" s="13">
        <f>SUM(F26:F28)</f>
        <v>34.700000000000003</v>
      </c>
      <c r="G29" s="13">
        <f>SUM(G26:G28)</f>
        <v>35.6</v>
      </c>
    </row>
    <row r="30" spans="2:7" x14ac:dyDescent="0.25">
      <c r="B30" s="2" t="s">
        <v>20</v>
      </c>
      <c r="C30" s="13">
        <v>29.5</v>
      </c>
      <c r="D30" s="13">
        <v>9.0500000000000185</v>
      </c>
      <c r="E30" s="13">
        <v>182.99999999999997</v>
      </c>
      <c r="F30" s="13">
        <v>196.31</v>
      </c>
      <c r="G30" s="13">
        <v>207.78999999999996</v>
      </c>
    </row>
    <row r="31" spans="2:7" x14ac:dyDescent="0.25">
      <c r="B31" s="2" t="s">
        <v>46</v>
      </c>
      <c r="C31" s="15">
        <v>107.7</v>
      </c>
      <c r="D31" s="15">
        <v>123.24999999999999</v>
      </c>
      <c r="E31" s="15">
        <v>129.1</v>
      </c>
      <c r="F31" s="15">
        <v>133.09</v>
      </c>
      <c r="G31" s="15">
        <v>138.51000000000002</v>
      </c>
    </row>
    <row r="32" spans="2:7" x14ac:dyDescent="0.25">
      <c r="B32" s="2" t="s">
        <v>69</v>
      </c>
      <c r="C32" s="16">
        <f>SUM(C29:C31)</f>
        <v>169.9</v>
      </c>
      <c r="D32" s="16">
        <f>SUM(D29:D31)</f>
        <v>167.9</v>
      </c>
      <c r="E32" s="16">
        <f t="shared" ref="E32:G32" si="8">SUM(E29:E31)</f>
        <v>346.9</v>
      </c>
      <c r="F32" s="16">
        <f t="shared" si="8"/>
        <v>364.1</v>
      </c>
      <c r="G32" s="16">
        <f t="shared" si="8"/>
        <v>381.9</v>
      </c>
    </row>
    <row r="34" spans="1:1" x14ac:dyDescent="0.25">
      <c r="A34" s="2" t="s">
        <v>86</v>
      </c>
    </row>
  </sheetData>
  <pageMargins left="0.7" right="0.7" top="0.75" bottom="0.75" header="0.3" footer="0.3"/>
  <pageSetup scale="90"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8DF31-9ACB-254B-9E47-4DB65B9A7FAB}">
  <dimension ref="A1:D24"/>
  <sheetViews>
    <sheetView showGridLines="0" zoomScale="119" zoomScaleNormal="119" workbookViewId="0">
      <selection activeCell="D9" sqref="D9:D10"/>
    </sheetView>
  </sheetViews>
  <sheetFormatPr defaultColWidth="10.875" defaultRowHeight="15.75" x14ac:dyDescent="0.25"/>
  <cols>
    <col min="1" max="1" width="5" style="2" customWidth="1"/>
    <col min="2" max="2" width="49.5" style="2" customWidth="1"/>
    <col min="3" max="16384" width="10.875" style="2"/>
  </cols>
  <sheetData>
    <row r="1" spans="1:4" s="1" customFormat="1" ht="17.25" customHeight="1" x14ac:dyDescent="0.25">
      <c r="A1" s="2" t="s">
        <v>22</v>
      </c>
    </row>
    <row r="2" spans="1:4" s="1" customFormat="1" x14ac:dyDescent="0.25">
      <c r="A2" s="1" t="s">
        <v>43</v>
      </c>
    </row>
    <row r="3" spans="1:4" x14ac:dyDescent="0.25">
      <c r="A3" s="2" t="s">
        <v>74</v>
      </c>
    </row>
    <row r="5" spans="1:4" x14ac:dyDescent="0.25">
      <c r="A5" s="17" t="s">
        <v>75</v>
      </c>
    </row>
    <row r="6" spans="1:4" ht="9" customHeight="1" x14ac:dyDescent="0.25"/>
    <row r="7" spans="1:4" x14ac:dyDescent="0.25">
      <c r="C7" s="18" t="s">
        <v>76</v>
      </c>
      <c r="D7" s="18" t="s">
        <v>77</v>
      </c>
    </row>
    <row r="8" spans="1:4" x14ac:dyDescent="0.25">
      <c r="B8" s="2" t="s">
        <v>88</v>
      </c>
      <c r="C8" s="19">
        <v>-1.2E-2</v>
      </c>
      <c r="D8" s="19">
        <v>2.3E-2</v>
      </c>
    </row>
    <row r="9" spans="1:4" x14ac:dyDescent="0.25">
      <c r="B9" s="2" t="s">
        <v>89</v>
      </c>
      <c r="C9" s="19">
        <v>8.8999999999999996E-2</v>
      </c>
      <c r="D9" s="19">
        <v>7.0999999999999994E-2</v>
      </c>
    </row>
    <row r="10" spans="1:4" x14ac:dyDescent="0.25">
      <c r="B10" s="2" t="s">
        <v>90</v>
      </c>
      <c r="C10" s="19">
        <v>0.19400000000000001</v>
      </c>
      <c r="D10" s="19">
        <v>0.13300000000000001</v>
      </c>
    </row>
    <row r="11" spans="1:4" x14ac:dyDescent="0.25">
      <c r="C11" s="18"/>
      <c r="D11" s="18"/>
    </row>
    <row r="12" spans="1:4" x14ac:dyDescent="0.25">
      <c r="A12" s="17" t="s">
        <v>78</v>
      </c>
    </row>
    <row r="14" spans="1:4" x14ac:dyDescent="0.25">
      <c r="B14" s="2" t="s">
        <v>79</v>
      </c>
      <c r="D14" s="19">
        <v>0.08</v>
      </c>
    </row>
    <row r="15" spans="1:4" x14ac:dyDescent="0.25">
      <c r="B15" s="2" t="s">
        <v>80</v>
      </c>
      <c r="D15" s="19">
        <v>6.0999999999999999E-2</v>
      </c>
    </row>
    <row r="17" spans="1:2" s="22" customFormat="1" ht="18.95" customHeight="1" x14ac:dyDescent="0.25">
      <c r="A17" s="22" t="s">
        <v>87</v>
      </c>
      <c r="B17" s="21"/>
    </row>
    <row r="18" spans="1:2" s="22" customFormat="1" ht="18.95" customHeight="1" x14ac:dyDescent="0.25">
      <c r="B18" s="21" t="s">
        <v>91</v>
      </c>
    </row>
    <row r="19" spans="1:2" s="22" customFormat="1" ht="18.95" customHeight="1" x14ac:dyDescent="0.25">
      <c r="B19" s="21" t="s">
        <v>81</v>
      </c>
    </row>
    <row r="20" spans="1:2" s="22" customFormat="1" ht="18.95" customHeight="1" x14ac:dyDescent="0.25">
      <c r="B20" s="21" t="s">
        <v>82</v>
      </c>
    </row>
    <row r="21" spans="1:2" s="22" customFormat="1" ht="18.95" customHeight="1" x14ac:dyDescent="0.25">
      <c r="B21" s="22" t="s">
        <v>84</v>
      </c>
    </row>
    <row r="22" spans="1:2" s="22" customFormat="1" ht="18.95" customHeight="1" x14ac:dyDescent="0.25">
      <c r="B22" s="21" t="s">
        <v>83</v>
      </c>
    </row>
    <row r="23" spans="1:2" s="20" customFormat="1" ht="12.75" x14ac:dyDescent="0.2"/>
    <row r="24" spans="1:2" s="20" customFormat="1" ht="12.75" x14ac:dyDescent="0.2"/>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9"/>
  <sheetViews>
    <sheetView showGridLines="0" zoomScale="119" zoomScaleNormal="119" workbookViewId="0">
      <selection activeCell="D28" sqref="D28:H28"/>
    </sheetView>
  </sheetViews>
  <sheetFormatPr defaultColWidth="10.875" defaultRowHeight="15.75" x14ac:dyDescent="0.25"/>
  <cols>
    <col min="1" max="1" width="4.5" style="1" customWidth="1"/>
    <col min="2" max="2" width="19.5" style="2" customWidth="1"/>
    <col min="3" max="3" width="33" style="2" customWidth="1"/>
    <col min="4" max="4" width="7.5" style="2" customWidth="1"/>
    <col min="5" max="8" width="8.875" style="2" customWidth="1"/>
    <col min="9" max="16384" width="10.875" style="2"/>
  </cols>
  <sheetData>
    <row r="1" spans="1:8" x14ac:dyDescent="0.25">
      <c r="A1" s="2" t="s">
        <v>73</v>
      </c>
    </row>
    <row r="2" spans="1:8" x14ac:dyDescent="0.25">
      <c r="A2" s="1" t="s">
        <v>43</v>
      </c>
    </row>
    <row r="3" spans="1:8" x14ac:dyDescent="0.25">
      <c r="A3" s="2" t="s">
        <v>47</v>
      </c>
    </row>
    <row r="5" spans="1:8" ht="17.25" customHeight="1" x14ac:dyDescent="0.25">
      <c r="B5" s="1"/>
      <c r="C5" s="1"/>
      <c r="D5" s="1">
        <v>2015</v>
      </c>
      <c r="E5" s="1">
        <v>2016</v>
      </c>
      <c r="F5" s="1">
        <v>2017</v>
      </c>
      <c r="G5" s="1">
        <v>2018</v>
      </c>
      <c r="H5" s="1">
        <v>2019</v>
      </c>
    </row>
    <row r="6" spans="1:8" ht="11.25" customHeight="1" x14ac:dyDescent="0.25">
      <c r="B6" s="1"/>
      <c r="C6" s="1"/>
      <c r="D6" s="1"/>
      <c r="E6" s="1"/>
      <c r="F6" s="1"/>
      <c r="G6" s="1"/>
      <c r="H6" s="1"/>
    </row>
    <row r="7" spans="1:8" ht="17.25" customHeight="1" x14ac:dyDescent="0.25">
      <c r="B7" s="1" t="s">
        <v>33</v>
      </c>
      <c r="C7" s="1"/>
      <c r="D7" s="1"/>
      <c r="E7" s="1"/>
      <c r="F7" s="1"/>
      <c r="G7" s="1"/>
      <c r="H7" s="1"/>
    </row>
    <row r="8" spans="1:8" ht="17.25" customHeight="1" x14ac:dyDescent="0.25">
      <c r="B8" s="2" t="s">
        <v>36</v>
      </c>
      <c r="C8" s="2" t="s">
        <v>48</v>
      </c>
      <c r="D8" s="6">
        <v>5.5E-2</v>
      </c>
      <c r="E8" s="6">
        <f>'Exhibit 1_Fin Stmnt'!D6/'Exhibit 1_Fin Stmnt'!C6-1</f>
        <v>-2.5721784776902901E-2</v>
      </c>
      <c r="F8" s="6">
        <f>'Exhibit 1_Fin Stmnt'!E6/'Exhibit 1_Fin Stmnt'!D6-1</f>
        <v>0.13038793103448287</v>
      </c>
      <c r="G8" s="6">
        <f>'Exhibit 1_Fin Stmnt'!F6/'Exhibit 1_Fin Stmnt'!E6-1</f>
        <v>0.18350810295519548</v>
      </c>
      <c r="H8" s="6">
        <f>'Exhibit 1_Fin Stmnt'!G6/'Exhibit 1_Fin Stmnt'!F6-1</f>
        <v>9.4643576318969025E-2</v>
      </c>
    </row>
    <row r="9" spans="1:8" ht="17.25" customHeight="1" x14ac:dyDescent="0.25">
      <c r="B9" s="2" t="s">
        <v>37</v>
      </c>
      <c r="C9" s="2" t="s">
        <v>49</v>
      </c>
      <c r="D9" s="6">
        <f>'Exhibit 1_Fin Stmnt'!C14/'Exhibit 1_Fin Stmnt'!C24</f>
        <v>0.15361977633902291</v>
      </c>
      <c r="E9" s="6">
        <f>'Exhibit 1_Fin Stmnt'!D14/'Exhibit 1_Fin Stmnt'!D24</f>
        <v>9.2614651578320328E-2</v>
      </c>
      <c r="F9" s="6">
        <f>'Exhibit 1_Fin Stmnt'!E14/'Exhibit 1_Fin Stmnt'!E24</f>
        <v>1.6863649466705113E-2</v>
      </c>
      <c r="G9" s="6">
        <f>'Exhibit 1_Fin Stmnt'!F14/'Exhibit 1_Fin Stmnt'!F24</f>
        <v>1.095852787695688E-2</v>
      </c>
      <c r="H9" s="6">
        <f>'Exhibit 1_Fin Stmnt'!G14/'Exhibit 1_Fin Stmnt'!G24</f>
        <v>1.419219691018596E-2</v>
      </c>
    </row>
    <row r="10" spans="1:8" ht="17.25" customHeight="1" x14ac:dyDescent="0.25">
      <c r="B10" s="2" t="s">
        <v>38</v>
      </c>
      <c r="C10" s="2" t="s">
        <v>50</v>
      </c>
      <c r="D10" s="6">
        <f>D32/D34</f>
        <v>0.19023323615160351</v>
      </c>
      <c r="E10" s="6">
        <f>E32/E34</f>
        <v>0.11904761904761893</v>
      </c>
      <c r="F10" s="6">
        <f>F32/F34</f>
        <v>3.5325216276834361E-2</v>
      </c>
      <c r="G10" s="6">
        <f>G32/G34</f>
        <v>2.6183970856102006E-2</v>
      </c>
      <c r="H10" s="6">
        <f>H32/H34</f>
        <v>2.7505053421888578E-2</v>
      </c>
    </row>
    <row r="11" spans="1:8" ht="17.25" customHeight="1" x14ac:dyDescent="0.25">
      <c r="B11" s="2" t="s">
        <v>23</v>
      </c>
      <c r="C11" s="2" t="s">
        <v>51</v>
      </c>
      <c r="D11" s="6">
        <f>'Exhibit 1_Fin Stmnt'!C14/'Exhibit 1_Fin Stmnt'!C31</f>
        <v>0.24233983286908073</v>
      </c>
      <c r="E11" s="6">
        <f>'Exhibit 1_Fin Stmnt'!D14/'Exhibit 1_Fin Stmnt'!D31</f>
        <v>0.12616632860040555</v>
      </c>
      <c r="F11" s="6">
        <f>'Exhibit 1_Fin Stmnt'!E14/'Exhibit 1_Fin Stmnt'!E31</f>
        <v>4.5313710302091428E-2</v>
      </c>
      <c r="G11" s="6">
        <f>'Exhibit 1_Fin Stmnt'!F14/'Exhibit 1_Fin Stmnt'!F31</f>
        <v>2.9979712976181534E-2</v>
      </c>
      <c r="H11" s="6">
        <f>'Exhibit 1_Fin Stmnt'!G14/'Exhibit 1_Fin Stmnt'!G31</f>
        <v>3.9130748682405722E-2</v>
      </c>
    </row>
    <row r="13" spans="1:8" ht="17.25" customHeight="1" x14ac:dyDescent="0.25">
      <c r="D13" s="6"/>
      <c r="E13" s="6"/>
      <c r="F13" s="6"/>
      <c r="G13" s="6"/>
      <c r="H13" s="6"/>
    </row>
    <row r="14" spans="1:8" ht="17.25" customHeight="1" x14ac:dyDescent="0.25">
      <c r="B14" s="1" t="s">
        <v>30</v>
      </c>
      <c r="C14" s="1"/>
      <c r="D14" s="6"/>
      <c r="E14" s="6"/>
      <c r="F14" s="6"/>
      <c r="G14" s="6"/>
      <c r="H14" s="6"/>
    </row>
    <row r="15" spans="1:8" ht="17.25" customHeight="1" x14ac:dyDescent="0.25">
      <c r="B15" s="2" t="s">
        <v>21</v>
      </c>
      <c r="C15" s="2" t="s">
        <v>52</v>
      </c>
      <c r="D15" s="6">
        <f>'Exhibit 1_Fin Stmnt'!C8/'Exhibit 1_Fin Stmnt'!C6</f>
        <v>0.28136482939632546</v>
      </c>
      <c r="E15" s="6">
        <f>'Exhibit 1_Fin Stmnt'!D8/'Exhibit 1_Fin Stmnt'!D6</f>
        <v>0.26831896551724127</v>
      </c>
      <c r="F15" s="6">
        <f>'Exhibit 1_Fin Stmnt'!E8/'Exhibit 1_Fin Stmnt'!E6</f>
        <v>0.25262154432793132</v>
      </c>
      <c r="G15" s="6">
        <f>'Exhibit 1_Fin Stmnt'!F8/'Exhibit 1_Fin Stmnt'!F6</f>
        <v>0.23761578735400724</v>
      </c>
      <c r="H15" s="6">
        <f>'Exhibit 1_Fin Stmnt'!G8/'Exhibit 1_Fin Stmnt'!G6</f>
        <v>0.21964679911699786</v>
      </c>
    </row>
    <row r="16" spans="1:8" ht="17.25" customHeight="1" x14ac:dyDescent="0.25">
      <c r="B16" s="2" t="s">
        <v>53</v>
      </c>
      <c r="C16" s="2" t="s">
        <v>54</v>
      </c>
      <c r="D16" s="6">
        <f>'Exhibit 1_Fin Stmnt'!C9/'Exhibit 1_Fin Stmnt'!C6</f>
        <v>9.8687664041994749E-2</v>
      </c>
      <c r="E16" s="6">
        <f>'Exhibit 1_Fin Stmnt'!D9/'Exhibit 1_Fin Stmnt'!D6</f>
        <v>0.15517241379310345</v>
      </c>
      <c r="F16" s="6">
        <f>'Exhibit 1_Fin Stmnt'!E9/'Exhibit 1_Fin Stmnt'!E6</f>
        <v>0.18255481410867491</v>
      </c>
      <c r="G16" s="6">
        <f>'Exhibit 1_Fin Stmnt'!F9/'Exhibit 1_Fin Stmnt'!F6</f>
        <v>0.19130084575110753</v>
      </c>
      <c r="H16" s="6">
        <f>'Exhibit 1_Fin Stmnt'!G9/'Exhibit 1_Fin Stmnt'!G6</f>
        <v>0.17292126563649743</v>
      </c>
    </row>
    <row r="17" spans="1:8" ht="17.25" customHeight="1" x14ac:dyDescent="0.25">
      <c r="B17" s="2" t="s">
        <v>25</v>
      </c>
      <c r="C17" s="2" t="s">
        <v>55</v>
      </c>
      <c r="D17" s="6">
        <f>'Exhibit 1_Fin Stmnt'!C10/'Exhibit 1_Fin Stmnt'!C6</f>
        <v>0.18267716535433071</v>
      </c>
      <c r="E17" s="6">
        <f>'Exhibit 1_Fin Stmnt'!D10/'Exhibit 1_Fin Stmnt'!D6</f>
        <v>0.11314655172413784</v>
      </c>
      <c r="F17" s="6">
        <f>'Exhibit 1_Fin Stmnt'!E10/'Exhibit 1_Fin Stmnt'!E6</f>
        <v>7.006673021925644E-2</v>
      </c>
      <c r="G17" s="6">
        <f>'Exhibit 1_Fin Stmnt'!F10/'Exhibit 1_Fin Stmnt'!F6</f>
        <v>4.6314941602899715E-2</v>
      </c>
      <c r="H17" s="6">
        <f>'Exhibit 1_Fin Stmnt'!G10/'Exhibit 1_Fin Stmnt'!G6</f>
        <v>4.6725533480500431E-2</v>
      </c>
    </row>
    <row r="18" spans="1:8" ht="17.25" customHeight="1" x14ac:dyDescent="0.25">
      <c r="B18" s="2" t="s">
        <v>24</v>
      </c>
      <c r="C18" s="2" t="s">
        <v>56</v>
      </c>
      <c r="D18" s="6">
        <f>'Exhibit 1_Fin Stmnt'!C14/'Exhibit 1_Fin Stmnt'!C6</f>
        <v>0.13700787401574799</v>
      </c>
      <c r="E18" s="6">
        <f>'Exhibit 1_Fin Stmnt'!D14/'Exhibit 1_Fin Stmnt'!D6</f>
        <v>8.3782327586206809E-2</v>
      </c>
      <c r="F18" s="6">
        <f>'Exhibit 1_Fin Stmnt'!E14/'Exhibit 1_Fin Stmnt'!E6</f>
        <v>2.7883698760724513E-2</v>
      </c>
      <c r="G18" s="6">
        <f>'Exhibit 1_Fin Stmnt'!F14/'Exhibit 1_Fin Stmnt'!F6</f>
        <v>1.6069271043093032E-2</v>
      </c>
      <c r="H18" s="6">
        <f>'Exhibit 1_Fin Stmnt'!G14/'Exhibit 1_Fin Stmnt'!G6</f>
        <v>1.9941133186166363E-2</v>
      </c>
    </row>
    <row r="19" spans="1:8" ht="17.25" customHeight="1" x14ac:dyDescent="0.25">
      <c r="D19" s="6"/>
      <c r="E19" s="6"/>
      <c r="F19" s="6"/>
      <c r="G19" s="6"/>
      <c r="H19" s="6"/>
    </row>
    <row r="20" spans="1:8" ht="17.25" customHeight="1" x14ac:dyDescent="0.25">
      <c r="B20" s="1" t="s">
        <v>31</v>
      </c>
      <c r="C20" s="1"/>
      <c r="D20" s="6"/>
      <c r="E20" s="6"/>
      <c r="F20" s="6"/>
      <c r="G20" s="6"/>
      <c r="H20" s="6"/>
    </row>
    <row r="21" spans="1:8" ht="17.25" customHeight="1" x14ac:dyDescent="0.25">
      <c r="A21" s="2"/>
      <c r="B21" s="2" t="s">
        <v>34</v>
      </c>
      <c r="C21" s="2" t="s">
        <v>57</v>
      </c>
      <c r="D21" s="3">
        <f>'Exhibit 1_Fin Stmnt'!C6/'Exhibit 1_Fin Stmnt'!C24</f>
        <v>1.1212477928193054</v>
      </c>
      <c r="E21" s="3">
        <f>'Exhibit 1_Fin Stmnt'!D6/'Exhibit 1_Fin Stmnt'!D24</f>
        <v>1.1054198927933292</v>
      </c>
      <c r="F21" s="3">
        <f>'Exhibit 1_Fin Stmnt'!E6/'Exhibit 1_Fin Stmnt'!E24</f>
        <v>0.60478524070337281</v>
      </c>
      <c r="G21" s="3">
        <f>'Exhibit 1_Fin Stmnt'!F6/'Exhibit 1_Fin Stmnt'!F24</f>
        <v>0.68195550672892058</v>
      </c>
      <c r="H21" s="3">
        <f>'Exhibit 1_Fin Stmnt'!G6/'Exhibit 1_Fin Stmnt'!G24</f>
        <v>0.71170463472113121</v>
      </c>
    </row>
    <row r="22" spans="1:8" ht="17.25" customHeight="1" x14ac:dyDescent="0.25">
      <c r="B22" s="2" t="s">
        <v>28</v>
      </c>
      <c r="C22" s="2" t="s">
        <v>58</v>
      </c>
      <c r="D22" s="3">
        <f>'Exhibit 1_Fin Stmnt'!C6/'Exhibit 1_Fin Stmnt'!C22</f>
        <v>2.0706521739130435</v>
      </c>
      <c r="E22" s="3">
        <f>'Exhibit 1_Fin Stmnt'!D6/'Exhibit 1_Fin Stmnt'!D22</f>
        <v>2.064516129032258</v>
      </c>
      <c r="F22" s="3">
        <f>'Exhibit 1_Fin Stmnt'!E6/'Exhibit 1_Fin Stmnt'!E22</f>
        <v>0.7934947049924358</v>
      </c>
      <c r="G22" s="3">
        <f>'Exhibit 1_Fin Stmnt'!F6/'Exhibit 1_Fin Stmnt'!F22</f>
        <v>0.90127041742286751</v>
      </c>
      <c r="H22" s="3">
        <f>'Exhibit 1_Fin Stmnt'!G6/'Exhibit 1_Fin Stmnt'!G22</f>
        <v>0.94048442906574403</v>
      </c>
    </row>
    <row r="23" spans="1:8" ht="17.25" customHeight="1" x14ac:dyDescent="0.25">
      <c r="B23" s="2" t="s">
        <v>27</v>
      </c>
      <c r="C23" s="2" t="s">
        <v>59</v>
      </c>
      <c r="D23" s="8" t="s">
        <v>35</v>
      </c>
      <c r="E23" s="8" t="s">
        <v>35</v>
      </c>
      <c r="F23" s="8" t="s">
        <v>35</v>
      </c>
      <c r="G23" s="3">
        <f>'Exhibit 1_Fin Stmnt'!F6/'Exhibit 3+Analysis'!G33</f>
        <v>34.013698630137</v>
      </c>
      <c r="H23" s="3">
        <f>'Exhibit 1_Fin Stmnt'!G6/'Exhibit 3+Analysis'!H33</f>
        <v>35.763157894736835</v>
      </c>
    </row>
    <row r="24" spans="1:8" ht="17.25" customHeight="1" x14ac:dyDescent="0.25">
      <c r="B24" s="2" t="s">
        <v>26</v>
      </c>
      <c r="C24" s="2" t="s">
        <v>60</v>
      </c>
      <c r="D24" s="3">
        <f>'Exhibit 1_Fin Stmnt'!C18/'Exhibit 1_Fin Stmnt'!C6*365</f>
        <v>19.16010498687664</v>
      </c>
      <c r="E24" s="3">
        <f>'Exhibit 1_Fin Stmnt'!D18/'Exhibit 1_Fin Stmnt'!D6*365</f>
        <v>19.075969827586206</v>
      </c>
      <c r="F24" s="3">
        <f>'Exhibit 1_Fin Stmnt'!E18/'Exhibit 1_Fin Stmnt'!E6*365</f>
        <v>17.571496663489036</v>
      </c>
      <c r="G24" s="3">
        <f>'Exhibit 1_Fin Stmnt'!F18/'Exhibit 1_Fin Stmnt'!F6*365</f>
        <v>20.285944422070074</v>
      </c>
      <c r="H24" s="3">
        <f>'Exhibit 1_Fin Stmnt'!G18/'Exhibit 1_Fin Stmnt'!G6*365</f>
        <v>20.143487858719645</v>
      </c>
    </row>
    <row r="25" spans="1:8" ht="17.25" customHeight="1" x14ac:dyDescent="0.25">
      <c r="B25" s="2" t="s">
        <v>39</v>
      </c>
      <c r="C25" s="2" t="s">
        <v>61</v>
      </c>
      <c r="D25" s="3">
        <f>'Exhibit 1_Fin Stmnt'!C19/'Exhibit 1_Fin Stmnt'!C7*365</f>
        <v>17.863403944485025</v>
      </c>
      <c r="E25" s="3">
        <f>'Exhibit 1_Fin Stmnt'!D19/'Exhibit 1_Fin Stmnt'!D7*365</f>
        <v>20.695876288659793</v>
      </c>
      <c r="F25" s="3">
        <f>'Exhibit 1_Fin Stmnt'!E19/'Exhibit 1_Fin Stmnt'!E7*365</f>
        <v>19.553571428571427</v>
      </c>
      <c r="G25" s="3">
        <f>'Exhibit 1_Fin Stmnt'!F19/'Exhibit 1_Fin Stmnt'!F7*365</f>
        <v>21.016904384574747</v>
      </c>
      <c r="H25" s="3">
        <f>'Exhibit 1_Fin Stmnt'!G19/'Exhibit 1_Fin Stmnt'!G7*365</f>
        <v>20.650636492220652</v>
      </c>
    </row>
    <row r="26" spans="1:8" ht="17.25" customHeight="1" x14ac:dyDescent="0.25">
      <c r="B26" s="2" t="s">
        <v>40</v>
      </c>
      <c r="C26" s="2" t="s">
        <v>62</v>
      </c>
      <c r="D26" s="3">
        <f>'Exhibit 1_Fin Stmnt'!C26/'Exhibit 1_Fin Stmnt'!C7*365</f>
        <v>32.527392257121981</v>
      </c>
      <c r="E26" s="3">
        <f>'Exhibit 1_Fin Stmnt'!D26/'Exhibit 1_Fin Stmnt'!D7*365</f>
        <v>36.016200294550806</v>
      </c>
      <c r="F26" s="3">
        <f>'Exhibit 1_Fin Stmnt'!E26/'Exhibit 1_Fin Stmnt'!E7*365</f>
        <v>35.848214285714285</v>
      </c>
      <c r="G26" s="3">
        <f>'Exhibit 1_Fin Stmnt'!F26/'Exhibit 1_Fin Stmnt'!F7*365</f>
        <v>27.765451664025356</v>
      </c>
      <c r="H26" s="3">
        <f>'Exhibit 1_Fin Stmnt'!G26/'Exhibit 1_Fin Stmnt'!G7*365</f>
        <v>21.166902404526169</v>
      </c>
    </row>
    <row r="27" spans="1:8" ht="17.25" customHeight="1" x14ac:dyDescent="0.25"/>
    <row r="28" spans="1:8" ht="17.25" customHeight="1" x14ac:dyDescent="0.25">
      <c r="B28" s="1" t="s">
        <v>32</v>
      </c>
      <c r="C28" s="1"/>
      <c r="D28" s="5"/>
      <c r="E28" s="5"/>
      <c r="F28" s="5"/>
      <c r="G28" s="5"/>
      <c r="H28" s="5"/>
    </row>
    <row r="29" spans="1:8" ht="17.25" customHeight="1" x14ac:dyDescent="0.25">
      <c r="B29" s="2" t="s">
        <v>68</v>
      </c>
      <c r="C29" s="2" t="s">
        <v>63</v>
      </c>
      <c r="D29" s="5">
        <f>'Exhibit 1_Fin Stmnt'!C30/('Exhibit 1_Fin Stmnt'!C30+'Exhibit 1_Fin Stmnt'!C31)</f>
        <v>0.21501457725947523</v>
      </c>
      <c r="E29" s="5">
        <f>'Exhibit 1_Fin Stmnt'!D30/('Exhibit 1_Fin Stmnt'!D30+'Exhibit 1_Fin Stmnt'!D31)</f>
        <v>6.8405139833711395E-2</v>
      </c>
      <c r="F29" s="5">
        <f>'Exhibit 1_Fin Stmnt'!E30/('Exhibit 1_Fin Stmnt'!E30+'Exhibit 1_Fin Stmnt'!E31)</f>
        <v>0.58635052867670612</v>
      </c>
      <c r="G29" s="5">
        <f>'Exhibit 1_Fin Stmnt'!F30/('Exhibit 1_Fin Stmnt'!F30+'Exhibit 1_Fin Stmnt'!F31)</f>
        <v>0.59596235579842138</v>
      </c>
      <c r="H29" s="5">
        <f>'Exhibit 1_Fin Stmnt'!G30/('Exhibit 1_Fin Stmnt'!G30+'Exhibit 1_Fin Stmnt'!G31)</f>
        <v>0.60002887669650584</v>
      </c>
    </row>
    <row r="30" spans="1:8" ht="17.25" customHeight="1" x14ac:dyDescent="0.25">
      <c r="D30" s="5"/>
      <c r="E30" s="5"/>
      <c r="F30" s="5"/>
      <c r="G30" s="5"/>
      <c r="H30" s="5"/>
    </row>
    <row r="31" spans="1:8" ht="17.25" customHeight="1" x14ac:dyDescent="0.25">
      <c r="B31" s="1" t="s">
        <v>70</v>
      </c>
      <c r="C31" s="1"/>
    </row>
    <row r="32" spans="1:8" ht="17.25" customHeight="1" x14ac:dyDescent="0.25">
      <c r="B32" s="2" t="s">
        <v>67</v>
      </c>
      <c r="C32" s="2" t="s">
        <v>64</v>
      </c>
      <c r="D32" s="4">
        <f>'Exhibit 1_Fin Stmnt'!C10*(1-0.25)</f>
        <v>26.099999999999998</v>
      </c>
      <c r="E32" s="4">
        <f>'Exhibit 1_Fin Stmnt'!D10*(1-0.25)</f>
        <v>15.749999999999986</v>
      </c>
      <c r="F32" s="4">
        <f>'Exhibit 1_Fin Stmnt'!E10*(1-0.25)</f>
        <v>11.025000000000002</v>
      </c>
      <c r="G32" s="4">
        <f>'Exhibit 1_Fin Stmnt'!F10*(1-0.25)</f>
        <v>8.625</v>
      </c>
      <c r="H32" s="4">
        <f>'Exhibit 1_Fin Stmnt'!G10*(1-0.25)</f>
        <v>9.5250000000000128</v>
      </c>
    </row>
    <row r="33" spans="1:8" ht="17.25" customHeight="1" x14ac:dyDescent="0.25">
      <c r="B33" s="2" t="s">
        <v>29</v>
      </c>
      <c r="C33" s="2" t="s">
        <v>65</v>
      </c>
      <c r="D33" s="4">
        <f>'Exhibit 1_Fin Stmnt'!C21-'Exhibit 1_Fin Stmnt'!C29</f>
        <v>-1.9000000000000021</v>
      </c>
      <c r="E33" s="4">
        <f>'Exhibit 1_Fin Stmnt'!D21-'Exhibit 1_Fin Stmnt'!D29</f>
        <v>-5.2000000000000028</v>
      </c>
      <c r="F33" s="4">
        <f>'Exhibit 1_Fin Stmnt'!E21-'Exhibit 1_Fin Stmnt'!E29</f>
        <v>-1.2000000000000028</v>
      </c>
      <c r="G33" s="4">
        <f>'Exhibit 1_Fin Stmnt'!F21-'Exhibit 1_Fin Stmnt'!F29</f>
        <v>7.2999999999999972</v>
      </c>
      <c r="H33" s="4">
        <f>'Exhibit 1_Fin Stmnt'!G21-'Exhibit 1_Fin Stmnt'!G29</f>
        <v>7.6000000000000014</v>
      </c>
    </row>
    <row r="34" spans="1:8" ht="17.25" customHeight="1" x14ac:dyDescent="0.25">
      <c r="B34" s="2" t="s">
        <v>41</v>
      </c>
      <c r="C34" s="2" t="s">
        <v>66</v>
      </c>
      <c r="D34" s="7">
        <f>'Exhibit 1_Fin Stmnt'!C30+'Exhibit 1_Fin Stmnt'!C31</f>
        <v>137.19999999999999</v>
      </c>
      <c r="E34" s="7">
        <f>'Exhibit 1_Fin Stmnt'!D30+'Exhibit 1_Fin Stmnt'!D31</f>
        <v>132.30000000000001</v>
      </c>
      <c r="F34" s="7">
        <f>'Exhibit 1_Fin Stmnt'!E30+'Exhibit 1_Fin Stmnt'!E31</f>
        <v>312.09999999999997</v>
      </c>
      <c r="G34" s="7">
        <f>'Exhibit 1_Fin Stmnt'!F30+'Exhibit 1_Fin Stmnt'!F31</f>
        <v>329.4</v>
      </c>
      <c r="H34" s="7">
        <f>'Exhibit 1_Fin Stmnt'!G30+'Exhibit 1_Fin Stmnt'!G31</f>
        <v>346.29999999999995</v>
      </c>
    </row>
    <row r="37" spans="1:8" ht="37.5" customHeight="1" x14ac:dyDescent="0.25">
      <c r="A37" s="63" t="s">
        <v>71</v>
      </c>
      <c r="B37" s="64"/>
      <c r="C37" s="64"/>
      <c r="D37" s="64"/>
      <c r="E37" s="64"/>
      <c r="F37" s="64"/>
      <c r="G37" s="64"/>
      <c r="H37" s="64"/>
    </row>
    <row r="39" spans="1:8" x14ac:dyDescent="0.25">
      <c r="A39" s="2"/>
    </row>
  </sheetData>
  <mergeCells count="1">
    <mergeCell ref="A37:H37"/>
  </mergeCells>
  <pageMargins left="0.7" right="0.7" top="0.75" bottom="0.75" header="0.3" footer="0.3"/>
  <pageSetup scale="85"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5"/>
  <sheetViews>
    <sheetView showGridLines="0" zoomScaleNormal="100" workbookViewId="0"/>
  </sheetViews>
  <sheetFormatPr defaultColWidth="8" defaultRowHeight="15" x14ac:dyDescent="0.25"/>
  <cols>
    <col min="1" max="1" width="28" style="9" customWidth="1"/>
    <col min="2" max="2" width="92.125" style="9" customWidth="1"/>
    <col min="3" max="16384" width="8" style="9"/>
  </cols>
  <sheetData>
    <row r="2" spans="1:2" ht="65.25" customHeight="1" x14ac:dyDescent="0.25">
      <c r="B2" s="10" t="s">
        <v>42</v>
      </c>
    </row>
    <row r="3" spans="1:2" ht="13.5" customHeight="1" x14ac:dyDescent="0.25">
      <c r="A3" s="11"/>
      <c r="B3" s="11"/>
    </row>
    <row r="4" spans="1:2" ht="77.45" customHeight="1" x14ac:dyDescent="0.25">
      <c r="A4" s="65" t="s">
        <v>85</v>
      </c>
      <c r="B4" s="66"/>
    </row>
    <row r="5" spans="1:2" x14ac:dyDescent="0.25">
      <c r="A5" s="12" t="s">
        <v>92</v>
      </c>
    </row>
  </sheetData>
  <mergeCells count="1">
    <mergeCell ref="A4:B4"/>
  </mergeCells>
  <pageMargins left="0.7" right="0.7" top="0.75" bottom="0.75" header="0.3" footer="0.3"/>
  <pageSetup scale="8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040c23d-d20f-405c-b1e1-9ed7d2ff1c5f">
      <Terms xmlns="http://schemas.microsoft.com/office/infopath/2007/PartnerControls"/>
    </lcf76f155ced4ddcb4097134ff3c332f>
    <TaxCatchAll xmlns="228c7561-c4e0-41f6-911a-1185116220b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F7F792F8D65604CB074370CEA835510" ma:contentTypeVersion="18" ma:contentTypeDescription="Create a new document." ma:contentTypeScope="" ma:versionID="c177c3889a8353f00a7dd1dabf14dcd0">
  <xsd:schema xmlns:xsd="http://www.w3.org/2001/XMLSchema" xmlns:xs="http://www.w3.org/2001/XMLSchema" xmlns:p="http://schemas.microsoft.com/office/2006/metadata/properties" xmlns:ns2="7040c23d-d20f-405c-b1e1-9ed7d2ff1c5f" xmlns:ns3="228c7561-c4e0-41f6-911a-1185116220b2" targetNamespace="http://schemas.microsoft.com/office/2006/metadata/properties" ma:root="true" ma:fieldsID="ed81aacb2560594c39c9659d4f341aa6" ns2:_="" ns3:_="">
    <xsd:import namespace="7040c23d-d20f-405c-b1e1-9ed7d2ff1c5f"/>
    <xsd:import namespace="228c7561-c4e0-41f6-911a-1185116220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40c23d-d20f-405c-b1e1-9ed7d2ff1c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0f802e18-79f9-49a4-b541-8cb1213600f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28c7561-c4e0-41f6-911a-1185116220b2"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99eda082-e39b-45d7-a19d-211c6ef9b62d}" ma:internalName="TaxCatchAll" ma:showField="CatchAllData" ma:web="228c7561-c4e0-41f6-911a-1185116220b2">
      <xsd:complexType>
        <xsd:complexContent>
          <xsd:extension base="dms:MultiChoiceLookup">
            <xsd:sequence>
              <xsd:element name="Value" type="dms:Lookup" maxOccurs="unbounded" minOccurs="0" nillable="true"/>
            </xsd:sequence>
          </xsd:extension>
        </xsd:complexContent>
      </xsd:complexType>
    </xsd:element>
    <xsd:element name="SharedWithUsers" ma:index="2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176BD11-68C8-4D9D-8534-9C45E00E2062}">
  <ds:schemaRefs>
    <ds:schemaRef ds:uri="http://schemas.openxmlformats.org/package/2006/metadata/core-properties"/>
    <ds:schemaRef ds:uri="http://purl.org/dc/terms/"/>
    <ds:schemaRef ds:uri="http://purl.org/dc/dcmitype/"/>
    <ds:schemaRef ds:uri="http://schemas.microsoft.com/office/2006/metadata/properties"/>
    <ds:schemaRef ds:uri="7040c23d-d20f-405c-b1e1-9ed7d2ff1c5f"/>
    <ds:schemaRef ds:uri="http://schemas.microsoft.com/office/2006/documentManagement/types"/>
    <ds:schemaRef ds:uri="http://www.w3.org/XML/1998/namespace"/>
    <ds:schemaRef ds:uri="http://purl.org/dc/elements/1.1/"/>
    <ds:schemaRef ds:uri="http://schemas.microsoft.com/office/infopath/2007/PartnerControls"/>
    <ds:schemaRef ds:uri="228c7561-c4e0-41f6-911a-1185116220b2"/>
  </ds:schemaRefs>
</ds:datastoreItem>
</file>

<file path=customXml/itemProps2.xml><?xml version="1.0" encoding="utf-8"?>
<ds:datastoreItem xmlns:ds="http://schemas.openxmlformats.org/officeDocument/2006/customXml" ds:itemID="{B01C2F02-E464-4693-8B2E-12A0D3DFDDB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40c23d-d20f-405c-b1e1-9ed7d2ff1c5f"/>
    <ds:schemaRef ds:uri="228c7561-c4e0-41f6-911a-1185116220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8B2C91F-F4DB-4F30-8DF0-3C26D163A572}">
  <ds:schemaRefs>
    <ds:schemaRef ds:uri="http://schemas.microsoft.com/sharepoint/v3/contenttype/forms"/>
  </ds:schemaRefs>
</ds:datastoreItem>
</file>

<file path=docMetadata/LabelInfo.xml><?xml version="1.0" encoding="utf-8"?>
<clbl:labelList xmlns:clbl="http://schemas.microsoft.com/office/2020/mipLabelMetadata">
  <clbl:label id="{3ded8b1b-070d-4629-82e4-c0b019f46057}" enabled="0" method="" siteId="{3ded8b1b-070d-4629-82e4-c0b019f4605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 page</vt:lpstr>
      <vt:lpstr>Bobs Values</vt:lpstr>
      <vt:lpstr>Bob Valuation</vt:lpstr>
      <vt:lpstr>Spangler DuPont</vt:lpstr>
      <vt:lpstr>Mino Comps Eval</vt:lpstr>
      <vt:lpstr>Mino Return Metrics</vt:lpstr>
      <vt:lpstr>Exhibit 1_Fin Stmnt</vt:lpstr>
      <vt:lpstr>Exhibit 2_Benchmark</vt:lpstr>
      <vt:lpstr>Exhibit 3+Analysis</vt:lpstr>
      <vt:lpstr>Title 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SchillM</dc:creator>
  <cp:keywords/>
  <dc:description/>
  <cp:lastModifiedBy>Ellen Burnes</cp:lastModifiedBy>
  <cp:lastPrinted>2018-10-24T16:19:29Z</cp:lastPrinted>
  <dcterms:created xsi:type="dcterms:W3CDTF">2018-10-21T02:22:22Z</dcterms:created>
  <dcterms:modified xsi:type="dcterms:W3CDTF">2025-09-15T17:30:05Z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0x010100F4880AD0D53E43488DF4D1D5CE5ABC15</vt:lpwstr>
  </property>
  <property fmtid="{D5CDD505-2E9C-101B-9397-08002B2CF9AE}" pid="3" name="_dlc_DocIdItemGuid">
    <vt:lpwstr>ad8c4f95-cedb-4608-b5fb-ea9d4a5feab3</vt:lpwstr>
  </property>
  <property fmtid="{D5CDD505-2E9C-101B-9397-08002B2CF9AE}" pid="4" name="Order">
    <vt:r8>523400</vt:r8>
  </property>
  <property fmtid="{D5CDD505-2E9C-101B-9397-08002B2CF9AE}" pid="5" name="Submitter">
    <vt:lpwstr/>
  </property>
  <property fmtid="{D5CDD505-2E9C-101B-9397-08002B2CF9AE}" pid="6" name="Submitted By">
    <vt:lpwstr>MullinL@darden.virginia.edu</vt:lpwstr>
  </property>
  <property fmtid="{D5CDD505-2E9C-101B-9397-08002B2CF9AE}" pid="7" name="Reason For Rejection">
    <vt:lpwstr/>
  </property>
  <property fmtid="{D5CDD505-2E9C-101B-9397-08002B2CF9AE}" pid="8" name="Submission Status">
    <vt:lpwstr>Accepted</vt:lpwstr>
  </property>
  <property fmtid="{D5CDD505-2E9C-101B-9397-08002B2CF9AE}" pid="9" name="Task ID">
    <vt:lpwstr>79543</vt:lpwstr>
  </property>
  <property fmtid="{D5CDD505-2E9C-101B-9397-08002B2CF9AE}" pid="10" name="Upload Mode">
    <vt:lpwstr>Email</vt:lpwstr>
  </property>
  <property fmtid="{D5CDD505-2E9C-101B-9397-08002B2CF9AE}" pid="11" name="Email Time Stamp">
    <vt:filetime>2020-02-04T13:53:20Z</vt:filetime>
  </property>
  <property fmtid="{D5CDD505-2E9C-101B-9397-08002B2CF9AE}" pid="12" name="Email Subject">
    <vt:lpwstr>FW: Bobs Baloney Case</vt:lpwstr>
  </property>
  <property fmtid="{D5CDD505-2E9C-101B-9397-08002B2CF9AE}" pid="13" name="Workflow Template Name">
    <vt:lpwstr>13</vt:lpwstr>
  </property>
  <property fmtid="{D5CDD505-2E9C-101B-9397-08002B2CF9AE}" pid="14" name="Acceptance Task ID">
    <vt:lpwstr>79546</vt:lpwstr>
  </property>
  <property fmtid="{D5CDD505-2E9C-101B-9397-08002B2CF9AE}" pid="15" name="Faculty Sponsor">
    <vt:lpwstr>431;#schillm@darden.virginia.edu</vt:lpwstr>
  </property>
  <property fmtid="{D5CDD505-2E9C-101B-9397-08002B2CF9AE}" pid="16" name="Content Type">
    <vt:lpwstr>9</vt:lpwstr>
  </property>
  <property fmtid="{D5CDD505-2E9C-101B-9397-08002B2CF9AE}" pid="17" name="Content_x0020_Type">
    <vt:lpwstr>9</vt:lpwstr>
  </property>
  <property fmtid="{D5CDD505-2E9C-101B-9397-08002B2CF9AE}" pid="18" name="Workflow_x0020_Instance_x0020_Name">
    <vt:lpwstr>9133</vt:lpwstr>
  </property>
  <property fmtid="{D5CDD505-2E9C-101B-9397-08002B2CF9AE}" pid="19" name="Product Type">
    <vt:lpwstr/>
  </property>
  <property fmtid="{D5CDD505-2E9C-101B-9397-08002B2CF9AE}" pid="20" name="Workflow Instance Name">
    <vt:lpwstr>9390</vt:lpwstr>
  </property>
  <property fmtid="{D5CDD505-2E9C-101B-9397-08002B2CF9AE}" pid="21" name="Target Audiences">
    <vt:lpwstr/>
  </property>
  <property fmtid="{D5CDD505-2E9C-101B-9397-08002B2CF9AE}" pid="22" name="Reviewer">
    <vt:lpwstr>431;#schillm@darden.virginia.edu</vt:lpwstr>
  </property>
  <property fmtid="{D5CDD505-2E9C-101B-9397-08002B2CF9AE}" pid="23" name="Mode">
    <vt:lpwstr>2</vt:lpwstr>
  </property>
  <property fmtid="{D5CDD505-2E9C-101B-9397-08002B2CF9AE}" pid="24" name="Comments">
    <vt:lpwstr/>
  </property>
  <property fmtid="{D5CDD505-2E9C-101B-9397-08002B2CF9AE}" pid="25" name="xd_ProgID">
    <vt:lpwstr/>
  </property>
  <property fmtid="{D5CDD505-2E9C-101B-9397-08002B2CF9AE}" pid="26" name="TemplateUrl">
    <vt:lpwstr/>
  </property>
  <property fmtid="{D5CDD505-2E9C-101B-9397-08002B2CF9AE}" pid="27" name="_CopySource">
    <vt:lpwstr>https://www.wmcasemgmt.com/sites/casemanagement/Gold Library/F-1942X.xlsx</vt:lpwstr>
  </property>
  <property fmtid="{D5CDD505-2E9C-101B-9397-08002B2CF9AE}" pid="28" name="Content_x0020_Name">
    <vt:lpwstr>18323</vt:lpwstr>
  </property>
  <property fmtid="{D5CDD505-2E9C-101B-9397-08002B2CF9AE}" pid="29" name="Status">
    <vt:lpwstr>Available</vt:lpwstr>
  </property>
  <property fmtid="{D5CDD505-2E9C-101B-9397-08002B2CF9AE}" pid="30" name="Content Name">
    <vt:lpwstr>18323</vt:lpwstr>
  </property>
  <property fmtid="{D5CDD505-2E9C-101B-9397-08002B2CF9AE}" pid="31" name="MediaServiceImageTags">
    <vt:lpwstr/>
  </property>
</Properties>
</file>