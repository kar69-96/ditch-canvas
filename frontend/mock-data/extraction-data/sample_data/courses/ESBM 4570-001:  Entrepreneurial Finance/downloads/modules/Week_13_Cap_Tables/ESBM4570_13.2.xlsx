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5/Lectures/"/>
    </mc:Choice>
  </mc:AlternateContent>
  <xr:revisionPtr revIDLastSave="3" documentId="8_{C0B5141B-C60E-5240-9775-EC9F991A4A14}" xr6:coauthVersionLast="47" xr6:coauthVersionMax="47" xr10:uidLastSave="{07672912-E039-D64B-BE84-F8C8F1169077}"/>
  <bookViews>
    <workbookView xWindow="7160" yWindow="840" windowWidth="26020" windowHeight="14700" xr2:uid="{4562EEFA-AB53-4B40-A598-C24C35D4CD84}"/>
  </bookViews>
  <sheets>
    <sheet name="Cover" sheetId="2" r:id="rId1"/>
    <sheet name="Cap Table" sheetId="1" r:id="rId2"/>
  </sheets>
  <definedNames>
    <definedName name="solver_adj" localSheetId="1" hidden="1">'Cap Table'!#REF!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hs1" localSheetId="1" hidden="1">'Cap Table'!#REF!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opt" localSheetId="1" hidden="1">'Cap Table'!#REF!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hs1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0.31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B68" i="1"/>
  <c r="B51" i="1"/>
  <c r="B41" i="1"/>
  <c r="B40" i="1"/>
  <c r="B39" i="1"/>
  <c r="B42" i="1" s="1"/>
  <c r="C34" i="1" s="1"/>
  <c r="B65" i="1"/>
  <c r="C47" i="1" l="1"/>
  <c r="C35" i="1"/>
  <c r="C38" i="1"/>
  <c r="C37" i="1"/>
  <c r="C41" i="1"/>
  <c r="C40" i="1"/>
  <c r="C39" i="1"/>
  <c r="C36" i="1"/>
  <c r="B26" i="1"/>
  <c r="B17" i="1"/>
  <c r="B11" i="1"/>
  <c r="B5" i="1"/>
  <c r="C20" i="1" l="1"/>
  <c r="C42" i="1"/>
  <c r="C19" i="1"/>
  <c r="C23" i="1"/>
  <c r="C22" i="1"/>
  <c r="C25" i="1"/>
  <c r="C21" i="1"/>
  <c r="C24" i="1"/>
  <c r="B59" i="1" l="1"/>
  <c r="C48" i="1" s="1"/>
  <c r="C26" i="1"/>
  <c r="C64" i="1" l="1"/>
  <c r="C50" i="1"/>
  <c r="C58" i="1"/>
  <c r="C53" i="1"/>
  <c r="C57" i="1"/>
  <c r="C51" i="1"/>
  <c r="C56" i="1"/>
  <c r="C52" i="1"/>
  <c r="C54" i="1"/>
  <c r="C55" i="1"/>
  <c r="B85" i="1" l="1"/>
  <c r="B77" i="1"/>
  <c r="C59" i="1"/>
  <c r="C75" i="1" l="1"/>
  <c r="C65" i="1"/>
  <c r="C68" i="1"/>
  <c r="C72" i="1"/>
  <c r="C74" i="1"/>
  <c r="C73" i="1"/>
  <c r="C70" i="1"/>
  <c r="C76" i="1"/>
  <c r="C71" i="1"/>
  <c r="C69" i="1"/>
  <c r="C67" i="1"/>
  <c r="B95" i="1"/>
  <c r="C93" i="1" l="1"/>
  <c r="C89" i="1"/>
  <c r="C90" i="1"/>
  <c r="C92" i="1"/>
  <c r="C86" i="1"/>
  <c r="C94" i="1"/>
  <c r="C87" i="1"/>
  <c r="C88" i="1"/>
  <c r="C91" i="1"/>
  <c r="C85" i="1"/>
  <c r="C77" i="1"/>
  <c r="C95" i="1" l="1"/>
</calcChain>
</file>

<file path=xl/sharedStrings.xml><?xml version="1.0" encoding="utf-8"?>
<sst xmlns="http://schemas.openxmlformats.org/spreadsheetml/2006/main" count="110" uniqueCount="31">
  <si>
    <t>Founding "Round"</t>
  </si>
  <si>
    <t>Holder</t>
  </si>
  <si>
    <t>shares</t>
  </si>
  <si>
    <t>%</t>
  </si>
  <si>
    <t>Raise</t>
  </si>
  <si>
    <t>Founder 1</t>
  </si>
  <si>
    <t>Founder 2</t>
  </si>
  <si>
    <t>Founder 3</t>
  </si>
  <si>
    <t>Founder 4</t>
  </si>
  <si>
    <t>Pre Money Valuation</t>
  </si>
  <si>
    <t>Post Money Valuation</t>
  </si>
  <si>
    <t>Total Shares</t>
  </si>
  <si>
    <t>Interim Round</t>
  </si>
  <si>
    <t>this adds shares, dilutes founders and raises no $</t>
  </si>
  <si>
    <t>Employee Option Pool</t>
  </si>
  <si>
    <t>Advisor</t>
  </si>
  <si>
    <t>Board Member</t>
  </si>
  <si>
    <t>Seed Round</t>
  </si>
  <si>
    <t>Seed Investor</t>
  </si>
  <si>
    <t>$/share</t>
  </si>
  <si>
    <t>Series A</t>
  </si>
  <si>
    <t>Series B</t>
  </si>
  <si>
    <t>EXIT</t>
  </si>
  <si>
    <t>Valuation</t>
  </si>
  <si>
    <t>$ from Exit</t>
  </si>
  <si>
    <t>Initial Investment</t>
  </si>
  <si>
    <t>Multiple</t>
  </si>
  <si>
    <t>Cap Tables</t>
  </si>
  <si>
    <t>Ellen Burnes</t>
  </si>
  <si>
    <t>$</t>
  </si>
  <si>
    <t>Week 13.2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</si>
</sst>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9" fontId="0" fillId="0" borderId="0" xfId="2" applyFont="1"/>
    <xf numFmtId="9" fontId="0" fillId="0" borderId="1" xfId="0" applyNumberFormat="1" applyBorder="1"/>
    <xf numFmtId="0" fontId="3" fillId="0" borderId="0" xfId="0" applyFont="1" applyAlignment="1">
      <alignment horizontal="center" vertical="center"/>
    </xf>
    <xf numFmtId="164" fontId="0" fillId="0" borderId="0" xfId="2" applyNumberFormat="1" applyFont="1"/>
    <xf numFmtId="3" fontId="0" fillId="0" borderId="0" xfId="0" applyNumberFormat="1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4" fontId="0" fillId="0" borderId="0" xfId="0" applyNumberFormat="1"/>
    <xf numFmtId="0" fontId="3" fillId="3" borderId="0" xfId="0" applyFont="1" applyFill="1"/>
    <xf numFmtId="165" fontId="0" fillId="0" borderId="0" xfId="1" applyNumberFormat="1" applyFont="1"/>
    <xf numFmtId="166" fontId="0" fillId="0" borderId="0" xfId="0" applyNumberFormat="1"/>
    <xf numFmtId="0" fontId="3" fillId="4" borderId="0" xfId="0" applyFont="1" applyFill="1"/>
    <xf numFmtId="1" fontId="0" fillId="0" borderId="1" xfId="0" applyNumberFormat="1" applyBorder="1"/>
    <xf numFmtId="44" fontId="0" fillId="0" borderId="0" xfId="0" applyNumberFormat="1"/>
    <xf numFmtId="9" fontId="3" fillId="0" borderId="0" xfId="2" applyFont="1" applyFill="1" applyAlignment="1">
      <alignment horizontal="right" vertical="center"/>
    </xf>
    <xf numFmtId="9" fontId="3" fillId="4" borderId="0" xfId="2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3" fillId="5" borderId="0" xfId="0" applyFont="1" applyFill="1"/>
    <xf numFmtId="1" fontId="3" fillId="4" borderId="0" xfId="0" applyNumberFormat="1" applyFont="1" applyFill="1" applyAlignment="1">
      <alignment horizontal="right" vertical="center"/>
    </xf>
    <xf numFmtId="1" fontId="3" fillId="5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/>
    </xf>
    <xf numFmtId="10" fontId="3" fillId="5" borderId="0" xfId="2" applyNumberFormat="1" applyFont="1" applyFill="1" applyAlignment="1">
      <alignment horizontal="right" vertical="center"/>
    </xf>
    <xf numFmtId="10" fontId="3" fillId="0" borderId="0" xfId="2" applyNumberFormat="1" applyFont="1" applyFill="1" applyAlignment="1">
      <alignment horizontal="right" vertical="center"/>
    </xf>
    <xf numFmtId="10" fontId="3" fillId="4" borderId="0" xfId="2" applyNumberFormat="1" applyFont="1" applyFill="1" applyAlignment="1">
      <alignment horizontal="right" vertical="center"/>
    </xf>
    <xf numFmtId="9" fontId="3" fillId="3" borderId="0" xfId="2" applyFont="1" applyFill="1" applyAlignment="1">
      <alignment horizontal="right" vertical="center"/>
    </xf>
    <xf numFmtId="10" fontId="3" fillId="3" borderId="0" xfId="2" applyNumberFormat="1" applyFont="1" applyFill="1" applyAlignment="1">
      <alignment horizontal="right" vertical="center"/>
    </xf>
    <xf numFmtId="2" fontId="0" fillId="0" borderId="0" xfId="0" applyNumberFormat="1"/>
    <xf numFmtId="0" fontId="2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 wrapText="1"/>
    </xf>
    <xf numFmtId="0" fontId="0" fillId="7" borderId="0" xfId="0" applyFill="1"/>
    <xf numFmtId="9" fontId="0" fillId="7" borderId="0" xfId="2" applyFont="1" applyFill="1"/>
    <xf numFmtId="0" fontId="0" fillId="8" borderId="0" xfId="0" applyFill="1"/>
    <xf numFmtId="9" fontId="0" fillId="8" borderId="0" xfId="2" applyFont="1" applyFill="1"/>
    <xf numFmtId="0" fontId="0" fillId="9" borderId="0" xfId="0" applyFill="1"/>
    <xf numFmtId="9" fontId="0" fillId="9" borderId="0" xfId="2" applyFont="1" applyFill="1"/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44B9-0D2E-4144-A969-4AD325DE23CF}">
  <dimension ref="A1:A5"/>
  <sheetViews>
    <sheetView tabSelected="1" workbookViewId="0">
      <selection activeCell="F25" sqref="F25"/>
    </sheetView>
  </sheetViews>
  <sheetFormatPr baseColWidth="10" defaultRowHeight="16" x14ac:dyDescent="0.2"/>
  <sheetData>
    <row r="1" spans="1:1" x14ac:dyDescent="0.2">
      <c r="A1" s="1" t="s">
        <v>30</v>
      </c>
    </row>
    <row r="3" spans="1:1" x14ac:dyDescent="0.2">
      <c r="A3" s="1" t="s">
        <v>27</v>
      </c>
    </row>
    <row r="5" spans="1:1" x14ac:dyDescent="0.2">
      <c r="A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A728-33C5-2348-928C-535AB84CBFB2}">
  <dimension ref="A2:H95"/>
  <sheetViews>
    <sheetView workbookViewId="0">
      <selection activeCell="F40" sqref="F40"/>
    </sheetView>
  </sheetViews>
  <sheetFormatPr baseColWidth="10" defaultRowHeight="16" x14ac:dyDescent="0.2"/>
  <cols>
    <col min="1" max="1" width="18.5" customWidth="1"/>
    <col min="2" max="2" width="15" bestFit="1" customWidth="1"/>
    <col min="4" max="4" width="14" bestFit="1" customWidth="1"/>
    <col min="7" max="7" width="22.1640625" customWidth="1"/>
    <col min="11" max="11" width="14" bestFit="1" customWidth="1"/>
  </cols>
  <sheetData>
    <row r="2" spans="1:3" x14ac:dyDescent="0.2">
      <c r="A2" s="1" t="s">
        <v>0</v>
      </c>
      <c r="B2" s="1"/>
    </row>
    <row r="3" spans="1:3" x14ac:dyDescent="0.2">
      <c r="A3" t="s">
        <v>4</v>
      </c>
      <c r="B3">
        <v>0</v>
      </c>
    </row>
    <row r="4" spans="1:3" x14ac:dyDescent="0.2">
      <c r="A4" t="s">
        <v>9</v>
      </c>
      <c r="B4">
        <v>0</v>
      </c>
    </row>
    <row r="5" spans="1:3" x14ac:dyDescent="0.2">
      <c r="A5" t="s">
        <v>10</v>
      </c>
      <c r="B5">
        <f>B3+B4</f>
        <v>0</v>
      </c>
    </row>
    <row r="6" spans="1:3" x14ac:dyDescent="0.2">
      <c r="A6" s="2" t="s">
        <v>1</v>
      </c>
      <c r="B6" s="6" t="s">
        <v>2</v>
      </c>
      <c r="C6" s="6" t="s">
        <v>3</v>
      </c>
    </row>
    <row r="7" spans="1:3" x14ac:dyDescent="0.2">
      <c r="A7" t="s">
        <v>5</v>
      </c>
      <c r="C7" s="4"/>
    </row>
    <row r="8" spans="1:3" x14ac:dyDescent="0.2">
      <c r="A8" t="s">
        <v>6</v>
      </c>
      <c r="C8" s="4"/>
    </row>
    <row r="9" spans="1:3" x14ac:dyDescent="0.2">
      <c r="A9" t="s">
        <v>7</v>
      </c>
      <c r="C9" s="4"/>
    </row>
    <row r="10" spans="1:3" x14ac:dyDescent="0.2">
      <c r="A10" t="s">
        <v>8</v>
      </c>
      <c r="C10" s="4"/>
    </row>
    <row r="11" spans="1:3" x14ac:dyDescent="0.2">
      <c r="A11" s="3" t="s">
        <v>11</v>
      </c>
      <c r="B11" s="3">
        <f>SUM(B7:B10)</f>
        <v>0</v>
      </c>
      <c r="C11" s="5"/>
    </row>
    <row r="14" spans="1:3" x14ac:dyDescent="0.2">
      <c r="A14" s="1" t="s">
        <v>12</v>
      </c>
      <c r="B14" s="1" t="s">
        <v>13</v>
      </c>
    </row>
    <row r="15" spans="1:3" x14ac:dyDescent="0.2">
      <c r="A15" t="s">
        <v>4</v>
      </c>
      <c r="B15">
        <v>0</v>
      </c>
    </row>
    <row r="16" spans="1:3" x14ac:dyDescent="0.2">
      <c r="A16" t="s">
        <v>9</v>
      </c>
      <c r="B16">
        <v>0</v>
      </c>
    </row>
    <row r="17" spans="1:7" x14ac:dyDescent="0.2">
      <c r="A17" t="s">
        <v>10</v>
      </c>
      <c r="B17">
        <f>B15+B16</f>
        <v>0</v>
      </c>
    </row>
    <row r="18" spans="1:7" x14ac:dyDescent="0.2">
      <c r="A18" s="2" t="s">
        <v>1</v>
      </c>
      <c r="B18" s="6" t="s">
        <v>2</v>
      </c>
      <c r="C18" s="6" t="s">
        <v>3</v>
      </c>
    </row>
    <row r="19" spans="1:7" x14ac:dyDescent="0.2">
      <c r="A19" t="s">
        <v>5</v>
      </c>
      <c r="B19">
        <v>400</v>
      </c>
      <c r="C19" s="4">
        <f>B19/$B$26</f>
        <v>0.30769230769230771</v>
      </c>
    </row>
    <row r="20" spans="1:7" x14ac:dyDescent="0.2">
      <c r="A20" t="s">
        <v>6</v>
      </c>
      <c r="B20">
        <v>400</v>
      </c>
      <c r="C20" s="4">
        <f t="shared" ref="C20:C25" si="0">B20/$B$26</f>
        <v>0.30769230769230771</v>
      </c>
    </row>
    <row r="21" spans="1:7" x14ac:dyDescent="0.2">
      <c r="A21" t="s">
        <v>7</v>
      </c>
      <c r="B21">
        <v>300</v>
      </c>
      <c r="C21" s="4">
        <f t="shared" si="0"/>
        <v>0.23076923076923078</v>
      </c>
    </row>
    <row r="22" spans="1:7" x14ac:dyDescent="0.2">
      <c r="A22" t="s">
        <v>8</v>
      </c>
      <c r="B22">
        <v>200</v>
      </c>
      <c r="C22" s="4">
        <f t="shared" si="0"/>
        <v>0.15384615384615385</v>
      </c>
    </row>
    <row r="23" spans="1:7" x14ac:dyDescent="0.2">
      <c r="A23" s="35" t="s">
        <v>14</v>
      </c>
      <c r="B23" s="35"/>
      <c r="C23" s="36">
        <f t="shared" si="0"/>
        <v>0</v>
      </c>
    </row>
    <row r="24" spans="1:7" x14ac:dyDescent="0.2">
      <c r="A24" s="37" t="s">
        <v>15</v>
      </c>
      <c r="B24" s="37"/>
      <c r="C24" s="38">
        <f t="shared" si="0"/>
        <v>0</v>
      </c>
    </row>
    <row r="25" spans="1:7" x14ac:dyDescent="0.2">
      <c r="A25" s="39" t="s">
        <v>16</v>
      </c>
      <c r="B25" s="39"/>
      <c r="C25" s="40">
        <f t="shared" si="0"/>
        <v>0</v>
      </c>
    </row>
    <row r="26" spans="1:7" x14ac:dyDescent="0.2">
      <c r="A26" s="3" t="s">
        <v>11</v>
      </c>
      <c r="B26" s="3">
        <f>SUM(B19:B25)</f>
        <v>1300</v>
      </c>
      <c r="C26" s="5">
        <f>SUM(C19:C25)</f>
        <v>1</v>
      </c>
    </row>
    <row r="27" spans="1:7" x14ac:dyDescent="0.2">
      <c r="G27" s="12"/>
    </row>
    <row r="29" spans="1:7" x14ac:dyDescent="0.2">
      <c r="A29" s="1" t="s">
        <v>17</v>
      </c>
      <c r="B29" s="1"/>
    </row>
    <row r="30" spans="1:7" x14ac:dyDescent="0.2">
      <c r="A30" t="s">
        <v>4</v>
      </c>
      <c r="B30" s="8"/>
      <c r="C30" s="7"/>
    </row>
    <row r="31" spans="1:7" x14ac:dyDescent="0.2">
      <c r="A31" t="s">
        <v>9</v>
      </c>
      <c r="C31" s="14" t="s">
        <v>29</v>
      </c>
      <c r="D31" t="s">
        <v>19</v>
      </c>
    </row>
    <row r="32" spans="1:7" x14ac:dyDescent="0.2">
      <c r="A32" t="s">
        <v>10</v>
      </c>
      <c r="B32" s="8"/>
      <c r="C32" s="14" t="s">
        <v>29</v>
      </c>
      <c r="D32" t="s">
        <v>19</v>
      </c>
    </row>
    <row r="33" spans="1:5" x14ac:dyDescent="0.2">
      <c r="A33" s="9" t="s">
        <v>1</v>
      </c>
      <c r="B33" s="10" t="s">
        <v>2</v>
      </c>
      <c r="C33" s="10" t="s">
        <v>3</v>
      </c>
    </row>
    <row r="34" spans="1:5" x14ac:dyDescent="0.2">
      <c r="A34" s="13" t="s">
        <v>18</v>
      </c>
      <c r="B34" s="21"/>
      <c r="C34" s="11">
        <f t="shared" ref="C34:C41" si="1">B34/$B$42</f>
        <v>0</v>
      </c>
    </row>
    <row r="35" spans="1:5" x14ac:dyDescent="0.2">
      <c r="A35" t="s">
        <v>5</v>
      </c>
      <c r="B35">
        <v>400</v>
      </c>
      <c r="C35" s="11">
        <f t="shared" si="1"/>
        <v>0.30769230769230771</v>
      </c>
    </row>
    <row r="36" spans="1:5" x14ac:dyDescent="0.2">
      <c r="A36" t="s">
        <v>6</v>
      </c>
      <c r="B36">
        <v>400</v>
      </c>
      <c r="C36" s="11">
        <f t="shared" si="1"/>
        <v>0.30769230769230771</v>
      </c>
    </row>
    <row r="37" spans="1:5" x14ac:dyDescent="0.2">
      <c r="A37" t="s">
        <v>7</v>
      </c>
      <c r="B37">
        <v>300</v>
      </c>
      <c r="C37" s="11">
        <f t="shared" si="1"/>
        <v>0.23076923076923078</v>
      </c>
    </row>
    <row r="38" spans="1:5" x14ac:dyDescent="0.2">
      <c r="A38" t="s">
        <v>8</v>
      </c>
      <c r="B38">
        <v>200</v>
      </c>
      <c r="C38" s="11">
        <f t="shared" si="1"/>
        <v>0.15384615384615385</v>
      </c>
    </row>
    <row r="39" spans="1:5" x14ac:dyDescent="0.2">
      <c r="A39" t="s">
        <v>14</v>
      </c>
      <c r="B39">
        <f>B23</f>
        <v>0</v>
      </c>
      <c r="C39" s="11">
        <f t="shared" si="1"/>
        <v>0</v>
      </c>
    </row>
    <row r="40" spans="1:5" x14ac:dyDescent="0.2">
      <c r="A40" t="s">
        <v>15</v>
      </c>
      <c r="B40">
        <f>B24</f>
        <v>0</v>
      </c>
      <c r="C40" s="11">
        <f t="shared" si="1"/>
        <v>0</v>
      </c>
    </row>
    <row r="41" spans="1:5" x14ac:dyDescent="0.2">
      <c r="A41" t="s">
        <v>16</v>
      </c>
      <c r="B41">
        <f>B25</f>
        <v>0</v>
      </c>
      <c r="C41" s="11">
        <f t="shared" si="1"/>
        <v>0</v>
      </c>
    </row>
    <row r="42" spans="1:5" x14ac:dyDescent="0.2">
      <c r="A42" s="3" t="s">
        <v>11</v>
      </c>
      <c r="B42" s="3">
        <f>SUM(B34:B41)</f>
        <v>1300</v>
      </c>
      <c r="C42" s="5">
        <f>SUM(C34:C41)</f>
        <v>1</v>
      </c>
    </row>
    <row r="45" spans="1:5" x14ac:dyDescent="0.2">
      <c r="A45" s="1" t="s">
        <v>20</v>
      </c>
      <c r="B45" s="1"/>
    </row>
    <row r="46" spans="1:5" x14ac:dyDescent="0.2">
      <c r="A46" t="s">
        <v>4</v>
      </c>
      <c r="B46" s="8"/>
      <c r="C46" s="7"/>
    </row>
    <row r="47" spans="1:5" x14ac:dyDescent="0.2">
      <c r="A47" t="s">
        <v>9</v>
      </c>
      <c r="B47" s="15"/>
      <c r="C47" s="14">
        <f>B47/B42</f>
        <v>0</v>
      </c>
      <c r="D47" t="s">
        <v>19</v>
      </c>
      <c r="E47" s="18"/>
    </row>
    <row r="48" spans="1:5" x14ac:dyDescent="0.2">
      <c r="A48" t="s">
        <v>10</v>
      </c>
      <c r="B48" s="14"/>
      <c r="C48" s="14">
        <f>B48/B59</f>
        <v>0</v>
      </c>
      <c r="D48" t="s">
        <v>19</v>
      </c>
      <c r="E48" s="18"/>
    </row>
    <row r="49" spans="1:4" x14ac:dyDescent="0.2">
      <c r="A49" s="9" t="s">
        <v>1</v>
      </c>
      <c r="B49" s="10" t="s">
        <v>2</v>
      </c>
      <c r="C49" s="10" t="s">
        <v>3</v>
      </c>
    </row>
    <row r="50" spans="1:4" x14ac:dyDescent="0.2">
      <c r="A50" s="16" t="s">
        <v>20</v>
      </c>
      <c r="B50" s="23"/>
      <c r="C50" s="20">
        <f t="shared" ref="C50:C58" si="2">B50/$B$59</f>
        <v>0</v>
      </c>
    </row>
    <row r="51" spans="1:4" x14ac:dyDescent="0.2">
      <c r="A51" s="13" t="s">
        <v>18</v>
      </c>
      <c r="B51" s="21">
        <f>B34</f>
        <v>0</v>
      </c>
      <c r="C51" s="29">
        <f t="shared" si="2"/>
        <v>0</v>
      </c>
    </row>
    <row r="52" spans="1:4" x14ac:dyDescent="0.2">
      <c r="A52" t="s">
        <v>5</v>
      </c>
      <c r="B52">
        <v>400</v>
      </c>
      <c r="C52" s="19">
        <f t="shared" si="2"/>
        <v>0.28985507246376813</v>
      </c>
    </row>
    <row r="53" spans="1:4" x14ac:dyDescent="0.2">
      <c r="A53" t="s">
        <v>6</v>
      </c>
      <c r="B53">
        <v>400</v>
      </c>
      <c r="C53" s="19">
        <f t="shared" si="2"/>
        <v>0.28985507246376813</v>
      </c>
    </row>
    <row r="54" spans="1:4" x14ac:dyDescent="0.2">
      <c r="A54" t="s">
        <v>7</v>
      </c>
      <c r="B54">
        <v>300</v>
      </c>
      <c r="C54" s="19">
        <f t="shared" si="2"/>
        <v>0.21739130434782608</v>
      </c>
    </row>
    <row r="55" spans="1:4" x14ac:dyDescent="0.2">
      <c r="A55" t="s">
        <v>8</v>
      </c>
      <c r="B55">
        <v>200</v>
      </c>
      <c r="C55" s="19">
        <f t="shared" si="2"/>
        <v>0.14492753623188406</v>
      </c>
    </row>
    <row r="56" spans="1:4" x14ac:dyDescent="0.2">
      <c r="A56" t="s">
        <v>14</v>
      </c>
      <c r="B56">
        <v>30</v>
      </c>
      <c r="C56" s="19">
        <f t="shared" si="2"/>
        <v>2.1739130434782608E-2</v>
      </c>
    </row>
    <row r="57" spans="1:4" x14ac:dyDescent="0.2">
      <c r="A57" t="s">
        <v>15</v>
      </c>
      <c r="B57">
        <v>25</v>
      </c>
      <c r="C57" s="19">
        <f t="shared" si="2"/>
        <v>1.8115942028985508E-2</v>
      </c>
    </row>
    <row r="58" spans="1:4" x14ac:dyDescent="0.2">
      <c r="A58" t="s">
        <v>16</v>
      </c>
      <c r="B58">
        <v>25</v>
      </c>
      <c r="C58" s="19">
        <f t="shared" si="2"/>
        <v>1.8115942028985508E-2</v>
      </c>
    </row>
    <row r="59" spans="1:4" x14ac:dyDescent="0.2">
      <c r="A59" s="3" t="s">
        <v>11</v>
      </c>
      <c r="B59" s="17">
        <f>SUM(B50:B58)</f>
        <v>1380</v>
      </c>
      <c r="C59" s="5">
        <f>SUM(C50:C58)</f>
        <v>0.99999999999999989</v>
      </c>
    </row>
    <row r="62" spans="1:4" x14ac:dyDescent="0.2">
      <c r="A62" s="1" t="s">
        <v>21</v>
      </c>
      <c r="B62" s="1"/>
    </row>
    <row r="63" spans="1:4" x14ac:dyDescent="0.2">
      <c r="A63" t="s">
        <v>4</v>
      </c>
      <c r="B63" s="8">
        <v>3000000</v>
      </c>
      <c r="C63" s="7"/>
    </row>
    <row r="64" spans="1:4" x14ac:dyDescent="0.2">
      <c r="A64" t="s">
        <v>9</v>
      </c>
      <c r="B64" s="15">
        <v>7000000</v>
      </c>
      <c r="C64" s="14">
        <f>B64/B59</f>
        <v>5072.463768115942</v>
      </c>
      <c r="D64" t="s">
        <v>19</v>
      </c>
    </row>
    <row r="65" spans="1:8" x14ac:dyDescent="0.2">
      <c r="A65" t="s">
        <v>10</v>
      </c>
      <c r="B65" s="14">
        <f>B63/0.3</f>
        <v>10000000</v>
      </c>
      <c r="C65" s="14">
        <f>B65/B77</f>
        <v>7246.376811594203</v>
      </c>
      <c r="D65" t="s">
        <v>19</v>
      </c>
      <c r="E65" s="18"/>
    </row>
    <row r="66" spans="1:8" x14ac:dyDescent="0.2">
      <c r="A66" s="9" t="s">
        <v>1</v>
      </c>
      <c r="B66" s="10" t="s">
        <v>2</v>
      </c>
      <c r="C66" s="10" t="s">
        <v>3</v>
      </c>
    </row>
    <row r="67" spans="1:8" x14ac:dyDescent="0.2">
      <c r="A67" s="22" t="s">
        <v>21</v>
      </c>
      <c r="B67" s="24"/>
      <c r="C67" s="26">
        <f t="shared" ref="C67:C76" si="3">B67/$B$77</f>
        <v>0</v>
      </c>
      <c r="H67" s="25"/>
    </row>
    <row r="68" spans="1:8" x14ac:dyDescent="0.2">
      <c r="A68" s="16" t="s">
        <v>20</v>
      </c>
      <c r="B68" s="23">
        <f>B50</f>
        <v>0</v>
      </c>
      <c r="C68" s="28">
        <f t="shared" si="3"/>
        <v>0</v>
      </c>
    </row>
    <row r="69" spans="1:8" x14ac:dyDescent="0.2">
      <c r="A69" s="13" t="s">
        <v>18</v>
      </c>
      <c r="B69" s="21">
        <f>B51</f>
        <v>0</v>
      </c>
      <c r="C69" s="30">
        <f t="shared" si="3"/>
        <v>0</v>
      </c>
    </row>
    <row r="70" spans="1:8" x14ac:dyDescent="0.2">
      <c r="A70" t="s">
        <v>5</v>
      </c>
      <c r="B70">
        <v>400</v>
      </c>
      <c r="C70" s="27">
        <f t="shared" si="3"/>
        <v>0.28985507246376813</v>
      </c>
    </row>
    <row r="71" spans="1:8" x14ac:dyDescent="0.2">
      <c r="A71" t="s">
        <v>6</v>
      </c>
      <c r="B71">
        <v>400</v>
      </c>
      <c r="C71" s="27">
        <f t="shared" si="3"/>
        <v>0.28985507246376813</v>
      </c>
    </row>
    <row r="72" spans="1:8" x14ac:dyDescent="0.2">
      <c r="A72" t="s">
        <v>7</v>
      </c>
      <c r="B72">
        <v>300</v>
      </c>
      <c r="C72" s="27">
        <f t="shared" si="3"/>
        <v>0.21739130434782608</v>
      </c>
    </row>
    <row r="73" spans="1:8" x14ac:dyDescent="0.2">
      <c r="A73" t="s">
        <v>8</v>
      </c>
      <c r="B73">
        <v>200</v>
      </c>
      <c r="C73" s="27">
        <f t="shared" si="3"/>
        <v>0.14492753623188406</v>
      </c>
    </row>
    <row r="74" spans="1:8" x14ac:dyDescent="0.2">
      <c r="A74" t="s">
        <v>14</v>
      </c>
      <c r="B74">
        <v>30</v>
      </c>
      <c r="C74" s="27">
        <f t="shared" si="3"/>
        <v>2.1739130434782608E-2</v>
      </c>
    </row>
    <row r="75" spans="1:8" x14ac:dyDescent="0.2">
      <c r="A75" t="s">
        <v>15</v>
      </c>
      <c r="B75">
        <v>25</v>
      </c>
      <c r="C75" s="27">
        <f t="shared" si="3"/>
        <v>1.8115942028985508E-2</v>
      </c>
    </row>
    <row r="76" spans="1:8" x14ac:dyDescent="0.2">
      <c r="A76" t="s">
        <v>16</v>
      </c>
      <c r="B76">
        <v>25</v>
      </c>
      <c r="C76" s="27">
        <f t="shared" si="3"/>
        <v>1.8115942028985508E-2</v>
      </c>
    </row>
    <row r="77" spans="1:8" x14ac:dyDescent="0.2">
      <c r="A77" s="3" t="s">
        <v>11</v>
      </c>
      <c r="B77" s="17">
        <f>SUM(B67:B76)</f>
        <v>1380</v>
      </c>
      <c r="C77" s="5">
        <f>SUM(C67:C76)</f>
        <v>0.99999999999999989</v>
      </c>
    </row>
    <row r="80" spans="1:8" x14ac:dyDescent="0.2">
      <c r="A80" s="32" t="s">
        <v>22</v>
      </c>
      <c r="B80" s="32"/>
      <c r="C80" s="33"/>
      <c r="D80" s="33"/>
      <c r="E80" s="33"/>
      <c r="F80" s="33"/>
    </row>
    <row r="81" spans="1:6" x14ac:dyDescent="0.2">
      <c r="A81" t="s">
        <v>23</v>
      </c>
      <c r="B81" s="8"/>
      <c r="C81" s="7"/>
    </row>
    <row r="82" spans="1:6" x14ac:dyDescent="0.2">
      <c r="A82" t="s">
        <v>19</v>
      </c>
      <c r="B82" s="15"/>
      <c r="C82" s="14"/>
    </row>
    <row r="83" spans="1:6" x14ac:dyDescent="0.2">
      <c r="B83" s="14"/>
      <c r="C83" s="14"/>
      <c r="E83" s="18"/>
    </row>
    <row r="84" spans="1:6" ht="34" x14ac:dyDescent="0.2">
      <c r="A84" s="9" t="s">
        <v>1</v>
      </c>
      <c r="B84" s="10" t="s">
        <v>2</v>
      </c>
      <c r="C84" s="10" t="s">
        <v>3</v>
      </c>
      <c r="D84" s="33" t="s">
        <v>24</v>
      </c>
      <c r="E84" s="34" t="s">
        <v>25</v>
      </c>
      <c r="F84" s="34" t="s">
        <v>26</v>
      </c>
    </row>
    <row r="85" spans="1:6" x14ac:dyDescent="0.2">
      <c r="A85" s="22" t="s">
        <v>21</v>
      </c>
      <c r="B85" s="24">
        <f>B67</f>
        <v>0</v>
      </c>
      <c r="C85" s="26">
        <f>B85/$B$95</f>
        <v>0</v>
      </c>
      <c r="D85" s="41"/>
      <c r="E85" s="8"/>
      <c r="F85" s="31"/>
    </row>
    <row r="86" spans="1:6" x14ac:dyDescent="0.2">
      <c r="A86" s="16" t="s">
        <v>20</v>
      </c>
      <c r="B86" s="23">
        <v>427</v>
      </c>
      <c r="C86" s="28">
        <f t="shared" ref="C86:C94" si="4">B86/$B$95</f>
        <v>0.20962199312714777</v>
      </c>
      <c r="D86" s="41"/>
      <c r="E86" s="8"/>
      <c r="F86" s="31"/>
    </row>
    <row r="87" spans="1:6" x14ac:dyDescent="0.2">
      <c r="A87" s="13" t="s">
        <v>18</v>
      </c>
      <c r="B87" s="21">
        <v>230</v>
      </c>
      <c r="C87" s="30">
        <f t="shared" si="4"/>
        <v>0.11291114383897889</v>
      </c>
      <c r="D87" s="41"/>
      <c r="E87" s="8"/>
      <c r="F87" s="31"/>
    </row>
    <row r="88" spans="1:6" x14ac:dyDescent="0.2">
      <c r="A88" t="s">
        <v>5</v>
      </c>
      <c r="B88">
        <v>400</v>
      </c>
      <c r="C88" s="27">
        <f t="shared" si="4"/>
        <v>0.19636720667648502</v>
      </c>
      <c r="D88" s="41"/>
    </row>
    <row r="89" spans="1:6" x14ac:dyDescent="0.2">
      <c r="A89" t="s">
        <v>6</v>
      </c>
      <c r="B89">
        <v>400</v>
      </c>
      <c r="C89" s="27">
        <f t="shared" si="4"/>
        <v>0.19636720667648502</v>
      </c>
      <c r="D89" s="41"/>
    </row>
    <row r="90" spans="1:6" x14ac:dyDescent="0.2">
      <c r="A90" t="s">
        <v>7</v>
      </c>
      <c r="B90">
        <v>300</v>
      </c>
      <c r="C90" s="27">
        <f t="shared" si="4"/>
        <v>0.14727540500736377</v>
      </c>
      <c r="D90" s="41"/>
    </row>
    <row r="91" spans="1:6" x14ac:dyDescent="0.2">
      <c r="A91" t="s">
        <v>8</v>
      </c>
      <c r="B91">
        <v>200</v>
      </c>
      <c r="C91" s="27">
        <f t="shared" si="4"/>
        <v>9.8183603338242512E-2</v>
      </c>
      <c r="D91" s="41"/>
    </row>
    <row r="92" spans="1:6" x14ac:dyDescent="0.2">
      <c r="A92" t="s">
        <v>14</v>
      </c>
      <c r="B92">
        <v>30</v>
      </c>
      <c r="C92" s="27">
        <f t="shared" si="4"/>
        <v>1.4727540500736377E-2</v>
      </c>
      <c r="D92" s="41"/>
    </row>
    <row r="93" spans="1:6" x14ac:dyDescent="0.2">
      <c r="A93" t="s">
        <v>15</v>
      </c>
      <c r="B93">
        <v>25</v>
      </c>
      <c r="C93" s="27">
        <f t="shared" si="4"/>
        <v>1.2272950417280314E-2</v>
      </c>
      <c r="D93" s="41"/>
    </row>
    <row r="94" spans="1:6" x14ac:dyDescent="0.2">
      <c r="A94" t="s">
        <v>16</v>
      </c>
      <c r="B94">
        <v>25</v>
      </c>
      <c r="C94" s="27">
        <f t="shared" si="4"/>
        <v>1.2272950417280314E-2</v>
      </c>
      <c r="D94" s="41"/>
    </row>
    <row r="95" spans="1:6" x14ac:dyDescent="0.2">
      <c r="A95" s="3" t="s">
        <v>11</v>
      </c>
      <c r="B95" s="17">
        <f>SUM(B85:B94)</f>
        <v>2037</v>
      </c>
      <c r="C95" s="5">
        <f>SUM(C85:C94)</f>
        <v>0.99999999999999989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Cap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Ellen Burnes</cp:lastModifiedBy>
  <dcterms:created xsi:type="dcterms:W3CDTF">2024-11-12T19:33:48Z</dcterms:created>
  <dcterms:modified xsi:type="dcterms:W3CDTF">2025-11-12T03:19:50Z</dcterms:modified>
</cp:coreProperties>
</file>