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29" documentId="8_{93330E17-8023-324B-804A-F8BEDBCB7D4E}" xr6:coauthVersionLast="47" xr6:coauthVersionMax="47" xr10:uidLastSave="{A3C2E3B9-EAE7-4B2A-9D86-73B9398C5A7A}"/>
  <bookViews>
    <workbookView xWindow="3585" yWindow="585" windowWidth="23550" windowHeight="14460" xr2:uid="{83A09A60-FFDE-9C46-9A25-DE5280822714}"/>
  </bookViews>
  <sheets>
    <sheet name="COVER" sheetId="7" r:id="rId1"/>
    <sheet name="Multiple and IS" sheetId="2" r:id="rId2"/>
    <sheet name="Balance Sheet" sheetId="6" r:id="rId3"/>
    <sheet name="IS with Growth" sheetId="5" r:id="rId4"/>
    <sheet name="Multiple and IS_ans" sheetId="1" r:id="rId5"/>
    <sheet name="IS with Growth_ans" sheetId="4" r:id="rId6"/>
    <sheet name="Balance Sheet_an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1" i="1"/>
  <c r="B12" i="1" s="1"/>
  <c r="B13" i="1" s="1"/>
  <c r="B7" i="1"/>
  <c r="B8" i="1" s="1"/>
  <c r="B15" i="1" s="1"/>
  <c r="B19" i="1" s="1"/>
  <c r="C5" i="4"/>
  <c r="C3" i="4"/>
  <c r="B8" i="4"/>
  <c r="B9" i="4" s="1"/>
  <c r="K6" i="3"/>
  <c r="K5" i="3"/>
  <c r="B9" i="3"/>
  <c r="K4" i="3" s="1"/>
  <c r="B14" i="3"/>
  <c r="B16" i="3" s="1"/>
  <c r="G9" i="3"/>
  <c r="G14" i="3"/>
  <c r="G21" i="3"/>
  <c r="B14" i="1" l="1"/>
  <c r="C4" i="4"/>
  <c r="G23" i="3"/>
  <c r="B23" i="3"/>
  <c r="C8" i="4" l="1"/>
  <c r="C9" i="4" s="1"/>
  <c r="K2" i="3" l="1"/>
</calcChain>
</file>

<file path=xl/sharedStrings.xml><?xml version="1.0" encoding="utf-8"?>
<sst xmlns="http://schemas.openxmlformats.org/spreadsheetml/2006/main" count="145" uniqueCount="58">
  <si>
    <t>Income Statement</t>
  </si>
  <si>
    <t>Revenue</t>
  </si>
  <si>
    <t>COGS</t>
  </si>
  <si>
    <t>OPEX</t>
  </si>
  <si>
    <t>Depreciation</t>
  </si>
  <si>
    <t>Interest</t>
  </si>
  <si>
    <t>Taxes</t>
  </si>
  <si>
    <t>Net Income</t>
  </si>
  <si>
    <t>Taxes = 25%</t>
  </si>
  <si>
    <t>Gross Profit</t>
  </si>
  <si>
    <t>EBITDA</t>
  </si>
  <si>
    <t>Operating Profit = EBIT</t>
  </si>
  <si>
    <t>Dividends</t>
  </si>
  <si>
    <t>Contribution to Retained Earnings</t>
  </si>
  <si>
    <t>ASSETS</t>
  </si>
  <si>
    <t>LIABILITIES &amp; SHAREHOLDERS' EQUITY</t>
  </si>
  <si>
    <t>Current Assets</t>
  </si>
  <si>
    <t>Current Liabilities</t>
  </si>
  <si>
    <t>Cash &amp; equivalents</t>
  </si>
  <si>
    <t>Accounts Payable</t>
  </si>
  <si>
    <t>Accounts Receivable</t>
  </si>
  <si>
    <t>Notes Payable</t>
  </si>
  <si>
    <t>Inventories</t>
  </si>
  <si>
    <t>Accrued expenses</t>
  </si>
  <si>
    <t>Other</t>
  </si>
  <si>
    <t>Total Current Assets</t>
  </si>
  <si>
    <t>Total Current Liabilities</t>
  </si>
  <si>
    <t>Fixed Assets</t>
  </si>
  <si>
    <t>Long-Term Liabilities</t>
  </si>
  <si>
    <t>PP&amp;E</t>
  </si>
  <si>
    <t>Less Accumulated Depreciation</t>
  </si>
  <si>
    <t>Long-term debt (Bonds)</t>
  </si>
  <si>
    <t>Net PP&amp;E</t>
  </si>
  <si>
    <t>Total long-term liabilities</t>
  </si>
  <si>
    <t>Intangible Assets &amp; Other</t>
  </si>
  <si>
    <t>Total Fixed Assets</t>
  </si>
  <si>
    <t>Shareholders' Equity</t>
  </si>
  <si>
    <t>Common Stock ($1 par value)</t>
  </si>
  <si>
    <t>Accumulated Retained Earnings</t>
  </si>
  <si>
    <t>Total Equity</t>
  </si>
  <si>
    <t>Total Assets</t>
  </si>
  <si>
    <t>Total Liabilities &amp; Shareholders' Equity</t>
  </si>
  <si>
    <t>Example Balance Sheet</t>
  </si>
  <si>
    <t>ROE</t>
  </si>
  <si>
    <t>ROA</t>
  </si>
  <si>
    <t>Current Ratio</t>
  </si>
  <si>
    <t>Quick Ratio</t>
  </si>
  <si>
    <t>TIE Ratio</t>
  </si>
  <si>
    <t>RATIOS</t>
  </si>
  <si>
    <t xml:space="preserve">Revenue </t>
  </si>
  <si>
    <t>increases 15%</t>
  </si>
  <si>
    <t>constant percentage of revenue</t>
  </si>
  <si>
    <t>same</t>
  </si>
  <si>
    <t>Year 1</t>
  </si>
  <si>
    <t>Year 2</t>
  </si>
  <si>
    <t>Year Two Assumptions</t>
  </si>
  <si>
    <t>Ref Year</t>
  </si>
  <si>
    <t>Practice Questions for Midterm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</si>
</sst>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6" fillId="0" borderId="0" xfId="0" applyFont="1"/>
    <xf numFmtId="164" fontId="5" fillId="3" borderId="3" xfId="1" applyNumberFormat="1" applyFont="1" applyFill="1" applyBorder="1" applyAlignment="1">
      <alignment horizontal="right" vertical="center" wrapText="1"/>
    </xf>
    <xf numFmtId="164" fontId="5" fillId="4" borderId="4" xfId="1" applyNumberFormat="1" applyFont="1" applyFill="1" applyBorder="1" applyAlignment="1">
      <alignment horizontal="right" vertical="center" wrapText="1"/>
    </xf>
    <xf numFmtId="164" fontId="5" fillId="3" borderId="4" xfId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center" vertical="center"/>
    </xf>
    <xf numFmtId="3" fontId="0" fillId="0" borderId="0" xfId="0" applyNumberFormat="1"/>
    <xf numFmtId="0" fontId="7" fillId="0" borderId="0" xfId="0" applyFont="1" applyAlignment="1">
      <alignment horizontal="right"/>
    </xf>
    <xf numFmtId="1" fontId="0" fillId="0" borderId="0" xfId="0" applyNumberFormat="1"/>
    <xf numFmtId="0" fontId="7" fillId="0" borderId="0" xfId="0" applyFont="1"/>
    <xf numFmtId="9" fontId="0" fillId="0" borderId="0" xfId="2" applyFont="1" applyFill="1"/>
    <xf numFmtId="164" fontId="0" fillId="0" borderId="0" xfId="1" applyNumberFormat="1" applyFont="1" applyFill="1"/>
    <xf numFmtId="164" fontId="0" fillId="0" borderId="0" xfId="1" applyNumberFormat="1" applyFont="1" applyFill="1" applyAlignment="1"/>
    <xf numFmtId="2" fontId="0" fillId="0" borderId="0" xfId="0" applyNumberFormat="1"/>
    <xf numFmtId="9" fontId="0" fillId="0" borderId="0" xfId="0" applyNumberFormat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164" fontId="6" fillId="0" borderId="0" xfId="0" applyNumberFormat="1" applyFont="1"/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3A21-0949-462A-9B48-0FCBEA9BC1D5}">
  <dimension ref="A1"/>
  <sheetViews>
    <sheetView tabSelected="1" workbookViewId="0">
      <selection activeCell="E10" sqref="E10"/>
    </sheetView>
  </sheetViews>
  <sheetFormatPr defaultRowHeight="15.75" x14ac:dyDescent="0.25"/>
  <sheetData>
    <row r="1" spans="1:1" x14ac:dyDescent="0.25">
      <c r="A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F536-BD9F-7A4D-BE9C-14B122D9D4B3}">
  <dimension ref="A1:B19"/>
  <sheetViews>
    <sheetView workbookViewId="0">
      <selection activeCell="B11" sqref="B11:B15"/>
    </sheetView>
  </sheetViews>
  <sheetFormatPr defaultColWidth="11" defaultRowHeight="15.75" x14ac:dyDescent="0.25"/>
  <cols>
    <col min="1" max="1" width="19.625" customWidth="1"/>
    <col min="2" max="2" width="21" style="4" customWidth="1"/>
    <col min="3" max="3" width="17.5" customWidth="1"/>
  </cols>
  <sheetData>
    <row r="1" spans="1:2" ht="35.1" customHeight="1" thickBot="1" x14ac:dyDescent="0.3">
      <c r="A1" s="27" t="s">
        <v>0</v>
      </c>
      <c r="B1" s="28"/>
    </row>
    <row r="2" spans="1:2" ht="35.1" customHeight="1" thickTop="1" thickBot="1" x14ac:dyDescent="0.3">
      <c r="A2" s="1" t="s">
        <v>1</v>
      </c>
      <c r="B2" s="5">
        <v>128000</v>
      </c>
    </row>
    <row r="3" spans="1:2" ht="35.1" customHeight="1" thickBot="1" x14ac:dyDescent="0.3">
      <c r="A3" s="2" t="s">
        <v>2</v>
      </c>
      <c r="B3" s="6">
        <v>20000</v>
      </c>
    </row>
    <row r="4" spans="1:2" ht="35.1" customHeight="1" thickBot="1" x14ac:dyDescent="0.3">
      <c r="A4" s="3" t="s">
        <v>3</v>
      </c>
      <c r="B4" s="7">
        <v>15000</v>
      </c>
    </row>
    <row r="5" spans="1:2" ht="35.1" customHeight="1" thickBot="1" x14ac:dyDescent="0.3">
      <c r="A5" s="2" t="s">
        <v>4</v>
      </c>
      <c r="B5" s="6">
        <v>8000</v>
      </c>
    </row>
    <row r="6" spans="1:2" ht="35.1" customHeight="1" thickBot="1" x14ac:dyDescent="0.3">
      <c r="A6" s="3" t="s">
        <v>5</v>
      </c>
      <c r="B6" s="7">
        <v>450</v>
      </c>
    </row>
    <row r="7" spans="1:2" ht="35.1" customHeight="1" thickBot="1" x14ac:dyDescent="0.3">
      <c r="A7" s="2" t="s">
        <v>8</v>
      </c>
      <c r="B7" s="6"/>
    </row>
    <row r="8" spans="1:2" ht="35.1" customHeight="1" thickBot="1" x14ac:dyDescent="0.3">
      <c r="A8" s="3" t="s">
        <v>7</v>
      </c>
      <c r="B8" s="7"/>
    </row>
    <row r="11" spans="1:2" ht="23.1" customHeight="1" x14ac:dyDescent="0.25">
      <c r="A11" s="22" t="s">
        <v>9</v>
      </c>
      <c r="B11" s="25"/>
    </row>
    <row r="12" spans="1:2" ht="23.1" customHeight="1" x14ac:dyDescent="0.25">
      <c r="A12" s="22" t="s">
        <v>10</v>
      </c>
      <c r="B12" s="25"/>
    </row>
    <row r="13" spans="1:2" ht="23.1" customHeight="1" x14ac:dyDescent="0.25">
      <c r="A13" s="22" t="s">
        <v>11</v>
      </c>
      <c r="B13" s="25"/>
    </row>
    <row r="14" spans="1:2" ht="23.1" customHeight="1" x14ac:dyDescent="0.25">
      <c r="A14" s="22" t="s">
        <v>6</v>
      </c>
      <c r="B14" s="25"/>
    </row>
    <row r="15" spans="1:2" ht="23.1" customHeight="1" x14ac:dyDescent="0.25">
      <c r="A15" s="22" t="s">
        <v>7</v>
      </c>
      <c r="B15" s="25"/>
    </row>
    <row r="16" spans="1:2" ht="23.1" customHeight="1" x14ac:dyDescent="0.25">
      <c r="A16" s="22"/>
    </row>
    <row r="17" spans="1:2" ht="23.1" customHeight="1" x14ac:dyDescent="0.25">
      <c r="A17" s="22" t="s">
        <v>12</v>
      </c>
      <c r="B17" s="24">
        <v>0</v>
      </c>
    </row>
    <row r="18" spans="1:2" ht="21.95" customHeight="1" x14ac:dyDescent="0.25">
      <c r="A18" s="22"/>
    </row>
    <row r="19" spans="1:2" ht="31.5" x14ac:dyDescent="0.25">
      <c r="A19" s="23" t="s">
        <v>13</v>
      </c>
      <c r="B19" s="25">
        <f>B15-B17</f>
        <v>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8523-17C3-4C86-BFC3-D941115250E8}">
  <dimension ref="A1:K27"/>
  <sheetViews>
    <sheetView workbookViewId="0">
      <selection activeCell="C30" sqref="C30"/>
    </sheetView>
  </sheetViews>
  <sheetFormatPr defaultColWidth="10.625" defaultRowHeight="15.75" x14ac:dyDescent="0.25"/>
  <cols>
    <col min="1" max="1" width="30.625" customWidth="1"/>
    <col min="5" max="5" width="5" customWidth="1"/>
    <col min="6" max="6" width="35.625" customWidth="1"/>
    <col min="7" max="7" width="11.5" bestFit="1" customWidth="1"/>
    <col min="10" max="10" width="14" customWidth="1"/>
  </cols>
  <sheetData>
    <row r="1" spans="1:11" x14ac:dyDescent="0.25">
      <c r="A1" s="26" t="s">
        <v>42</v>
      </c>
      <c r="J1" s="33" t="s">
        <v>48</v>
      </c>
      <c r="K1" s="33"/>
    </row>
    <row r="2" spans="1:11" x14ac:dyDescent="0.25">
      <c r="A2" s="9" t="s">
        <v>14</v>
      </c>
      <c r="F2" s="9" t="s">
        <v>15</v>
      </c>
      <c r="J2" s="22" t="s">
        <v>43</v>
      </c>
      <c r="K2" s="15"/>
    </row>
    <row r="3" spans="1:11" x14ac:dyDescent="0.25">
      <c r="B3" s="10" t="s">
        <v>56</v>
      </c>
      <c r="C3" s="10"/>
      <c r="D3" s="10"/>
      <c r="G3" s="10" t="s">
        <v>56</v>
      </c>
      <c r="H3" s="10"/>
      <c r="J3" s="22" t="s">
        <v>44</v>
      </c>
    </row>
    <row r="4" spans="1:11" x14ac:dyDescent="0.25">
      <c r="A4" s="9" t="s">
        <v>16</v>
      </c>
      <c r="F4" s="9" t="s">
        <v>17</v>
      </c>
      <c r="J4" s="22" t="s">
        <v>45</v>
      </c>
      <c r="K4" s="18"/>
    </row>
    <row r="5" spans="1:11" x14ac:dyDescent="0.25">
      <c r="A5" t="s">
        <v>18</v>
      </c>
      <c r="B5" s="16">
        <v>53000</v>
      </c>
      <c r="D5" s="11"/>
      <c r="F5" t="s">
        <v>19</v>
      </c>
      <c r="G5" s="16">
        <v>24000</v>
      </c>
      <c r="J5" s="22" t="s">
        <v>46</v>
      </c>
    </row>
    <row r="6" spans="1:11" x14ac:dyDescent="0.25">
      <c r="A6" t="s">
        <v>20</v>
      </c>
      <c r="B6" s="17">
        <v>35000</v>
      </c>
      <c r="F6" t="s">
        <v>21</v>
      </c>
      <c r="G6" s="16">
        <v>10000</v>
      </c>
      <c r="J6" s="22" t="s">
        <v>47</v>
      </c>
      <c r="K6" s="13"/>
    </row>
    <row r="7" spans="1:11" x14ac:dyDescent="0.25">
      <c r="A7" t="s">
        <v>22</v>
      </c>
      <c r="B7" s="17">
        <v>25000</v>
      </c>
      <c r="F7" t="s">
        <v>23</v>
      </c>
      <c r="G7" s="16">
        <v>36000</v>
      </c>
    </row>
    <row r="8" spans="1:11" x14ac:dyDescent="0.25">
      <c r="A8" t="s">
        <v>24</v>
      </c>
      <c r="B8" s="17">
        <v>52000</v>
      </c>
      <c r="G8" s="16"/>
    </row>
    <row r="9" spans="1:11" x14ac:dyDescent="0.25">
      <c r="A9" s="12" t="s">
        <v>25</v>
      </c>
      <c r="B9" s="17"/>
      <c r="C9" s="13"/>
      <c r="D9" s="11"/>
      <c r="E9" s="13"/>
      <c r="F9" s="12" t="s">
        <v>26</v>
      </c>
      <c r="G9" s="16"/>
    </row>
    <row r="10" spans="1:11" x14ac:dyDescent="0.25">
      <c r="B10" s="17"/>
      <c r="G10" s="16"/>
    </row>
    <row r="11" spans="1:11" x14ac:dyDescent="0.25">
      <c r="A11" s="9" t="s">
        <v>27</v>
      </c>
      <c r="B11" s="17"/>
      <c r="F11" s="9" t="s">
        <v>28</v>
      </c>
      <c r="G11" s="16"/>
    </row>
    <row r="12" spans="1:11" x14ac:dyDescent="0.25">
      <c r="A12" t="s">
        <v>29</v>
      </c>
      <c r="B12" s="17">
        <v>120000</v>
      </c>
      <c r="G12" s="16"/>
    </row>
    <row r="13" spans="1:11" x14ac:dyDescent="0.25">
      <c r="A13" s="8" t="s">
        <v>30</v>
      </c>
      <c r="B13" s="17">
        <v>15000</v>
      </c>
      <c r="F13" t="s">
        <v>31</v>
      </c>
      <c r="G13" s="16">
        <v>10000</v>
      </c>
    </row>
    <row r="14" spans="1:11" x14ac:dyDescent="0.25">
      <c r="A14" s="8" t="s">
        <v>32</v>
      </c>
      <c r="B14" s="17"/>
      <c r="F14" s="14" t="s">
        <v>33</v>
      </c>
      <c r="G14" s="16"/>
    </row>
    <row r="15" spans="1:11" x14ac:dyDescent="0.25">
      <c r="A15" t="s">
        <v>34</v>
      </c>
      <c r="B15" s="17">
        <v>130000</v>
      </c>
      <c r="G15" s="16"/>
    </row>
    <row r="16" spans="1:11" x14ac:dyDescent="0.25">
      <c r="A16" s="12" t="s">
        <v>35</v>
      </c>
      <c r="B16" s="17"/>
      <c r="F16" s="9" t="s">
        <v>36</v>
      </c>
      <c r="G16" s="16"/>
    </row>
    <row r="17" spans="1:10" x14ac:dyDescent="0.25">
      <c r="F17" t="s">
        <v>37</v>
      </c>
      <c r="G17" s="16">
        <v>240000</v>
      </c>
      <c r="I17" s="13"/>
    </row>
    <row r="18" spans="1:10" x14ac:dyDescent="0.25">
      <c r="G18" s="16"/>
      <c r="I18" s="13"/>
    </row>
    <row r="19" spans="1:10" x14ac:dyDescent="0.25">
      <c r="F19" t="s">
        <v>38</v>
      </c>
      <c r="G19" s="16">
        <v>80000</v>
      </c>
      <c r="I19" s="13"/>
    </row>
    <row r="20" spans="1:10" x14ac:dyDescent="0.25">
      <c r="F20" s="8"/>
      <c r="G20" s="16"/>
      <c r="I20" s="13"/>
      <c r="J20" s="11"/>
    </row>
    <row r="21" spans="1:10" x14ac:dyDescent="0.25">
      <c r="F21" s="14" t="s">
        <v>39</v>
      </c>
      <c r="G21" s="16"/>
      <c r="H21" s="13"/>
      <c r="I21" s="13"/>
    </row>
    <row r="22" spans="1:10" x14ac:dyDescent="0.25">
      <c r="G22" s="13"/>
      <c r="I22" s="13"/>
      <c r="J22" s="13"/>
    </row>
    <row r="23" spans="1:10" x14ac:dyDescent="0.25">
      <c r="A23" s="9" t="s">
        <v>40</v>
      </c>
      <c r="B23" s="16"/>
      <c r="D23" s="13"/>
      <c r="F23" s="9" t="s">
        <v>41</v>
      </c>
      <c r="G23" s="16"/>
      <c r="I23" s="13"/>
    </row>
    <row r="24" spans="1:10" x14ac:dyDescent="0.25">
      <c r="J24" s="13"/>
    </row>
    <row r="25" spans="1:10" x14ac:dyDescent="0.25">
      <c r="D25" s="11"/>
    </row>
    <row r="26" spans="1:10" x14ac:dyDescent="0.25">
      <c r="G26" s="13"/>
      <c r="J26" s="13"/>
    </row>
    <row r="27" spans="1:10" x14ac:dyDescent="0.25">
      <c r="G27" s="13"/>
    </row>
  </sheetData>
  <mergeCells count="1"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3E35-A500-45E0-8D20-878442D9476E}">
  <dimension ref="A1:G9"/>
  <sheetViews>
    <sheetView workbookViewId="0">
      <selection activeCell="D11" sqref="D11"/>
    </sheetView>
  </sheetViews>
  <sheetFormatPr defaultColWidth="11" defaultRowHeight="23.1" customHeight="1" x14ac:dyDescent="0.25"/>
  <cols>
    <col min="2" max="2" width="14.5" customWidth="1"/>
    <col min="3" max="3" width="14.375" customWidth="1"/>
    <col min="6" max="6" width="13.375" customWidth="1"/>
    <col min="7" max="7" width="28.625" customWidth="1"/>
  </cols>
  <sheetData>
    <row r="1" spans="1:7" ht="32.1" customHeight="1" x14ac:dyDescent="0.25">
      <c r="A1" s="29" t="s">
        <v>0</v>
      </c>
      <c r="B1" s="30"/>
      <c r="C1" s="31"/>
      <c r="F1" s="32" t="s">
        <v>55</v>
      </c>
      <c r="G1" s="32"/>
    </row>
    <row r="2" spans="1:7" ht="23.1" customHeight="1" thickBot="1" x14ac:dyDescent="0.3">
      <c r="A2" s="20"/>
      <c r="B2" s="21" t="s">
        <v>53</v>
      </c>
      <c r="C2" s="21" t="s">
        <v>54</v>
      </c>
      <c r="F2" s="22" t="s">
        <v>49</v>
      </c>
      <c r="G2" s="8" t="s">
        <v>50</v>
      </c>
    </row>
    <row r="3" spans="1:7" ht="23.1" customHeight="1" thickTop="1" thickBot="1" x14ac:dyDescent="0.3">
      <c r="A3" s="1" t="s">
        <v>1</v>
      </c>
      <c r="B3" s="5">
        <v>157000</v>
      </c>
      <c r="C3" s="5"/>
      <c r="F3" s="22" t="s">
        <v>2</v>
      </c>
      <c r="G3" s="8" t="s">
        <v>51</v>
      </c>
    </row>
    <row r="4" spans="1:7" ht="23.1" customHeight="1" thickBot="1" x14ac:dyDescent="0.3">
      <c r="A4" s="2" t="s">
        <v>2</v>
      </c>
      <c r="B4" s="6">
        <v>35000</v>
      </c>
      <c r="C4" s="6"/>
      <c r="F4" s="22" t="s">
        <v>3</v>
      </c>
      <c r="G4" s="8" t="s">
        <v>52</v>
      </c>
    </row>
    <row r="5" spans="1:7" ht="23.1" customHeight="1" thickBot="1" x14ac:dyDescent="0.3">
      <c r="A5" s="3" t="s">
        <v>3</v>
      </c>
      <c r="B5" s="7">
        <v>27000</v>
      </c>
      <c r="C5" s="7"/>
      <c r="F5" s="22" t="s">
        <v>4</v>
      </c>
      <c r="G5">
        <v>10000</v>
      </c>
    </row>
    <row r="6" spans="1:7" ht="23.1" customHeight="1" thickBot="1" x14ac:dyDescent="0.3">
      <c r="A6" s="2" t="s">
        <v>4</v>
      </c>
      <c r="B6" s="6">
        <v>9500</v>
      </c>
      <c r="C6" s="6"/>
      <c r="F6" s="22" t="s">
        <v>5</v>
      </c>
      <c r="G6" s="8" t="s">
        <v>52</v>
      </c>
    </row>
    <row r="7" spans="1:7" ht="23.1" customHeight="1" thickBot="1" x14ac:dyDescent="0.3">
      <c r="A7" s="3" t="s">
        <v>5</v>
      </c>
      <c r="B7" s="7">
        <v>550</v>
      </c>
      <c r="C7" s="7"/>
      <c r="F7" s="22" t="s">
        <v>6</v>
      </c>
      <c r="G7" s="19">
        <v>0.25</v>
      </c>
    </row>
    <row r="8" spans="1:7" ht="23.1" customHeight="1" thickBot="1" x14ac:dyDescent="0.3">
      <c r="A8" s="2" t="s">
        <v>8</v>
      </c>
      <c r="B8" s="6"/>
      <c r="C8" s="6"/>
    </row>
    <row r="9" spans="1:7" ht="23.1" customHeight="1" thickBot="1" x14ac:dyDescent="0.3">
      <c r="A9" s="3" t="s">
        <v>7</v>
      </c>
      <c r="B9" s="7"/>
      <c r="C9" s="7"/>
    </row>
  </sheetData>
  <mergeCells count="2">
    <mergeCell ref="A1:C1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427D-039A-5443-A5B9-47B75A2546C5}">
  <dimension ref="A1:B19"/>
  <sheetViews>
    <sheetView workbookViewId="0">
      <selection sqref="A1:XFD1048576"/>
    </sheetView>
  </sheetViews>
  <sheetFormatPr defaultColWidth="11" defaultRowHeight="15.75" x14ac:dyDescent="0.25"/>
  <cols>
    <col min="1" max="1" width="19.625" customWidth="1"/>
    <col min="2" max="2" width="21" style="4" customWidth="1"/>
    <col min="3" max="3" width="17.5" customWidth="1"/>
  </cols>
  <sheetData>
    <row r="1" spans="1:2" ht="35.1" customHeight="1" thickBot="1" x14ac:dyDescent="0.3">
      <c r="A1" s="27" t="s">
        <v>0</v>
      </c>
      <c r="B1" s="28"/>
    </row>
    <row r="2" spans="1:2" ht="35.1" customHeight="1" thickTop="1" thickBot="1" x14ac:dyDescent="0.3">
      <c r="A2" s="1" t="s">
        <v>1</v>
      </c>
      <c r="B2" s="5">
        <v>128000</v>
      </c>
    </row>
    <row r="3" spans="1:2" ht="35.1" customHeight="1" thickBot="1" x14ac:dyDescent="0.3">
      <c r="A3" s="2" t="s">
        <v>2</v>
      </c>
      <c r="B3" s="6">
        <v>20000</v>
      </c>
    </row>
    <row r="4" spans="1:2" ht="35.1" customHeight="1" thickBot="1" x14ac:dyDescent="0.3">
      <c r="A4" s="3" t="s">
        <v>3</v>
      </c>
      <c r="B4" s="7">
        <v>15000</v>
      </c>
    </row>
    <row r="5" spans="1:2" ht="35.1" customHeight="1" thickBot="1" x14ac:dyDescent="0.3">
      <c r="A5" s="2" t="s">
        <v>4</v>
      </c>
      <c r="B5" s="6">
        <v>8000</v>
      </c>
    </row>
    <row r="6" spans="1:2" ht="35.1" customHeight="1" thickBot="1" x14ac:dyDescent="0.3">
      <c r="A6" s="3" t="s">
        <v>5</v>
      </c>
      <c r="B6" s="7">
        <v>450</v>
      </c>
    </row>
    <row r="7" spans="1:2" ht="35.1" customHeight="1" thickBot="1" x14ac:dyDescent="0.3">
      <c r="A7" s="2" t="s">
        <v>8</v>
      </c>
      <c r="B7" s="6">
        <f>0.25*(B2-SUM(B3:B6))</f>
        <v>21137.5</v>
      </c>
    </row>
    <row r="8" spans="1:2" ht="35.1" customHeight="1" thickBot="1" x14ac:dyDescent="0.3">
      <c r="A8" s="3" t="s">
        <v>7</v>
      </c>
      <c r="B8" s="7">
        <f>B2-SUM(B3:B7)</f>
        <v>63412.5</v>
      </c>
    </row>
    <row r="11" spans="1:2" ht="23.1" customHeight="1" x14ac:dyDescent="0.25">
      <c r="A11" s="22" t="s">
        <v>9</v>
      </c>
      <c r="B11" s="25">
        <f>B2-B3</f>
        <v>108000</v>
      </c>
    </row>
    <row r="12" spans="1:2" ht="23.1" customHeight="1" x14ac:dyDescent="0.25">
      <c r="A12" s="22" t="s">
        <v>10</v>
      </c>
      <c r="B12" s="25">
        <f>B11-B4</f>
        <v>93000</v>
      </c>
    </row>
    <row r="13" spans="1:2" ht="23.1" customHeight="1" x14ac:dyDescent="0.25">
      <c r="A13" s="22" t="s">
        <v>11</v>
      </c>
      <c r="B13" s="25">
        <f>B12-B5</f>
        <v>85000</v>
      </c>
    </row>
    <row r="14" spans="1:2" ht="23.1" customHeight="1" x14ac:dyDescent="0.25">
      <c r="A14" s="22" t="s">
        <v>6</v>
      </c>
      <c r="B14" s="25">
        <f>B7</f>
        <v>21137.5</v>
      </c>
    </row>
    <row r="15" spans="1:2" ht="23.1" customHeight="1" x14ac:dyDescent="0.25">
      <c r="A15" s="22" t="s">
        <v>7</v>
      </c>
      <c r="B15" s="25">
        <f>B8</f>
        <v>63412.5</v>
      </c>
    </row>
    <row r="16" spans="1:2" ht="23.1" customHeight="1" x14ac:dyDescent="0.25">
      <c r="A16" s="22"/>
    </row>
    <row r="17" spans="1:2" ht="23.1" customHeight="1" x14ac:dyDescent="0.25">
      <c r="A17" s="22" t="s">
        <v>12</v>
      </c>
      <c r="B17" s="24">
        <v>0</v>
      </c>
    </row>
    <row r="18" spans="1:2" ht="21.95" customHeight="1" x14ac:dyDescent="0.25">
      <c r="A18" s="22"/>
    </row>
    <row r="19" spans="1:2" ht="31.5" x14ac:dyDescent="0.25">
      <c r="A19" s="23" t="s">
        <v>13</v>
      </c>
      <c r="B19" s="25">
        <f>B15-B17</f>
        <v>63412.5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13D2-9612-5444-8E45-4E3815C8830A}">
  <dimension ref="A1:G9"/>
  <sheetViews>
    <sheetView workbookViewId="0">
      <selection sqref="A1:XFD1048576"/>
    </sheetView>
  </sheetViews>
  <sheetFormatPr defaultColWidth="11" defaultRowHeight="23.1" customHeight="1" x14ac:dyDescent="0.25"/>
  <cols>
    <col min="2" max="2" width="14.5" customWidth="1"/>
    <col min="3" max="3" width="14.375" customWidth="1"/>
    <col min="6" max="6" width="13.375" customWidth="1"/>
    <col min="7" max="7" width="28.625" customWidth="1"/>
  </cols>
  <sheetData>
    <row r="1" spans="1:7" ht="32.1" customHeight="1" x14ac:dyDescent="0.25">
      <c r="A1" s="29" t="s">
        <v>0</v>
      </c>
      <c r="B1" s="30"/>
      <c r="C1" s="31"/>
      <c r="F1" s="32" t="s">
        <v>55</v>
      </c>
      <c r="G1" s="32"/>
    </row>
    <row r="2" spans="1:7" ht="23.1" customHeight="1" thickBot="1" x14ac:dyDescent="0.3">
      <c r="A2" s="20"/>
      <c r="B2" s="21" t="s">
        <v>53</v>
      </c>
      <c r="C2" s="21" t="s">
        <v>54</v>
      </c>
      <c r="F2" s="22" t="s">
        <v>49</v>
      </c>
      <c r="G2" s="8" t="s">
        <v>50</v>
      </c>
    </row>
    <row r="3" spans="1:7" ht="23.1" customHeight="1" thickTop="1" thickBot="1" x14ac:dyDescent="0.3">
      <c r="A3" s="1" t="s">
        <v>1</v>
      </c>
      <c r="B3" s="5">
        <v>157000</v>
      </c>
      <c r="C3" s="5">
        <f>B3*(1.15)</f>
        <v>180550</v>
      </c>
      <c r="F3" s="22" t="s">
        <v>2</v>
      </c>
      <c r="G3" s="8" t="s">
        <v>51</v>
      </c>
    </row>
    <row r="4" spans="1:7" ht="23.1" customHeight="1" thickBot="1" x14ac:dyDescent="0.3">
      <c r="A4" s="2" t="s">
        <v>2</v>
      </c>
      <c r="B4" s="6">
        <v>35000</v>
      </c>
      <c r="C4" s="6">
        <f>C3*(B4/B3)</f>
        <v>40250</v>
      </c>
      <c r="F4" s="22" t="s">
        <v>3</v>
      </c>
      <c r="G4" s="8" t="s">
        <v>52</v>
      </c>
    </row>
    <row r="5" spans="1:7" ht="23.1" customHeight="1" thickBot="1" x14ac:dyDescent="0.3">
      <c r="A5" s="3" t="s">
        <v>3</v>
      </c>
      <c r="B5" s="7">
        <v>27000</v>
      </c>
      <c r="C5" s="7">
        <f>B5</f>
        <v>27000</v>
      </c>
      <c r="F5" s="22" t="s">
        <v>4</v>
      </c>
      <c r="G5">
        <v>10000</v>
      </c>
    </row>
    <row r="6" spans="1:7" ht="23.1" customHeight="1" thickBot="1" x14ac:dyDescent="0.3">
      <c r="A6" s="2" t="s">
        <v>4</v>
      </c>
      <c r="B6" s="6">
        <v>9500</v>
      </c>
      <c r="C6" s="6">
        <v>10000</v>
      </c>
      <c r="F6" s="22" t="s">
        <v>5</v>
      </c>
      <c r="G6" s="8" t="s">
        <v>52</v>
      </c>
    </row>
    <row r="7" spans="1:7" ht="23.1" customHeight="1" thickBot="1" x14ac:dyDescent="0.3">
      <c r="A7" s="3" t="s">
        <v>5</v>
      </c>
      <c r="B7" s="7">
        <v>550</v>
      </c>
      <c r="C7" s="7">
        <v>550</v>
      </c>
      <c r="F7" s="22" t="s">
        <v>6</v>
      </c>
      <c r="G7" s="19">
        <v>0.25</v>
      </c>
    </row>
    <row r="8" spans="1:7" ht="23.1" customHeight="1" thickBot="1" x14ac:dyDescent="0.3">
      <c r="A8" s="2" t="s">
        <v>8</v>
      </c>
      <c r="B8" s="6">
        <f>(B3-SUM(B4:B7))*0.25</f>
        <v>21237.5</v>
      </c>
      <c r="C8" s="6">
        <f>(C3-SUM(C4:C7))*0.25</f>
        <v>25687.5</v>
      </c>
    </row>
    <row r="9" spans="1:7" ht="23.1" customHeight="1" thickBot="1" x14ac:dyDescent="0.3">
      <c r="A9" s="3" t="s">
        <v>7</v>
      </c>
      <c r="B9" s="7">
        <f>B3-SUM(B4:B8)</f>
        <v>63712.5</v>
      </c>
      <c r="C9" s="7">
        <f>C3-SUM(C4:C8)</f>
        <v>77062.5</v>
      </c>
    </row>
  </sheetData>
  <mergeCells count="2">
    <mergeCell ref="A1:C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79EC-DBA4-0240-A293-11A50A6B753D}">
  <dimension ref="A1:K27"/>
  <sheetViews>
    <sheetView workbookViewId="0">
      <selection sqref="A1:XFD1048576"/>
    </sheetView>
  </sheetViews>
  <sheetFormatPr defaultColWidth="10.625" defaultRowHeight="15.75" x14ac:dyDescent="0.25"/>
  <cols>
    <col min="1" max="1" width="30.625" customWidth="1"/>
    <col min="5" max="5" width="5" customWidth="1"/>
    <col min="6" max="6" width="35.625" customWidth="1"/>
    <col min="7" max="7" width="11.5" bestFit="1" customWidth="1"/>
    <col min="10" max="10" width="14" customWidth="1"/>
  </cols>
  <sheetData>
    <row r="1" spans="1:11" x14ac:dyDescent="0.25">
      <c r="A1" s="26" t="s">
        <v>42</v>
      </c>
      <c r="J1" s="33" t="s">
        <v>48</v>
      </c>
      <c r="K1" s="33"/>
    </row>
    <row r="2" spans="1:11" x14ac:dyDescent="0.25">
      <c r="A2" s="9" t="s">
        <v>14</v>
      </c>
      <c r="F2" s="9" t="s">
        <v>15</v>
      </c>
      <c r="J2" s="22" t="s">
        <v>43</v>
      </c>
      <c r="K2" s="15">
        <f>'Multiple and IS_ans'!B8/'Balance Sheet_ans'!G21</f>
        <v>0.19816406249999999</v>
      </c>
    </row>
    <row r="3" spans="1:11" x14ac:dyDescent="0.25">
      <c r="B3" s="10">
        <v>2021</v>
      </c>
      <c r="C3" s="10"/>
      <c r="D3" s="10"/>
      <c r="G3" s="10">
        <v>2021</v>
      </c>
      <c r="H3" s="10"/>
      <c r="J3" s="22" t="s">
        <v>44</v>
      </c>
    </row>
    <row r="4" spans="1:11" x14ac:dyDescent="0.25">
      <c r="A4" s="9" t="s">
        <v>16</v>
      </c>
      <c r="F4" s="9" t="s">
        <v>17</v>
      </c>
      <c r="J4" s="22" t="s">
        <v>45</v>
      </c>
      <c r="K4" s="18">
        <f>B9/G9</f>
        <v>2.3571428571428572</v>
      </c>
    </row>
    <row r="5" spans="1:11" x14ac:dyDescent="0.25">
      <c r="A5" t="s">
        <v>18</v>
      </c>
      <c r="B5" s="16">
        <v>53000</v>
      </c>
      <c r="D5" s="11"/>
      <c r="F5" t="s">
        <v>19</v>
      </c>
      <c r="G5" s="16">
        <v>24000</v>
      </c>
      <c r="J5" s="22" t="s">
        <v>46</v>
      </c>
      <c r="K5">
        <f>(B9-B7)/G9</f>
        <v>2</v>
      </c>
    </row>
    <row r="6" spans="1:11" x14ac:dyDescent="0.25">
      <c r="A6" t="s">
        <v>20</v>
      </c>
      <c r="B6" s="17">
        <v>35000</v>
      </c>
      <c r="F6" t="s">
        <v>21</v>
      </c>
      <c r="G6" s="16">
        <v>10000</v>
      </c>
      <c r="J6" s="22" t="s">
        <v>47</v>
      </c>
      <c r="K6" s="13">
        <f>('Multiple and IS_ans'!B2-'Multiple and IS_ans'!B3-'Multiple and IS_ans'!B4-'Multiple and IS_ans'!B5)/'Multiple and IS_ans'!B6</f>
        <v>188.88888888888889</v>
      </c>
    </row>
    <row r="7" spans="1:11" x14ac:dyDescent="0.25">
      <c r="A7" t="s">
        <v>22</v>
      </c>
      <c r="B7" s="17">
        <v>25000</v>
      </c>
      <c r="F7" t="s">
        <v>23</v>
      </c>
      <c r="G7" s="16">
        <v>36000</v>
      </c>
    </row>
    <row r="8" spans="1:11" x14ac:dyDescent="0.25">
      <c r="A8" t="s">
        <v>24</v>
      </c>
      <c r="B8" s="17">
        <v>52000</v>
      </c>
      <c r="G8" s="16"/>
    </row>
    <row r="9" spans="1:11" x14ac:dyDescent="0.25">
      <c r="A9" s="12" t="s">
        <v>25</v>
      </c>
      <c r="B9" s="17">
        <f>SUM(B5:B8)</f>
        <v>165000</v>
      </c>
      <c r="C9" s="13"/>
      <c r="D9" s="11"/>
      <c r="E9" s="13"/>
      <c r="F9" s="12" t="s">
        <v>26</v>
      </c>
      <c r="G9" s="16">
        <f>SUM(G5:G7)</f>
        <v>70000</v>
      </c>
    </row>
    <row r="10" spans="1:11" x14ac:dyDescent="0.25">
      <c r="B10" s="17"/>
      <c r="G10" s="16"/>
    </row>
    <row r="11" spans="1:11" x14ac:dyDescent="0.25">
      <c r="A11" s="9" t="s">
        <v>27</v>
      </c>
      <c r="B11" s="17"/>
      <c r="F11" s="9" t="s">
        <v>28</v>
      </c>
      <c r="G11" s="16"/>
    </row>
    <row r="12" spans="1:11" x14ac:dyDescent="0.25">
      <c r="A12" t="s">
        <v>29</v>
      </c>
      <c r="B12" s="17">
        <v>120000</v>
      </c>
      <c r="G12" s="16"/>
    </row>
    <row r="13" spans="1:11" x14ac:dyDescent="0.25">
      <c r="A13" s="8" t="s">
        <v>30</v>
      </c>
      <c r="B13" s="17">
        <v>15000</v>
      </c>
      <c r="F13" t="s">
        <v>31</v>
      </c>
      <c r="G13" s="16">
        <v>10000</v>
      </c>
    </row>
    <row r="14" spans="1:11" x14ac:dyDescent="0.25">
      <c r="A14" s="8" t="s">
        <v>32</v>
      </c>
      <c r="B14" s="17">
        <f>B12-B13</f>
        <v>105000</v>
      </c>
      <c r="F14" s="14" t="s">
        <v>33</v>
      </c>
      <c r="G14" s="16">
        <f>G13</f>
        <v>10000</v>
      </c>
    </row>
    <row r="15" spans="1:11" x14ac:dyDescent="0.25">
      <c r="A15" t="s">
        <v>34</v>
      </c>
      <c r="B15" s="17">
        <v>130000</v>
      </c>
      <c r="G15" s="16"/>
    </row>
    <row r="16" spans="1:11" x14ac:dyDescent="0.25">
      <c r="A16" s="12" t="s">
        <v>35</v>
      </c>
      <c r="B16" s="17">
        <f>B14+B15</f>
        <v>235000</v>
      </c>
      <c r="F16" s="9" t="s">
        <v>36</v>
      </c>
      <c r="G16" s="16"/>
    </row>
    <row r="17" spans="1:10" x14ac:dyDescent="0.25">
      <c r="F17" t="s">
        <v>37</v>
      </c>
      <c r="G17" s="16">
        <v>240000</v>
      </c>
      <c r="I17" s="13"/>
    </row>
    <row r="18" spans="1:10" x14ac:dyDescent="0.25">
      <c r="G18" s="16"/>
      <c r="I18" s="13"/>
    </row>
    <row r="19" spans="1:10" x14ac:dyDescent="0.25">
      <c r="F19" t="s">
        <v>38</v>
      </c>
      <c r="G19" s="16">
        <v>80000</v>
      </c>
      <c r="I19" s="13"/>
    </row>
    <row r="20" spans="1:10" x14ac:dyDescent="0.25">
      <c r="F20" s="8"/>
      <c r="G20" s="16"/>
      <c r="I20" s="13"/>
      <c r="J20" s="11"/>
    </row>
    <row r="21" spans="1:10" x14ac:dyDescent="0.25">
      <c r="F21" s="14" t="s">
        <v>39</v>
      </c>
      <c r="G21" s="16">
        <f>G17+G19</f>
        <v>320000</v>
      </c>
      <c r="H21" s="13"/>
      <c r="I21" s="13"/>
    </row>
    <row r="22" spans="1:10" x14ac:dyDescent="0.25">
      <c r="G22" s="13"/>
      <c r="I22" s="13"/>
      <c r="J22" s="13"/>
    </row>
    <row r="23" spans="1:10" x14ac:dyDescent="0.25">
      <c r="A23" s="9" t="s">
        <v>40</v>
      </c>
      <c r="B23" s="16">
        <f>B16+B9</f>
        <v>400000</v>
      </c>
      <c r="D23" s="13"/>
      <c r="F23" s="9" t="s">
        <v>41</v>
      </c>
      <c r="G23" s="16">
        <f>G9+G14+G21</f>
        <v>400000</v>
      </c>
      <c r="I23" s="13"/>
    </row>
    <row r="24" spans="1:10" x14ac:dyDescent="0.25">
      <c r="J24" s="13"/>
    </row>
    <row r="25" spans="1:10" x14ac:dyDescent="0.25">
      <c r="D25" s="11"/>
    </row>
    <row r="26" spans="1:10" x14ac:dyDescent="0.25">
      <c r="G26" s="13"/>
      <c r="J26" s="13"/>
    </row>
    <row r="27" spans="1:10" x14ac:dyDescent="0.25">
      <c r="G27" s="13"/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Multiple and IS</vt:lpstr>
      <vt:lpstr>Balance Sheet</vt:lpstr>
      <vt:lpstr>IS with Growth</vt:lpstr>
      <vt:lpstr>Multiple and IS_ans</vt:lpstr>
      <vt:lpstr>IS with Growth_ans</vt:lpstr>
      <vt:lpstr>Balance Sheet_ans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2025-09-23T23:32:10Z</dcterms:created>
  <dcterms:modified xsi:type="dcterms:W3CDTF">2025-09-24T17:28:52Z</dcterms:modified>
</cp:coreProperties>
</file>