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Cases/Bumble&amp;Bee/"/>
    </mc:Choice>
  </mc:AlternateContent>
  <xr:revisionPtr revIDLastSave="0" documentId="14_{AE462C5C-9CAA-4D7D-9B57-E8FB69C7B457}" xr6:coauthVersionLast="47" xr6:coauthVersionMax="47" xr10:uidLastSave="{00000000-0000-0000-0000-000000000000}"/>
  <bookViews>
    <workbookView xWindow="0" yWindow="600" windowWidth="19320" windowHeight="10905" xr2:uid="{00000000-000D-0000-FFFF-FFFF00000000}"/>
  </bookViews>
  <sheets>
    <sheet name="COVER" sheetId="13" r:id="rId1"/>
    <sheet name="Summary" sheetId="12" r:id="rId2"/>
    <sheet name="PF Baseline" sheetId="5" r:id="rId3"/>
    <sheet name="PF Rent_No Growth" sheetId="6" r:id="rId4"/>
    <sheet name="PF Rent Growth" sheetId="10" r:id="rId5"/>
    <sheet name="PF Purchase_No Growth" sheetId="7" r:id="rId6"/>
    <sheet name="PF Purchase Growth" sheetId="11" r:id="rId7"/>
    <sheet name="PF Purchase_CCorp" sheetId="9" r:id="rId8"/>
    <sheet name="Loan Details" sheetId="8" r:id="rId9"/>
    <sheet name="Pro Forma Modeling Template" sheetId="4" r:id="rId10"/>
  </sheets>
  <definedNames>
    <definedName name="_xlnm.Print_Area" localSheetId="9">'Pro Forma Modeling Template'!$A$1:$Q$62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2" l="1"/>
  <c r="D63" i="12"/>
  <c r="C62" i="12"/>
  <c r="D62" i="12"/>
  <c r="B63" i="12"/>
  <c r="B62" i="12"/>
  <c r="C61" i="12"/>
  <c r="D61" i="12"/>
  <c r="B61" i="12"/>
  <c r="C60" i="12"/>
  <c r="D60" i="12"/>
  <c r="B60" i="12"/>
  <c r="C59" i="12"/>
  <c r="D59" i="12"/>
  <c r="B59" i="12"/>
  <c r="C36" i="12"/>
  <c r="D36" i="12"/>
  <c r="C54" i="12"/>
  <c r="D54" i="12"/>
  <c r="C53" i="12"/>
  <c r="D53" i="12"/>
  <c r="C52" i="12"/>
  <c r="D52" i="12"/>
  <c r="B54" i="12"/>
  <c r="B53" i="12"/>
  <c r="B52" i="12"/>
  <c r="C51" i="12"/>
  <c r="D51" i="12"/>
  <c r="B51" i="12"/>
  <c r="C50" i="12"/>
  <c r="D50" i="12"/>
  <c r="B50" i="12"/>
  <c r="C49" i="12"/>
  <c r="D49" i="12"/>
  <c r="B49" i="12"/>
  <c r="C48" i="12"/>
  <c r="D48" i="12"/>
  <c r="B48" i="12"/>
  <c r="C45" i="12"/>
  <c r="D45" i="12"/>
  <c r="C44" i="12"/>
  <c r="D44" i="12"/>
  <c r="B45" i="12"/>
  <c r="B44" i="12"/>
  <c r="C43" i="12"/>
  <c r="D43" i="12"/>
  <c r="B43" i="12"/>
  <c r="C42" i="12"/>
  <c r="D42" i="12"/>
  <c r="B42" i="12"/>
  <c r="C41" i="12"/>
  <c r="D41" i="12"/>
  <c r="B41" i="12"/>
  <c r="C40" i="12"/>
  <c r="D40" i="12"/>
  <c r="B40" i="12"/>
  <c r="C39" i="12"/>
  <c r="D39" i="12"/>
  <c r="B39" i="12"/>
  <c r="B36" i="12"/>
  <c r="C35" i="12"/>
  <c r="D35" i="12"/>
  <c r="B35" i="12"/>
  <c r="C34" i="12"/>
  <c r="D34" i="12"/>
  <c r="B34" i="12"/>
  <c r="C33" i="12"/>
  <c r="D33" i="12"/>
  <c r="B33" i="12"/>
  <c r="C32" i="12"/>
  <c r="D32" i="12"/>
  <c r="B32" i="12"/>
  <c r="C31" i="12"/>
  <c r="D31" i="12"/>
  <c r="B31" i="12"/>
  <c r="C30" i="12"/>
  <c r="D30" i="12"/>
  <c r="B30" i="12"/>
  <c r="C27" i="12"/>
  <c r="D27" i="12"/>
  <c r="B27" i="12"/>
  <c r="C26" i="12"/>
  <c r="D26" i="12"/>
  <c r="B26" i="12"/>
  <c r="C25" i="12"/>
  <c r="D25" i="12"/>
  <c r="B25" i="12"/>
  <c r="C24" i="12"/>
  <c r="D24" i="12"/>
  <c r="B24" i="12"/>
  <c r="C23" i="12"/>
  <c r="D23" i="12"/>
  <c r="B23" i="12"/>
  <c r="C22" i="12"/>
  <c r="D22" i="12"/>
  <c r="B22" i="12"/>
  <c r="C21" i="12"/>
  <c r="D21" i="12"/>
  <c r="B21" i="12"/>
  <c r="C18" i="12"/>
  <c r="D18" i="12"/>
  <c r="B18" i="12"/>
  <c r="C17" i="12"/>
  <c r="D17" i="12"/>
  <c r="B17" i="12"/>
  <c r="C16" i="12"/>
  <c r="D16" i="12"/>
  <c r="B16" i="12"/>
  <c r="C15" i="12"/>
  <c r="D15" i="12"/>
  <c r="B15" i="12"/>
  <c r="C14" i="12"/>
  <c r="D14" i="12"/>
  <c r="B14" i="12"/>
  <c r="C13" i="12"/>
  <c r="D13" i="12"/>
  <c r="B13" i="12"/>
  <c r="C12" i="12"/>
  <c r="D12" i="12"/>
  <c r="B12" i="12"/>
  <c r="E8" i="12"/>
  <c r="E7" i="12"/>
  <c r="E6" i="12"/>
  <c r="E5" i="12"/>
  <c r="E4" i="12"/>
  <c r="E3" i="12"/>
  <c r="D8" i="12"/>
  <c r="D7" i="12"/>
  <c r="D6" i="12"/>
  <c r="D4" i="12"/>
  <c r="D3" i="12"/>
  <c r="C8" i="12"/>
  <c r="C7" i="12"/>
  <c r="C6" i="12"/>
  <c r="C5" i="12"/>
  <c r="C4" i="12"/>
  <c r="C3" i="12"/>
  <c r="B8" i="12"/>
  <c r="B7" i="12"/>
  <c r="F7" i="12" s="1"/>
  <c r="B6" i="12"/>
  <c r="B5" i="12"/>
  <c r="F5" i="12" s="1"/>
  <c r="B4" i="12"/>
  <c r="B3" i="12"/>
  <c r="B26" i="8"/>
  <c r="B24" i="8"/>
  <c r="O18" i="9"/>
  <c r="P18" i="9"/>
  <c r="N18" i="9"/>
  <c r="U51" i="9"/>
  <c r="U52" i="9" s="1"/>
  <c r="U50" i="9"/>
  <c r="U49" i="9"/>
  <c r="V49" i="9" s="1"/>
  <c r="W49" i="9" s="1"/>
  <c r="X49" i="9" s="1"/>
  <c r="U48" i="9"/>
  <c r="V48" i="9" s="1"/>
  <c r="E48" i="9"/>
  <c r="N39" i="9"/>
  <c r="V35" i="9"/>
  <c r="W35" i="9" s="1"/>
  <c r="X35" i="9" s="1"/>
  <c r="M36" i="9"/>
  <c r="M39" i="9" s="1"/>
  <c r="P34" i="9"/>
  <c r="O34" i="9"/>
  <c r="N34" i="9"/>
  <c r="M32" i="9"/>
  <c r="M34" i="9" s="1"/>
  <c r="E30" i="9"/>
  <c r="D30" i="9"/>
  <c r="N29" i="9"/>
  <c r="O29" i="9" s="1"/>
  <c r="P29" i="9" s="1"/>
  <c r="M29" i="9"/>
  <c r="M28" i="9"/>
  <c r="M27" i="9"/>
  <c r="M26" i="9"/>
  <c r="P24" i="9"/>
  <c r="M24" i="9"/>
  <c r="E23" i="9"/>
  <c r="E25" i="9" s="1"/>
  <c r="D23" i="9"/>
  <c r="D25" i="9" s="1"/>
  <c r="D32" i="9" s="1"/>
  <c r="F21" i="9"/>
  <c r="G21" i="9" s="1"/>
  <c r="H21" i="9" s="1"/>
  <c r="Q18" i="9"/>
  <c r="Q15" i="9"/>
  <c r="P16" i="9"/>
  <c r="O16" i="9"/>
  <c r="N16" i="9"/>
  <c r="Q14" i="9"/>
  <c r="E14" i="9"/>
  <c r="E16" i="9" s="1"/>
  <c r="D14" i="9"/>
  <c r="M14" i="9"/>
  <c r="P13" i="9"/>
  <c r="O13" i="9"/>
  <c r="O24" i="9" s="1"/>
  <c r="N13" i="9"/>
  <c r="F13" i="9" s="1"/>
  <c r="F12" i="9"/>
  <c r="G12" i="9" s="1"/>
  <c r="O12" i="9"/>
  <c r="P12" i="9" s="1"/>
  <c r="N10" i="9"/>
  <c r="E10" i="9"/>
  <c r="D10" i="9"/>
  <c r="D16" i="9" s="1"/>
  <c r="M7" i="9"/>
  <c r="M15" i="9" s="1"/>
  <c r="M17" i="9" s="1"/>
  <c r="M19" i="9" s="1"/>
  <c r="M23" i="9" s="1"/>
  <c r="N6" i="9"/>
  <c r="X5" i="9"/>
  <c r="W5" i="9"/>
  <c r="V5" i="9"/>
  <c r="N5" i="9"/>
  <c r="N9" i="9" s="1"/>
  <c r="N14" i="9" s="1"/>
  <c r="O39" i="11"/>
  <c r="O5" i="11"/>
  <c r="P5" i="11" s="1"/>
  <c r="H20" i="11" s="1"/>
  <c r="N5" i="11"/>
  <c r="U51" i="11"/>
  <c r="U50" i="11"/>
  <c r="U52" i="11" s="1"/>
  <c r="U49" i="11"/>
  <c r="V49" i="11" s="1"/>
  <c r="W49" i="11" s="1"/>
  <c r="X49" i="11" s="1"/>
  <c r="U48" i="11"/>
  <c r="V48" i="11" s="1"/>
  <c r="E48" i="11"/>
  <c r="M38" i="11"/>
  <c r="V35" i="11"/>
  <c r="W35" i="11" s="1"/>
  <c r="X35" i="11" s="1"/>
  <c r="M35" i="11"/>
  <c r="P33" i="11"/>
  <c r="O33" i="11"/>
  <c r="N33" i="11"/>
  <c r="D32" i="11"/>
  <c r="M31" i="11"/>
  <c r="M33" i="11" s="1"/>
  <c r="E30" i="11"/>
  <c r="D30" i="11"/>
  <c r="N28" i="11"/>
  <c r="O28" i="11" s="1"/>
  <c r="P28" i="11" s="1"/>
  <c r="M28" i="11"/>
  <c r="M27" i="11"/>
  <c r="M26" i="11"/>
  <c r="M25" i="11"/>
  <c r="D25" i="11"/>
  <c r="N23" i="11"/>
  <c r="M23" i="11"/>
  <c r="E23" i="11"/>
  <c r="E25" i="11" s="1"/>
  <c r="E32" i="11" s="1"/>
  <c r="D23" i="11"/>
  <c r="M22" i="11"/>
  <c r="M29" i="11" s="1"/>
  <c r="F21" i="11"/>
  <c r="G21" i="11" s="1"/>
  <c r="H21" i="11" s="1"/>
  <c r="Q18" i="11"/>
  <c r="M18" i="11"/>
  <c r="M16" i="11"/>
  <c r="Q15" i="11"/>
  <c r="P15" i="11"/>
  <c r="O15" i="11"/>
  <c r="N15" i="11"/>
  <c r="Q14" i="11"/>
  <c r="M14" i="11"/>
  <c r="E14" i="11"/>
  <c r="D14" i="11"/>
  <c r="M13" i="11"/>
  <c r="F13" i="11"/>
  <c r="G13" i="11" s="1"/>
  <c r="H13" i="11" s="1"/>
  <c r="P12" i="11"/>
  <c r="P23" i="11" s="1"/>
  <c r="O12" i="11"/>
  <c r="O23" i="11" s="1"/>
  <c r="N12" i="11"/>
  <c r="F12" i="11"/>
  <c r="G12" i="11" s="1"/>
  <c r="O11" i="11"/>
  <c r="P11" i="11" s="1"/>
  <c r="E10" i="11"/>
  <c r="E16" i="11" s="1"/>
  <c r="D10" i="11"/>
  <c r="D16" i="11" s="1"/>
  <c r="M7" i="11"/>
  <c r="X5" i="11"/>
  <c r="W5" i="11"/>
  <c r="V5" i="11"/>
  <c r="G25" i="7"/>
  <c r="H25" i="7"/>
  <c r="P39" i="7"/>
  <c r="O39" i="7"/>
  <c r="O12" i="7"/>
  <c r="P12" i="7"/>
  <c r="O15" i="7"/>
  <c r="P15" i="7"/>
  <c r="N15" i="7"/>
  <c r="O13" i="7"/>
  <c r="P13" i="7"/>
  <c r="N12" i="7"/>
  <c r="U51" i="7"/>
  <c r="U50" i="7"/>
  <c r="U52" i="7" s="1"/>
  <c r="U49" i="7"/>
  <c r="V49" i="7" s="1"/>
  <c r="W49" i="7" s="1"/>
  <c r="X49" i="7" s="1"/>
  <c r="U48" i="7"/>
  <c r="V48" i="7" s="1"/>
  <c r="E48" i="7"/>
  <c r="V35" i="7"/>
  <c r="W35" i="7" s="1"/>
  <c r="X35" i="7" s="1"/>
  <c r="M35" i="7"/>
  <c r="M38" i="7" s="1"/>
  <c r="P33" i="7"/>
  <c r="O33" i="7"/>
  <c r="N33" i="7"/>
  <c r="M33" i="7"/>
  <c r="M31" i="7"/>
  <c r="E30" i="7"/>
  <c r="D30" i="7"/>
  <c r="M28" i="7"/>
  <c r="N28" i="7" s="1"/>
  <c r="O28" i="7" s="1"/>
  <c r="P28" i="7" s="1"/>
  <c r="M27" i="7"/>
  <c r="M26" i="7"/>
  <c r="M25" i="7"/>
  <c r="M23" i="7"/>
  <c r="E23" i="7"/>
  <c r="E25" i="7" s="1"/>
  <c r="E32" i="7" s="1"/>
  <c r="D23" i="7"/>
  <c r="D25" i="7" s="1"/>
  <c r="D32" i="7" s="1"/>
  <c r="F21" i="7"/>
  <c r="G21" i="7" s="1"/>
  <c r="H21" i="7" s="1"/>
  <c r="Q18" i="7"/>
  <c r="E16" i="7"/>
  <c r="D16" i="7"/>
  <c r="Q15" i="7"/>
  <c r="Q14" i="7"/>
  <c r="M14" i="7"/>
  <c r="M16" i="7" s="1"/>
  <c r="M18" i="7" s="1"/>
  <c r="M22" i="7" s="1"/>
  <c r="M29" i="7" s="1"/>
  <c r="M39" i="7" s="1"/>
  <c r="E14" i="7"/>
  <c r="D14" i="7"/>
  <c r="M13" i="7"/>
  <c r="P23" i="7"/>
  <c r="O23" i="7"/>
  <c r="F13" i="7"/>
  <c r="G13" i="7" s="1"/>
  <c r="H13" i="7" s="1"/>
  <c r="F12" i="7"/>
  <c r="G12" i="7" s="1"/>
  <c r="O11" i="7"/>
  <c r="P11" i="7" s="1"/>
  <c r="E10" i="7"/>
  <c r="D10" i="7"/>
  <c r="O9" i="7"/>
  <c r="M7" i="7"/>
  <c r="O6" i="7"/>
  <c r="X5" i="7"/>
  <c r="W5" i="7"/>
  <c r="V5" i="7"/>
  <c r="N5" i="7" s="1"/>
  <c r="P5" i="7"/>
  <c r="H9" i="7" s="1"/>
  <c r="P26" i="7" s="1"/>
  <c r="O5" i="7"/>
  <c r="G9" i="7" s="1"/>
  <c r="O5" i="10"/>
  <c r="P5" i="10" s="1"/>
  <c r="N5" i="10"/>
  <c r="X3" i="10"/>
  <c r="X5" i="10" s="1"/>
  <c r="W3" i="10"/>
  <c r="V3" i="10"/>
  <c r="U51" i="10"/>
  <c r="U50" i="10"/>
  <c r="U52" i="10" s="1"/>
  <c r="U49" i="10"/>
  <c r="V49" i="10" s="1"/>
  <c r="W49" i="10" s="1"/>
  <c r="X49" i="10" s="1"/>
  <c r="U48" i="10"/>
  <c r="V48" i="10" s="1"/>
  <c r="E48" i="10"/>
  <c r="N39" i="10"/>
  <c r="M39" i="10"/>
  <c r="M36" i="10"/>
  <c r="V35" i="10"/>
  <c r="W35" i="10" s="1"/>
  <c r="X35" i="10" s="1"/>
  <c r="P34" i="10"/>
  <c r="O34" i="10"/>
  <c r="N34" i="10"/>
  <c r="M34" i="10"/>
  <c r="M32" i="10"/>
  <c r="E30" i="10"/>
  <c r="D30" i="10"/>
  <c r="M29" i="10"/>
  <c r="N29" i="10" s="1"/>
  <c r="O29" i="10" s="1"/>
  <c r="P29" i="10" s="1"/>
  <c r="M28" i="10"/>
  <c r="M27" i="10"/>
  <c r="M26" i="10"/>
  <c r="E25" i="10"/>
  <c r="E32" i="10" s="1"/>
  <c r="D25" i="10"/>
  <c r="D32" i="10" s="1"/>
  <c r="M24" i="10"/>
  <c r="E23" i="10"/>
  <c r="D23" i="10"/>
  <c r="F21" i="10"/>
  <c r="G21" i="10" s="1"/>
  <c r="H21" i="10" s="1"/>
  <c r="Q18" i="10"/>
  <c r="E16" i="10"/>
  <c r="Q15" i="10"/>
  <c r="M15" i="10"/>
  <c r="M17" i="10" s="1"/>
  <c r="M19" i="10" s="1"/>
  <c r="M23" i="10" s="1"/>
  <c r="M30" i="10" s="1"/>
  <c r="M40" i="10" s="1"/>
  <c r="Q14" i="10"/>
  <c r="M14" i="10"/>
  <c r="E14" i="10"/>
  <c r="D14" i="10"/>
  <c r="P13" i="10"/>
  <c r="P24" i="10" s="1"/>
  <c r="O13" i="10"/>
  <c r="O24" i="10" s="1"/>
  <c r="N13" i="10"/>
  <c r="N24" i="10" s="1"/>
  <c r="F13" i="10"/>
  <c r="G13" i="10" s="1"/>
  <c r="H13" i="10" s="1"/>
  <c r="P12" i="10"/>
  <c r="O12" i="10"/>
  <c r="N12" i="10"/>
  <c r="F12" i="10"/>
  <c r="G12" i="10" s="1"/>
  <c r="E10" i="10"/>
  <c r="D10" i="10"/>
  <c r="D16" i="10" s="1"/>
  <c r="M7" i="10"/>
  <c r="W5" i="10"/>
  <c r="V5" i="10"/>
  <c r="O10" i="10"/>
  <c r="O38" i="6"/>
  <c r="N38" i="6"/>
  <c r="O5" i="6"/>
  <c r="P5" i="6"/>
  <c r="N5" i="6"/>
  <c r="O12" i="6"/>
  <c r="P12" i="6"/>
  <c r="N12" i="6"/>
  <c r="F20" i="6"/>
  <c r="U51" i="6"/>
  <c r="U50" i="6"/>
  <c r="U52" i="6" s="1"/>
  <c r="V49" i="6"/>
  <c r="W49" i="6" s="1"/>
  <c r="X49" i="6" s="1"/>
  <c r="U49" i="6"/>
  <c r="U48" i="6"/>
  <c r="E48" i="6"/>
  <c r="V35" i="6"/>
  <c r="W35" i="6" s="1"/>
  <c r="X35" i="6" s="1"/>
  <c r="M36" i="6"/>
  <c r="P34" i="6"/>
  <c r="O34" i="6"/>
  <c r="N34" i="6"/>
  <c r="M32" i="6"/>
  <c r="M34" i="6" s="1"/>
  <c r="E30" i="6"/>
  <c r="D30" i="6"/>
  <c r="M29" i="6"/>
  <c r="N29" i="6" s="1"/>
  <c r="O29" i="6" s="1"/>
  <c r="P29" i="6" s="1"/>
  <c r="M28" i="6"/>
  <c r="M27" i="6"/>
  <c r="M26" i="6"/>
  <c r="M24" i="6"/>
  <c r="E23" i="6"/>
  <c r="E25" i="6" s="1"/>
  <c r="E32" i="6" s="1"/>
  <c r="D23" i="6"/>
  <c r="D25" i="6" s="1"/>
  <c r="F21" i="6"/>
  <c r="G21" i="6" s="1"/>
  <c r="H21" i="6" s="1"/>
  <c r="Q18" i="6"/>
  <c r="E16" i="6"/>
  <c r="D16" i="6"/>
  <c r="Q15" i="6"/>
  <c r="Q14" i="6"/>
  <c r="E14" i="6"/>
  <c r="D14" i="6"/>
  <c r="M14" i="6"/>
  <c r="P13" i="6"/>
  <c r="P24" i="6" s="1"/>
  <c r="O13" i="6"/>
  <c r="O24" i="6" s="1"/>
  <c r="N13" i="6"/>
  <c r="F13" i="6" s="1"/>
  <c r="G13" i="6" s="1"/>
  <c r="H13" i="6" s="1"/>
  <c r="F12" i="6"/>
  <c r="G12" i="6" s="1"/>
  <c r="E10" i="6"/>
  <c r="D10" i="6"/>
  <c r="M7" i="6"/>
  <c r="M15" i="6" s="1"/>
  <c r="M17" i="6" s="1"/>
  <c r="M19" i="6" s="1"/>
  <c r="M23" i="6" s="1"/>
  <c r="X5" i="6"/>
  <c r="W5" i="6"/>
  <c r="V5" i="6"/>
  <c r="H22" i="5"/>
  <c r="G22" i="5"/>
  <c r="G7" i="5"/>
  <c r="H7" i="5" s="1"/>
  <c r="N35" i="5"/>
  <c r="O35" i="5" s="1"/>
  <c r="P35" i="5" s="1"/>
  <c r="P38" i="5" s="1"/>
  <c r="P39" i="5" s="1"/>
  <c r="F22" i="5"/>
  <c r="Q43" i="5"/>
  <c r="N39" i="5"/>
  <c r="F7" i="5" s="1"/>
  <c r="O33" i="5"/>
  <c r="P33" i="5"/>
  <c r="N33" i="5"/>
  <c r="N29" i="5"/>
  <c r="O29" i="5"/>
  <c r="P29" i="5"/>
  <c r="O28" i="5"/>
  <c r="P28" i="5" s="1"/>
  <c r="N28" i="5"/>
  <c r="O27" i="5"/>
  <c r="P27" i="5"/>
  <c r="N27" i="5"/>
  <c r="O26" i="5"/>
  <c r="P26" i="5"/>
  <c r="N26" i="5"/>
  <c r="O25" i="5"/>
  <c r="P25" i="5"/>
  <c r="N25" i="5"/>
  <c r="O23" i="5"/>
  <c r="P23" i="5"/>
  <c r="N23" i="5"/>
  <c r="O22" i="5"/>
  <c r="P22" i="5"/>
  <c r="N22" i="5"/>
  <c r="F30" i="5"/>
  <c r="G30" i="5"/>
  <c r="H30" i="5"/>
  <c r="G29" i="5"/>
  <c r="H29" i="5" s="1"/>
  <c r="F29" i="5"/>
  <c r="N38" i="5"/>
  <c r="O37" i="5"/>
  <c r="P37" i="5"/>
  <c r="N37" i="5"/>
  <c r="O15" i="5"/>
  <c r="P15" i="5"/>
  <c r="Q15" i="5"/>
  <c r="N15" i="5"/>
  <c r="V52" i="5"/>
  <c r="W52" i="5"/>
  <c r="X52" i="5"/>
  <c r="W51" i="5"/>
  <c r="W48" i="5"/>
  <c r="V51" i="5"/>
  <c r="U52" i="5"/>
  <c r="V50" i="5"/>
  <c r="W49" i="5"/>
  <c r="X49" i="5" s="1"/>
  <c r="V49" i="5"/>
  <c r="V48" i="5"/>
  <c r="U51" i="5"/>
  <c r="U50" i="5"/>
  <c r="U48" i="5"/>
  <c r="U49" i="5"/>
  <c r="F23" i="5"/>
  <c r="F25" i="5" s="1"/>
  <c r="F32" i="5" s="1"/>
  <c r="G21" i="5"/>
  <c r="H21" i="5" s="1"/>
  <c r="F21" i="5"/>
  <c r="G20" i="5"/>
  <c r="H20" i="5"/>
  <c r="F20" i="5"/>
  <c r="G14" i="5"/>
  <c r="H14" i="5"/>
  <c r="F14" i="5"/>
  <c r="G13" i="5"/>
  <c r="H13" i="5" s="1"/>
  <c r="F13" i="5"/>
  <c r="F12" i="5"/>
  <c r="G12" i="5" s="1"/>
  <c r="H12" i="5" s="1"/>
  <c r="G9" i="5"/>
  <c r="H9" i="5"/>
  <c r="F9" i="5"/>
  <c r="G8" i="5"/>
  <c r="H8" i="5"/>
  <c r="F8" i="5"/>
  <c r="Q18" i="5"/>
  <c r="N16" i="5"/>
  <c r="N18" i="5" s="1"/>
  <c r="P16" i="5"/>
  <c r="P18" i="5" s="1"/>
  <c r="O14" i="5"/>
  <c r="P14" i="5"/>
  <c r="Q14" i="5"/>
  <c r="N14" i="5"/>
  <c r="O13" i="5"/>
  <c r="P13" i="5"/>
  <c r="N13" i="5"/>
  <c r="O12" i="5"/>
  <c r="P12" i="5"/>
  <c r="N12" i="5"/>
  <c r="O11" i="5"/>
  <c r="P11" i="5" s="1"/>
  <c r="N11" i="5"/>
  <c r="O10" i="5"/>
  <c r="P10" i="5"/>
  <c r="N9" i="5"/>
  <c r="N10" i="5"/>
  <c r="O9" i="5"/>
  <c r="P9" i="5"/>
  <c r="O7" i="5"/>
  <c r="P7" i="5"/>
  <c r="N7" i="5"/>
  <c r="O6" i="5"/>
  <c r="P6" i="5"/>
  <c r="N6" i="5"/>
  <c r="O5" i="5"/>
  <c r="P5" i="5"/>
  <c r="N5" i="5"/>
  <c r="X35" i="5"/>
  <c r="W35" i="5"/>
  <c r="V35" i="5"/>
  <c r="X5" i="5"/>
  <c r="W5" i="5"/>
  <c r="V5" i="5"/>
  <c r="C5" i="8"/>
  <c r="E48" i="5"/>
  <c r="M35" i="5"/>
  <c r="M38" i="5" s="1"/>
  <c r="M33" i="5"/>
  <c r="M31" i="5"/>
  <c r="E30" i="5"/>
  <c r="D30" i="5"/>
  <c r="M28" i="5"/>
  <c r="M27" i="5"/>
  <c r="M26" i="5"/>
  <c r="M25" i="5"/>
  <c r="D25" i="5"/>
  <c r="D32" i="5" s="1"/>
  <c r="M23" i="5"/>
  <c r="E23" i="5"/>
  <c r="E25" i="5" s="1"/>
  <c r="E32" i="5" s="1"/>
  <c r="D23" i="5"/>
  <c r="D16" i="5"/>
  <c r="E14" i="5"/>
  <c r="D14" i="5"/>
  <c r="M13" i="5"/>
  <c r="E10" i="5"/>
  <c r="E16" i="5" s="1"/>
  <c r="D10" i="5"/>
  <c r="M7" i="5"/>
  <c r="M14" i="5" s="1"/>
  <c r="M16" i="5" s="1"/>
  <c r="M18" i="5" s="1"/>
  <c r="M22" i="5" s="1"/>
  <c r="M29" i="5" s="1"/>
  <c r="M39" i="5" s="1"/>
  <c r="P36" i="4"/>
  <c r="F4" i="12" l="1"/>
  <c r="F6" i="12"/>
  <c r="F8" i="12"/>
  <c r="F3" i="12"/>
  <c r="B31" i="8"/>
  <c r="C24" i="8"/>
  <c r="E32" i="9"/>
  <c r="M30" i="9"/>
  <c r="M40" i="9" s="1"/>
  <c r="N7" i="9"/>
  <c r="O5" i="9"/>
  <c r="G20" i="9" s="1"/>
  <c r="G23" i="9" s="1"/>
  <c r="G25" i="9" s="1"/>
  <c r="N15" i="9"/>
  <c r="N17" i="9" s="1"/>
  <c r="N19" i="9" s="1"/>
  <c r="H12" i="9"/>
  <c r="G13" i="9"/>
  <c r="H13" i="9" s="1"/>
  <c r="F14" i="9"/>
  <c r="V50" i="9"/>
  <c r="O6" i="9"/>
  <c r="O7" i="9" s="1"/>
  <c r="O9" i="9"/>
  <c r="O10" i="9"/>
  <c r="F8" i="9"/>
  <c r="N26" i="9" s="1"/>
  <c r="P5" i="9"/>
  <c r="F9" i="9"/>
  <c r="N27" i="9" s="1"/>
  <c r="F20" i="9"/>
  <c r="N24" i="9"/>
  <c r="G8" i="9"/>
  <c r="H23" i="11"/>
  <c r="H25" i="11" s="1"/>
  <c r="N10" i="11"/>
  <c r="N9" i="11"/>
  <c r="N13" i="11" s="1"/>
  <c r="N6" i="11"/>
  <c r="N7" i="11" s="1"/>
  <c r="N14" i="11" s="1"/>
  <c r="N16" i="11" s="1"/>
  <c r="N18" i="11" s="1"/>
  <c r="F9" i="11"/>
  <c r="N26" i="11" s="1"/>
  <c r="F20" i="11"/>
  <c r="F8" i="11"/>
  <c r="N25" i="11" s="1"/>
  <c r="M39" i="11"/>
  <c r="V51" i="11"/>
  <c r="W48" i="11" s="1"/>
  <c r="H12" i="11"/>
  <c r="H14" i="11" s="1"/>
  <c r="G14" i="11"/>
  <c r="V50" i="11"/>
  <c r="O6" i="11"/>
  <c r="O7" i="11" s="1"/>
  <c r="O9" i="11"/>
  <c r="O10" i="11"/>
  <c r="P6" i="11"/>
  <c r="P7" i="11" s="1"/>
  <c r="P14" i="11" s="1"/>
  <c r="P16" i="11" s="1"/>
  <c r="P18" i="11" s="1"/>
  <c r="P9" i="11"/>
  <c r="P13" i="11" s="1"/>
  <c r="P10" i="11"/>
  <c r="H8" i="11"/>
  <c r="F14" i="11"/>
  <c r="G9" i="11"/>
  <c r="G8" i="11"/>
  <c r="H9" i="11"/>
  <c r="P26" i="11" s="1"/>
  <c r="G20" i="11"/>
  <c r="P6" i="7"/>
  <c r="O10" i="7"/>
  <c r="G20" i="7"/>
  <c r="O27" i="7" s="1"/>
  <c r="P10" i="7"/>
  <c r="H20" i="7"/>
  <c r="P27" i="7" s="1"/>
  <c r="O7" i="7"/>
  <c r="P7" i="7"/>
  <c r="P9" i="7"/>
  <c r="P14" i="7" s="1"/>
  <c r="F20" i="7"/>
  <c r="N10" i="7"/>
  <c r="N9" i="7"/>
  <c r="N13" i="7" s="1"/>
  <c r="N6" i="7"/>
  <c r="G14" i="7"/>
  <c r="H12" i="7"/>
  <c r="H14" i="7" s="1"/>
  <c r="O14" i="7"/>
  <c r="N27" i="7"/>
  <c r="V50" i="7"/>
  <c r="F23" i="7"/>
  <c r="F25" i="7" s="1"/>
  <c r="N23" i="7"/>
  <c r="F9" i="7"/>
  <c r="N26" i="7" s="1"/>
  <c r="F14" i="7"/>
  <c r="F8" i="7"/>
  <c r="N25" i="7" s="1"/>
  <c r="G8" i="7"/>
  <c r="H8" i="7"/>
  <c r="N7" i="7"/>
  <c r="O11" i="10"/>
  <c r="O6" i="10"/>
  <c r="O14" i="10"/>
  <c r="O7" i="10"/>
  <c r="N10" i="10"/>
  <c r="N14" i="10" s="1"/>
  <c r="N11" i="10"/>
  <c r="N6" i="10"/>
  <c r="V50" i="10"/>
  <c r="H20" i="10"/>
  <c r="P10" i="10"/>
  <c r="P6" i="10"/>
  <c r="H8" i="10"/>
  <c r="P7" i="10"/>
  <c r="H9" i="10"/>
  <c r="P27" i="10" s="1"/>
  <c r="P11" i="10"/>
  <c r="H12" i="10"/>
  <c r="H14" i="10" s="1"/>
  <c r="G14" i="10"/>
  <c r="V51" i="10"/>
  <c r="W48" i="10" s="1"/>
  <c r="F14" i="10"/>
  <c r="G8" i="10"/>
  <c r="F8" i="10"/>
  <c r="N26" i="10" s="1"/>
  <c r="F20" i="10"/>
  <c r="F9" i="10"/>
  <c r="N27" i="10" s="1"/>
  <c r="G20" i="10"/>
  <c r="G9" i="10"/>
  <c r="M30" i="6"/>
  <c r="V48" i="6"/>
  <c r="V50" i="6" s="1"/>
  <c r="D32" i="6"/>
  <c r="M39" i="6"/>
  <c r="M40" i="6" s="1"/>
  <c r="G9" i="6"/>
  <c r="G14" i="6"/>
  <c r="H12" i="6"/>
  <c r="H14" i="6" s="1"/>
  <c r="F23" i="6"/>
  <c r="F25" i="6" s="1"/>
  <c r="N28" i="6"/>
  <c r="N6" i="6"/>
  <c r="N7" i="6" s="1"/>
  <c r="N10" i="6"/>
  <c r="N11" i="6"/>
  <c r="G20" i="6"/>
  <c r="F9" i="6"/>
  <c r="N27" i="6" s="1"/>
  <c r="F14" i="6"/>
  <c r="F8" i="6"/>
  <c r="N26" i="6" s="1"/>
  <c r="N24" i="6"/>
  <c r="O38" i="5"/>
  <c r="O39" i="5" s="1"/>
  <c r="F10" i="5"/>
  <c r="F16" i="5" s="1"/>
  <c r="O16" i="5"/>
  <c r="O18" i="5" s="1"/>
  <c r="X48" i="5"/>
  <c r="X50" i="5" s="1"/>
  <c r="X51" i="5" s="1"/>
  <c r="W50" i="5"/>
  <c r="M35" i="4"/>
  <c r="E30" i="4"/>
  <c r="D30" i="4"/>
  <c r="E23" i="4"/>
  <c r="E25" i="4" s="1"/>
  <c r="D23" i="4"/>
  <c r="E14" i="4"/>
  <c r="D14" i="4"/>
  <c r="E10" i="4"/>
  <c r="D10" i="4"/>
  <c r="M13" i="4"/>
  <c r="M7" i="4"/>
  <c r="C26" i="8" l="1"/>
  <c r="C25" i="8"/>
  <c r="D24" i="8" s="1"/>
  <c r="D26" i="8" s="1"/>
  <c r="D25" i="8" s="1"/>
  <c r="G9" i="9"/>
  <c r="O27" i="9" s="1"/>
  <c r="O26" i="9"/>
  <c r="O14" i="9"/>
  <c r="O15" i="9" s="1"/>
  <c r="O17" i="9" s="1"/>
  <c r="O19" i="9" s="1"/>
  <c r="N28" i="9"/>
  <c r="F23" i="9"/>
  <c r="F25" i="9" s="1"/>
  <c r="G14" i="9"/>
  <c r="V51" i="9"/>
  <c r="W48" i="9" s="1"/>
  <c r="O28" i="9"/>
  <c r="H9" i="9"/>
  <c r="P27" i="9" s="1"/>
  <c r="H8" i="9"/>
  <c r="P26" i="9" s="1"/>
  <c r="P10" i="9"/>
  <c r="P9" i="9"/>
  <c r="P14" i="9" s="1"/>
  <c r="P6" i="9"/>
  <c r="P7" i="9"/>
  <c r="H20" i="9"/>
  <c r="H14" i="9"/>
  <c r="F29" i="9"/>
  <c r="N23" i="9"/>
  <c r="O25" i="11"/>
  <c r="W50" i="11"/>
  <c r="P22" i="11"/>
  <c r="P37" i="11"/>
  <c r="P38" i="11" s="1"/>
  <c r="P39" i="11" s="1"/>
  <c r="O13" i="11"/>
  <c r="O14" i="11" s="1"/>
  <c r="O16" i="11" s="1"/>
  <c r="O18" i="11" s="1"/>
  <c r="N27" i="11"/>
  <c r="F23" i="11"/>
  <c r="F25" i="11" s="1"/>
  <c r="O27" i="11"/>
  <c r="G23" i="11"/>
  <c r="G25" i="11" s="1"/>
  <c r="N38" i="11"/>
  <c r="N22" i="11"/>
  <c r="V52" i="11"/>
  <c r="O26" i="11"/>
  <c r="P25" i="11"/>
  <c r="P27" i="11"/>
  <c r="N14" i="7"/>
  <c r="O25" i="7"/>
  <c r="V52" i="7"/>
  <c r="N16" i="7"/>
  <c r="N18" i="7" s="1"/>
  <c r="V51" i="7"/>
  <c r="W48" i="7" s="1"/>
  <c r="P25" i="7"/>
  <c r="O26" i="7"/>
  <c r="N7" i="10"/>
  <c r="N15" i="10" s="1"/>
  <c r="N17" i="10" s="1"/>
  <c r="N19" i="10" s="1"/>
  <c r="O15" i="10"/>
  <c r="O17" i="10" s="1"/>
  <c r="O19" i="10" s="1"/>
  <c r="O23" i="10" s="1"/>
  <c r="P14" i="10"/>
  <c r="P15" i="10"/>
  <c r="P17" i="10" s="1"/>
  <c r="P19" i="10" s="1"/>
  <c r="P23" i="10" s="1"/>
  <c r="P26" i="10"/>
  <c r="O27" i="10"/>
  <c r="W50" i="10"/>
  <c r="N28" i="10"/>
  <c r="F23" i="10"/>
  <c r="F25" i="10" s="1"/>
  <c r="O28" i="10"/>
  <c r="G23" i="10"/>
  <c r="G25" i="10" s="1"/>
  <c r="H23" i="10"/>
  <c r="H25" i="10" s="1"/>
  <c r="P28" i="10"/>
  <c r="O26" i="10"/>
  <c r="V52" i="10"/>
  <c r="G8" i="6"/>
  <c r="N14" i="6"/>
  <c r="O10" i="6"/>
  <c r="O11" i="6"/>
  <c r="O6" i="6"/>
  <c r="O7" i="6" s="1"/>
  <c r="O26" i="6"/>
  <c r="N15" i="6"/>
  <c r="N17" i="6" s="1"/>
  <c r="N19" i="6" s="1"/>
  <c r="O28" i="6"/>
  <c r="V51" i="6"/>
  <c r="W48" i="6" s="1"/>
  <c r="O27" i="6"/>
  <c r="H10" i="5"/>
  <c r="H16" i="5" s="1"/>
  <c r="H23" i="5"/>
  <c r="H25" i="5" s="1"/>
  <c r="H32" i="5" s="1"/>
  <c r="M14" i="4"/>
  <c r="M16" i="4" s="1"/>
  <c r="E32" i="4"/>
  <c r="E16" i="4"/>
  <c r="D25" i="4"/>
  <c r="D16" i="4"/>
  <c r="P15" i="9" l="1"/>
  <c r="P17" i="9" s="1"/>
  <c r="P19" i="9" s="1"/>
  <c r="P39" i="9" s="1"/>
  <c r="N30" i="9"/>
  <c r="N40" i="9" s="1"/>
  <c r="F7" i="9" s="1"/>
  <c r="F10" i="9" s="1"/>
  <c r="F16" i="9" s="1"/>
  <c r="W50" i="9"/>
  <c r="H23" i="9"/>
  <c r="H25" i="9" s="1"/>
  <c r="P28" i="9"/>
  <c r="O23" i="9"/>
  <c r="O30" i="9" s="1"/>
  <c r="O39" i="9"/>
  <c r="F32" i="9"/>
  <c r="P23" i="9"/>
  <c r="P30" i="9" s="1"/>
  <c r="F30" i="9"/>
  <c r="V52" i="9"/>
  <c r="P29" i="11"/>
  <c r="O22" i="11"/>
  <c r="O29" i="11" s="1"/>
  <c r="O37" i="11"/>
  <c r="O38" i="11" s="1"/>
  <c r="F29" i="11"/>
  <c r="Q43" i="11"/>
  <c r="N29" i="11"/>
  <c r="N39" i="11" s="1"/>
  <c r="F7" i="11" s="1"/>
  <c r="W51" i="11"/>
  <c r="X48" i="11" s="1"/>
  <c r="X50" i="11" s="1"/>
  <c r="N37" i="7"/>
  <c r="N38" i="7" s="1"/>
  <c r="N22" i="7"/>
  <c r="N29" i="7" s="1"/>
  <c r="W50" i="7"/>
  <c r="G23" i="7"/>
  <c r="P30" i="10"/>
  <c r="F29" i="10"/>
  <c r="F30" i="10" s="1"/>
  <c r="F32" i="10" s="1"/>
  <c r="N23" i="10"/>
  <c r="N30" i="10" s="1"/>
  <c r="N40" i="10" s="1"/>
  <c r="F7" i="10" s="1"/>
  <c r="F10" i="10" s="1"/>
  <c r="F16" i="10" s="1"/>
  <c r="O30" i="10"/>
  <c r="W51" i="10"/>
  <c r="X48" i="10" s="1"/>
  <c r="X50" i="10" s="1"/>
  <c r="O14" i="6"/>
  <c r="O15" i="6" s="1"/>
  <c r="P11" i="6"/>
  <c r="P10" i="6"/>
  <c r="P14" i="6" s="1"/>
  <c r="H8" i="6"/>
  <c r="P26" i="6" s="1"/>
  <c r="H20" i="6"/>
  <c r="P28" i="6" s="1"/>
  <c r="H9" i="6"/>
  <c r="P27" i="6" s="1"/>
  <c r="P6" i="6"/>
  <c r="P7" i="6" s="1"/>
  <c r="N39" i="6"/>
  <c r="N23" i="6"/>
  <c r="N30" i="6" s="1"/>
  <c r="W50" i="6"/>
  <c r="G23" i="6"/>
  <c r="G25" i="6" s="1"/>
  <c r="V52" i="6"/>
  <c r="G10" i="5"/>
  <c r="G16" i="5" s="1"/>
  <c r="M18" i="4"/>
  <c r="D32" i="4"/>
  <c r="P40" i="9" l="1"/>
  <c r="G29" i="9"/>
  <c r="O40" i="9"/>
  <c r="G7" i="9" s="1"/>
  <c r="W51" i="9"/>
  <c r="X48" i="9" s="1"/>
  <c r="X50" i="9" s="1"/>
  <c r="Q43" i="9"/>
  <c r="X51" i="11"/>
  <c r="X52" i="11" s="1"/>
  <c r="W52" i="11"/>
  <c r="G7" i="11"/>
  <c r="F10" i="11"/>
  <c r="F16" i="11" s="1"/>
  <c r="F30" i="11"/>
  <c r="F32" i="11" s="1"/>
  <c r="G29" i="11"/>
  <c r="F29" i="7"/>
  <c r="N39" i="7"/>
  <c r="F7" i="7" s="1"/>
  <c r="O16" i="7"/>
  <c r="O18" i="7" s="1"/>
  <c r="W51" i="7"/>
  <c r="X48" i="7" s="1"/>
  <c r="F30" i="7"/>
  <c r="F32" i="7" s="1"/>
  <c r="F10" i="7"/>
  <c r="F16" i="7" s="1"/>
  <c r="O39" i="10"/>
  <c r="O40" i="10" s="1"/>
  <c r="G7" i="10" s="1"/>
  <c r="G10" i="10" s="1"/>
  <c r="G16" i="10" s="1"/>
  <c r="X51" i="10"/>
  <c r="X52" i="10" s="1"/>
  <c r="W52" i="10"/>
  <c r="G29" i="10"/>
  <c r="N40" i="6"/>
  <c r="F7" i="6" s="1"/>
  <c r="P15" i="6"/>
  <c r="F29" i="6"/>
  <c r="O17" i="6"/>
  <c r="O19" i="6" s="1"/>
  <c r="W51" i="6"/>
  <c r="X48" i="6" s="1"/>
  <c r="F30" i="6"/>
  <c r="F32" i="6" s="1"/>
  <c r="E48" i="4"/>
  <c r="M28" i="4"/>
  <c r="M26" i="4"/>
  <c r="M25" i="4"/>
  <c r="M23" i="4"/>
  <c r="X51" i="9" l="1"/>
  <c r="X52" i="9" s="1"/>
  <c r="W52" i="9"/>
  <c r="G10" i="9"/>
  <c r="G16" i="9" s="1"/>
  <c r="H7" i="9"/>
  <c r="H10" i="9" s="1"/>
  <c r="H16" i="9" s="1"/>
  <c r="G30" i="9"/>
  <c r="G32" i="9" s="1"/>
  <c r="H29" i="9"/>
  <c r="H30" i="9" s="1"/>
  <c r="H32" i="9" s="1"/>
  <c r="G30" i="11"/>
  <c r="G32" i="11" s="1"/>
  <c r="H29" i="11"/>
  <c r="H30" i="11" s="1"/>
  <c r="H32" i="11" s="1"/>
  <c r="H7" i="11"/>
  <c r="H10" i="11" s="1"/>
  <c r="H16" i="11" s="1"/>
  <c r="G10" i="11"/>
  <c r="G16" i="11" s="1"/>
  <c r="X50" i="7"/>
  <c r="H23" i="7"/>
  <c r="O22" i="7"/>
  <c r="O29" i="7" s="1"/>
  <c r="O37" i="7"/>
  <c r="W52" i="7"/>
  <c r="H29" i="10"/>
  <c r="H30" i="10" s="1"/>
  <c r="H32" i="10" s="1"/>
  <c r="G30" i="10"/>
  <c r="G32" i="10" s="1"/>
  <c r="P39" i="10"/>
  <c r="P40" i="10" s="1"/>
  <c r="H7" i="10" s="1"/>
  <c r="H10" i="10" s="1"/>
  <c r="H16" i="10" s="1"/>
  <c r="Q43" i="10"/>
  <c r="F10" i="6"/>
  <c r="F16" i="6" s="1"/>
  <c r="X50" i="6"/>
  <c r="H23" i="6"/>
  <c r="H25" i="6" s="1"/>
  <c r="O23" i="6"/>
  <c r="O30" i="6" s="1"/>
  <c r="W52" i="6"/>
  <c r="M22" i="4"/>
  <c r="M31" i="4"/>
  <c r="M33" i="4" s="1"/>
  <c r="O38" i="7" l="1"/>
  <c r="G29" i="7"/>
  <c r="G7" i="7"/>
  <c r="P16" i="7"/>
  <c r="P18" i="7" s="1"/>
  <c r="X51" i="7"/>
  <c r="X52" i="7" s="1"/>
  <c r="O39" i="6"/>
  <c r="O40" i="6" s="1"/>
  <c r="G7" i="6" s="1"/>
  <c r="P38" i="6" s="1"/>
  <c r="G29" i="6"/>
  <c r="P17" i="6"/>
  <c r="P19" i="6" s="1"/>
  <c r="X51" i="6"/>
  <c r="X52" i="6" s="1"/>
  <c r="M38" i="4"/>
  <c r="P22" i="7" l="1"/>
  <c r="P29" i="7" s="1"/>
  <c r="P37" i="7"/>
  <c r="P38" i="7" s="1"/>
  <c r="G10" i="7"/>
  <c r="G16" i="7" s="1"/>
  <c r="G30" i="7"/>
  <c r="H29" i="7"/>
  <c r="H30" i="7" s="1"/>
  <c r="H32" i="7" s="1"/>
  <c r="G10" i="6"/>
  <c r="G16" i="6" s="1"/>
  <c r="P23" i="6"/>
  <c r="P30" i="6" s="1"/>
  <c r="P39" i="6"/>
  <c r="G30" i="6"/>
  <c r="G32" i="6" s="1"/>
  <c r="M27" i="4"/>
  <c r="M29" i="4" s="1"/>
  <c r="M39" i="4" s="1"/>
  <c r="Q43" i="7" l="1"/>
  <c r="H7" i="7"/>
  <c r="H10" i="7" s="1"/>
  <c r="H16" i="7" s="1"/>
  <c r="H29" i="6"/>
  <c r="H30" i="6" s="1"/>
  <c r="H32" i="6" s="1"/>
  <c r="Q43" i="6"/>
  <c r="P40" i="6"/>
  <c r="H7" i="6" s="1"/>
  <c r="H10" i="6" s="1"/>
  <c r="H16" i="6" s="1"/>
  <c r="G23" i="5" l="1"/>
  <c r="G25" i="5" s="1"/>
  <c r="G32" i="5" s="1"/>
  <c r="G32" i="7"/>
</calcChain>
</file>

<file path=xl/sharedStrings.xml><?xml version="1.0" encoding="utf-8"?>
<sst xmlns="http://schemas.openxmlformats.org/spreadsheetml/2006/main" count="1985" uniqueCount="163">
  <si>
    <t>Balance Sheet</t>
  </si>
  <si>
    <t>Income Statement</t>
  </si>
  <si>
    <t>Assets</t>
  </si>
  <si>
    <t xml:space="preserve"> </t>
  </si>
  <si>
    <t>Current Assets</t>
  </si>
  <si>
    <t>Cost of Goods Sold</t>
  </si>
  <si>
    <t>Cash</t>
  </si>
  <si>
    <t>Gross Margin</t>
  </si>
  <si>
    <t>Receivables</t>
  </si>
  <si>
    <t>Expenses</t>
  </si>
  <si>
    <t>Inventories</t>
  </si>
  <si>
    <t>Total Current Assets</t>
  </si>
  <si>
    <t>Depreciation</t>
  </si>
  <si>
    <t>Fixed Assets</t>
  </si>
  <si>
    <t>Total Expenses</t>
  </si>
  <si>
    <t>PP&amp;E</t>
  </si>
  <si>
    <t>EBIT</t>
  </si>
  <si>
    <t>Less Depreciation</t>
  </si>
  <si>
    <t>Net Interest Expense</t>
  </si>
  <si>
    <t>Taxable Income</t>
  </si>
  <si>
    <t>Total Fixed Assets</t>
  </si>
  <si>
    <t>Taxes</t>
  </si>
  <si>
    <t>Net Income</t>
  </si>
  <si>
    <t>Total Assets</t>
  </si>
  <si>
    <t>Cash Flow Statement</t>
  </si>
  <si>
    <t>Liabilities &amp; Shareholder's Equity</t>
  </si>
  <si>
    <t>Long Term Liabilities</t>
  </si>
  <si>
    <t>Total Liabilities</t>
  </si>
  <si>
    <t>Change in Working Capital</t>
  </si>
  <si>
    <t>Decrease (increase) in Inventory</t>
  </si>
  <si>
    <t>Shareholder's Equity</t>
  </si>
  <si>
    <t>Decrease (increase) in Receivables</t>
  </si>
  <si>
    <t>Increase (decrease) in  Accts. Payable</t>
  </si>
  <si>
    <t>Retained Earnings</t>
  </si>
  <si>
    <t>Total Shareholder's Equity</t>
  </si>
  <si>
    <t>Additions to PP&amp;E</t>
  </si>
  <si>
    <t>Total Liabilities and Shareholder's Equity</t>
  </si>
  <si>
    <t>Other Investments</t>
  </si>
  <si>
    <t>Net issues of Stock</t>
  </si>
  <si>
    <t>Net increase (decrease) in cash</t>
  </si>
  <si>
    <t>Equity only financing</t>
  </si>
  <si>
    <t>Depreciation Expense</t>
  </si>
  <si>
    <t>Accounts Payable</t>
  </si>
  <si>
    <t>Total Current Liabilities</t>
  </si>
  <si>
    <t xml:space="preserve">Current Liabilities  </t>
  </si>
  <si>
    <t>Selling</t>
  </si>
  <si>
    <t>General and Administrative Expense</t>
  </si>
  <si>
    <t>COGS % as a % of Revenues</t>
  </si>
  <si>
    <t>Receivables as a % of Revenues</t>
  </si>
  <si>
    <t>Inventory as a % of Revenues</t>
  </si>
  <si>
    <t>Revenues</t>
  </si>
  <si>
    <t>Plus Depreciation</t>
  </si>
  <si>
    <t>Accrued Liabilities</t>
  </si>
  <si>
    <t>Bank Loan</t>
  </si>
  <si>
    <t>Increase (decrease) in  Accrued Liabilities</t>
  </si>
  <si>
    <t>Additions (reductions) to Debt</t>
  </si>
  <si>
    <t>Cash Provided (used) by Operations</t>
  </si>
  <si>
    <t>Cash Provided (used) by Investments</t>
  </si>
  <si>
    <t>Cash Provided (used) by Financing Activities</t>
  </si>
  <si>
    <t xml:space="preserve">       Total</t>
  </si>
  <si>
    <t>Unit Demand</t>
  </si>
  <si>
    <t>Average Selling Price</t>
  </si>
  <si>
    <t>Existing Equipment</t>
  </si>
  <si>
    <t>Building - 30 years</t>
  </si>
  <si>
    <t>(Reductions) to Debt - Bank Loan</t>
  </si>
  <si>
    <t>Additions  to Debt - Bank Loan</t>
  </si>
  <si>
    <t>Additions  to Debt - Long Term Debt</t>
  </si>
  <si>
    <t>(Reductions) to Debt - Long Term Debt</t>
  </si>
  <si>
    <t>Dividends - Owner Draws</t>
  </si>
  <si>
    <t>(Dividends - Owner Draws)</t>
  </si>
  <si>
    <t>Fixed G&amp;A Expense</t>
  </si>
  <si>
    <t>General &amp; Administrative Variable</t>
  </si>
  <si>
    <t>Accounts Payable as a % Revenues</t>
  </si>
  <si>
    <t>General &amp; Administrative Fixed</t>
  </si>
  <si>
    <t>Tax Rate NA due to LLC</t>
  </si>
  <si>
    <t>Member's Equity</t>
  </si>
  <si>
    <t>Revenue Growth of about 15% per year</t>
  </si>
  <si>
    <t>Assumptions</t>
  </si>
  <si>
    <t xml:space="preserve">Net Interest Expense </t>
  </si>
  <si>
    <t>Debt</t>
  </si>
  <si>
    <t xml:space="preserve">New Equipment </t>
  </si>
  <si>
    <t>Bubble and Bee Organic - Pro Forma Modeling Template</t>
  </si>
  <si>
    <r>
      <t>(</t>
    </r>
    <r>
      <rPr>
        <b/>
        <sz val="16"/>
        <rFont val="Times New Roman"/>
        <family val="1"/>
      </rPr>
      <t>Source:</t>
    </r>
    <r>
      <rPr>
        <sz val="16"/>
        <rFont val="Times New Roman"/>
        <family val="1"/>
      </rPr>
      <t xml:space="preserve"> Constructed by authors based on company records)</t>
    </r>
  </si>
  <si>
    <t>Selling Expense as a % of Revenues</t>
  </si>
  <si>
    <t>Variable G&amp;A as a % of  Revenue</t>
  </si>
  <si>
    <t>Accrued Liabilities % of Revenues</t>
  </si>
  <si>
    <t>Loan</t>
  </si>
  <si>
    <t>Value</t>
  </si>
  <si>
    <t>=</t>
  </si>
  <si>
    <t>pre tax cost of debt</t>
  </si>
  <si>
    <t>after tax cost of debt</t>
  </si>
  <si>
    <t>value of depreciation</t>
  </si>
  <si>
    <t>She is losing the tax advantages.</t>
  </si>
  <si>
    <t>Look at LLC and C Corp implications</t>
  </si>
  <si>
    <t>g(d)</t>
  </si>
  <si>
    <t>demand</t>
  </si>
  <si>
    <t>avg price</t>
  </si>
  <si>
    <t>Revenue</t>
  </si>
  <si>
    <t>COGS</t>
  </si>
  <si>
    <t>OPEX</t>
  </si>
  <si>
    <t>sales</t>
  </si>
  <si>
    <t>rev dep</t>
  </si>
  <si>
    <t>sg&amp;A (annual inc)</t>
  </si>
  <si>
    <t>rent</t>
  </si>
  <si>
    <t>Depr Base</t>
  </si>
  <si>
    <t>Bldg Buy</t>
  </si>
  <si>
    <t>Interest (bldg)</t>
  </si>
  <si>
    <t>buy</t>
  </si>
  <si>
    <t>Balance Sheets</t>
  </si>
  <si>
    <t>A/R</t>
  </si>
  <si>
    <t>inv</t>
  </si>
  <si>
    <t>% sales</t>
  </si>
  <si>
    <t>A/P</t>
  </si>
  <si>
    <t>PPE</t>
  </si>
  <si>
    <t>current liabilities</t>
  </si>
  <si>
    <t>LTL</t>
  </si>
  <si>
    <t>Principal</t>
  </si>
  <si>
    <t>paid</t>
  </si>
  <si>
    <t>CF</t>
  </si>
  <si>
    <t>fin</t>
  </si>
  <si>
    <t>r</t>
  </si>
  <si>
    <t>interest</t>
  </si>
  <si>
    <t>bank loan</t>
  </si>
  <si>
    <t>prin</t>
  </si>
  <si>
    <t>total pmt</t>
  </si>
  <si>
    <t>Extra Rent</t>
  </si>
  <si>
    <t>15% growth</t>
  </si>
  <si>
    <t>Revenues (grow at 15%)</t>
  </si>
  <si>
    <t>Wages</t>
  </si>
  <si>
    <t>Loan Amortization</t>
  </si>
  <si>
    <t>Interest</t>
  </si>
  <si>
    <t>PV</t>
  </si>
  <si>
    <t>N</t>
  </si>
  <si>
    <t>PMT</t>
  </si>
  <si>
    <t>FV</t>
  </si>
  <si>
    <t>Baseline</t>
  </si>
  <si>
    <t>Rent No D Growth</t>
  </si>
  <si>
    <t>Rent Rev Growth</t>
  </si>
  <si>
    <t>Purchase No D Growth</t>
  </si>
  <si>
    <t>Purchase Rev Growth</t>
  </si>
  <si>
    <t>CCorp Purchase Rev Growth</t>
  </si>
  <si>
    <t>NI</t>
  </si>
  <si>
    <t>SE</t>
  </si>
  <si>
    <t>TIE Ratio</t>
  </si>
  <si>
    <t>Net Cash Inc</t>
  </si>
  <si>
    <t>ROE</t>
  </si>
  <si>
    <t>#Pay "misses"</t>
  </si>
  <si>
    <t>NA</t>
  </si>
  <si>
    <t>Base</t>
  </si>
  <si>
    <t>CCC</t>
  </si>
  <si>
    <t>% Gross Profit</t>
  </si>
  <si>
    <t>% Operating Profit</t>
  </si>
  <si>
    <t>% Net Profit</t>
  </si>
  <si>
    <t>Rev/Assets</t>
  </si>
  <si>
    <t>ROA</t>
  </si>
  <si>
    <t>Rent No Growth</t>
  </si>
  <si>
    <t>Rent with Growth</t>
  </si>
  <si>
    <t>Buy No Growth</t>
  </si>
  <si>
    <t>Buy with Growth</t>
  </si>
  <si>
    <t>Ccorp Buy with Growth</t>
  </si>
  <si>
    <t>Bubble and Bee Case</t>
  </si>
  <si>
    <t>Scenario Analysis</t>
  </si>
  <si>
    <t>Ellen 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</si>
</sst>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0.0%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41" fontId="3" fillId="0" borderId="0" xfId="0" applyNumberFormat="1" applyFont="1"/>
    <xf numFmtId="41" fontId="3" fillId="0" borderId="1" xfId="0" applyNumberFormat="1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41" fontId="3" fillId="2" borderId="2" xfId="0" applyNumberFormat="1" applyFont="1" applyFill="1" applyBorder="1"/>
    <xf numFmtId="41" fontId="3" fillId="4" borderId="3" xfId="0" applyNumberFormat="1" applyFont="1" applyFill="1" applyBorder="1"/>
    <xf numFmtId="41" fontId="3" fillId="2" borderId="3" xfId="0" applyNumberFormat="1" applyFont="1" applyFill="1" applyBorder="1"/>
    <xf numFmtId="41" fontId="3" fillId="2" borderId="0" xfId="0" applyNumberFormat="1" applyFont="1" applyFill="1"/>
    <xf numFmtId="41" fontId="3" fillId="4" borderId="4" xfId="0" applyNumberFormat="1" applyFont="1" applyFill="1" applyBorder="1"/>
    <xf numFmtId="41" fontId="3" fillId="2" borderId="4" xfId="0" applyNumberFormat="1" applyFont="1" applyFill="1" applyBorder="1"/>
    <xf numFmtId="41" fontId="3" fillId="2" borderId="6" xfId="0" applyNumberFormat="1" applyFont="1" applyFill="1" applyBorder="1"/>
    <xf numFmtId="41" fontId="3" fillId="2" borderId="1" xfId="0" applyNumberFormat="1" applyFont="1" applyFill="1" applyBorder="1"/>
    <xf numFmtId="41" fontId="3" fillId="4" borderId="6" xfId="0" applyNumberFormat="1" applyFont="1" applyFill="1" applyBorder="1"/>
    <xf numFmtId="41" fontId="3" fillId="2" borderId="5" xfId="0" applyNumberFormat="1" applyFont="1" applyFill="1" applyBorder="1"/>
    <xf numFmtId="0" fontId="3" fillId="2" borderId="0" xfId="0" applyFont="1" applyFill="1"/>
    <xf numFmtId="41" fontId="3" fillId="4" borderId="2" xfId="0" applyNumberFormat="1" applyFont="1" applyFill="1" applyBorder="1"/>
    <xf numFmtId="41" fontId="3" fillId="4" borderId="5" xfId="0" applyNumberFormat="1" applyFont="1" applyFill="1" applyBorder="1"/>
    <xf numFmtId="41" fontId="3" fillId="4" borderId="1" xfId="0" applyNumberFormat="1" applyFont="1" applyFill="1" applyBorder="1"/>
    <xf numFmtId="9" fontId="4" fillId="4" borderId="4" xfId="3" applyFont="1" applyFill="1" applyBorder="1"/>
    <xf numFmtId="164" fontId="4" fillId="0" borderId="4" xfId="1" applyNumberFormat="1" applyFont="1" applyBorder="1" applyAlignment="1">
      <alignment horizontal="right"/>
    </xf>
    <xf numFmtId="44" fontId="4" fillId="0" borderId="4" xfId="2" applyFont="1" applyBorder="1" applyAlignment="1">
      <alignment horizontal="right"/>
    </xf>
    <xf numFmtId="164" fontId="4" fillId="5" borderId="4" xfId="1" applyNumberFormat="1" applyFont="1" applyFill="1" applyBorder="1" applyAlignment="1">
      <alignment horizontal="right"/>
    </xf>
    <xf numFmtId="44" fontId="4" fillId="5" borderId="4" xfId="2" applyFont="1" applyFill="1" applyBorder="1" applyAlignment="1">
      <alignment horizontal="right"/>
    </xf>
    <xf numFmtId="41" fontId="4" fillId="2" borderId="4" xfId="0" applyNumberFormat="1" applyFont="1" applyFill="1" applyBorder="1"/>
    <xf numFmtId="0" fontId="6" fillId="0" borderId="0" xfId="0" applyFont="1"/>
    <xf numFmtId="164" fontId="0" fillId="0" borderId="0" xfId="1" applyNumberFormat="1" applyFont="1"/>
    <xf numFmtId="0" fontId="7" fillId="0" borderId="0" xfId="0" applyFont="1"/>
    <xf numFmtId="41" fontId="3" fillId="3" borderId="1" xfId="0" applyNumberFormat="1" applyFont="1" applyFill="1" applyBorder="1"/>
    <xf numFmtId="43" fontId="3" fillId="0" borderId="0" xfId="0" applyNumberFormat="1" applyFont="1"/>
    <xf numFmtId="164" fontId="3" fillId="4" borderId="5" xfId="0" applyNumberFormat="1" applyFont="1" applyFill="1" applyBorder="1"/>
    <xf numFmtId="41" fontId="7" fillId="4" borderId="4" xfId="0" applyNumberFormat="1" applyFont="1" applyFill="1" applyBorder="1"/>
    <xf numFmtId="41" fontId="7" fillId="2" borderId="4" xfId="0" applyNumberFormat="1" applyFont="1" applyFill="1" applyBorder="1"/>
    <xf numFmtId="41" fontId="7" fillId="2" borderId="5" xfId="0" applyNumberFormat="1" applyFont="1" applyFill="1" applyBorder="1"/>
    <xf numFmtId="164" fontId="3" fillId="0" borderId="4" xfId="1" applyNumberFormat="1" applyFont="1" applyBorder="1"/>
    <xf numFmtId="164" fontId="4" fillId="4" borderId="4" xfId="1" applyNumberFormat="1" applyFont="1" applyFill="1" applyBorder="1"/>
    <xf numFmtId="41" fontId="4" fillId="4" borderId="4" xfId="0" applyNumberFormat="1" applyFont="1" applyFill="1" applyBorder="1"/>
    <xf numFmtId="0" fontId="4" fillId="2" borderId="0" xfId="0" applyFont="1" applyFill="1"/>
    <xf numFmtId="41" fontId="0" fillId="0" borderId="0" xfId="0" applyNumberFormat="1"/>
    <xf numFmtId="164" fontId="3" fillId="4" borderId="6" xfId="1" applyNumberFormat="1" applyFont="1" applyFill="1" applyBorder="1"/>
    <xf numFmtId="164" fontId="3" fillId="2" borderId="4" xfId="1" applyNumberFormat="1" applyFont="1" applyFill="1" applyBorder="1"/>
    <xf numFmtId="164" fontId="0" fillId="2" borderId="0" xfId="1" applyNumberFormat="1" applyFont="1" applyFill="1"/>
    <xf numFmtId="164" fontId="3" fillId="2" borderId="0" xfId="1" applyNumberFormat="1" applyFont="1" applyFill="1"/>
    <xf numFmtId="164" fontId="3" fillId="2" borderId="5" xfId="1" applyNumberFormat="1" applyFont="1" applyFill="1" applyBorder="1"/>
    <xf numFmtId="164" fontId="3" fillId="2" borderId="1" xfId="1" applyNumberFormat="1" applyFont="1" applyFill="1" applyBorder="1"/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3" fontId="0" fillId="0" borderId="0" xfId="0" applyNumberFormat="1"/>
    <xf numFmtId="0" fontId="0" fillId="6" borderId="0" xfId="0" applyFill="1"/>
    <xf numFmtId="0" fontId="1" fillId="7" borderId="0" xfId="0" applyFont="1" applyFill="1"/>
    <xf numFmtId="3" fontId="0" fillId="7" borderId="0" xfId="0" applyNumberForma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4" fontId="3" fillId="6" borderId="6" xfId="1" applyNumberFormat="1" applyFont="1" applyFill="1" applyBorder="1"/>
    <xf numFmtId="164" fontId="3" fillId="6" borderId="5" xfId="0" applyNumberFormat="1" applyFont="1" applyFill="1" applyBorder="1"/>
    <xf numFmtId="43" fontId="0" fillId="0" borderId="0" xfId="0" applyNumberFormat="1"/>
    <xf numFmtId="41" fontId="3" fillId="6" borderId="4" xfId="0" applyNumberFormat="1" applyFont="1" applyFill="1" applyBorder="1"/>
    <xf numFmtId="41" fontId="3" fillId="9" borderId="4" xfId="0" applyNumberFormat="1" applyFont="1" applyFill="1" applyBorder="1"/>
    <xf numFmtId="164" fontId="3" fillId="7" borderId="6" xfId="1" applyNumberFormat="1" applyFont="1" applyFill="1" applyBorder="1"/>
    <xf numFmtId="41" fontId="3" fillId="7" borderId="4" xfId="0" applyNumberFormat="1" applyFont="1" applyFill="1" applyBorder="1"/>
    <xf numFmtId="164" fontId="3" fillId="0" borderId="0" xfId="0" applyNumberFormat="1" applyFont="1"/>
    <xf numFmtId="9" fontId="3" fillId="10" borderId="6" xfId="3" applyFont="1" applyFill="1" applyBorder="1"/>
    <xf numFmtId="41" fontId="3" fillId="10" borderId="4" xfId="0" applyNumberFormat="1" applyFont="1" applyFill="1" applyBorder="1"/>
    <xf numFmtId="41" fontId="3" fillId="10" borderId="6" xfId="0" applyNumberFormat="1" applyFont="1" applyFill="1" applyBorder="1"/>
    <xf numFmtId="8" fontId="0" fillId="0" borderId="0" xfId="0" applyNumberFormat="1"/>
    <xf numFmtId="6" fontId="0" fillId="0" borderId="0" xfId="0" applyNumberFormat="1"/>
    <xf numFmtId="0" fontId="1" fillId="0" borderId="0" xfId="0" applyFont="1" applyAlignment="1">
      <alignment horizontal="center" vertical="center"/>
    </xf>
    <xf numFmtId="166" fontId="0" fillId="0" borderId="0" xfId="1" applyNumberFormat="1" applyFont="1"/>
    <xf numFmtId="0" fontId="0" fillId="0" borderId="0" xfId="1" applyNumberFormat="1" applyFont="1"/>
    <xf numFmtId="43" fontId="0" fillId="0" borderId="0" xfId="1" applyFont="1"/>
    <xf numFmtId="10" fontId="0" fillId="0" borderId="0" xfId="3" applyNumberFormat="1" applyFont="1"/>
    <xf numFmtId="0" fontId="1" fillId="0" borderId="0" xfId="0" applyFont="1" applyAlignment="1">
      <alignment horizontal="right"/>
    </xf>
    <xf numFmtId="0" fontId="10" fillId="11" borderId="0" xfId="0" applyFont="1" applyFill="1"/>
    <xf numFmtId="0" fontId="10" fillId="0" borderId="0" xfId="0" applyFont="1"/>
    <xf numFmtId="0" fontId="10" fillId="0" borderId="8" xfId="0" applyFont="1" applyBorder="1"/>
    <xf numFmtId="0" fontId="10" fillId="11" borderId="9" xfId="0" applyFont="1" applyFill="1" applyBorder="1"/>
    <xf numFmtId="0" fontId="11" fillId="0" borderId="0" xfId="0" applyFont="1"/>
    <xf numFmtId="0" fontId="11" fillId="11" borderId="0" xfId="0" applyFont="1" applyFill="1"/>
    <xf numFmtId="1" fontId="10" fillId="11" borderId="0" xfId="0" applyNumberFormat="1" applyFont="1" applyFill="1"/>
    <xf numFmtId="167" fontId="10" fillId="11" borderId="0" xfId="3" applyNumberFormat="1" applyFont="1" applyFill="1"/>
    <xf numFmtId="167" fontId="10" fillId="0" borderId="0" xfId="3" applyNumberFormat="1" applyFont="1" applyFill="1"/>
    <xf numFmtId="167" fontId="10" fillId="0" borderId="0" xfId="3" applyNumberFormat="1" applyFont="1"/>
    <xf numFmtId="10" fontId="10" fillId="0" borderId="0" xfId="3" applyNumberFormat="1" applyFont="1"/>
    <xf numFmtId="2" fontId="10" fillId="11" borderId="0" xfId="0" applyNumberFormat="1" applyFont="1" applyFill="1"/>
    <xf numFmtId="10" fontId="10" fillId="11" borderId="0" xfId="3" applyNumberFormat="1" applyFont="1" applyFill="1"/>
    <xf numFmtId="165" fontId="10" fillId="0" borderId="0" xfId="0" applyNumberFormat="1" applyFont="1"/>
    <xf numFmtId="2" fontId="10" fillId="0" borderId="0" xfId="0" applyNumberFormat="1" applyFont="1"/>
    <xf numFmtId="165" fontId="10" fillId="11" borderId="0" xfId="0" applyNumberFormat="1" applyFont="1" applyFill="1"/>
    <xf numFmtId="10" fontId="10" fillId="0" borderId="8" xfId="3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A0E5-4CC1-4246-A66A-95DB85FBF517}">
  <dimension ref="A1:A4"/>
  <sheetViews>
    <sheetView tabSelected="1" workbookViewId="0">
      <selection activeCell="G12" sqref="G12"/>
    </sheetView>
  </sheetViews>
  <sheetFormatPr defaultRowHeight="12.75" x14ac:dyDescent="0.2"/>
  <sheetData>
    <row r="1" spans="1:1" x14ac:dyDescent="0.2">
      <c r="A1" s="50" t="s">
        <v>160</v>
      </c>
    </row>
    <row r="2" spans="1:1" x14ac:dyDescent="0.2">
      <c r="A2" s="50" t="s">
        <v>161</v>
      </c>
    </row>
    <row r="4" spans="1:1" x14ac:dyDescent="0.2">
      <c r="A4" s="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A095-8567-2648-B75C-5170547C4AB3}">
  <dimension ref="A1:G63"/>
  <sheetViews>
    <sheetView workbookViewId="0">
      <selection activeCell="F55" sqref="F55"/>
    </sheetView>
  </sheetViews>
  <sheetFormatPr defaultColWidth="11.42578125" defaultRowHeight="12.75" x14ac:dyDescent="0.2"/>
  <cols>
    <col min="1" max="1" width="23.28515625" customWidth="1"/>
    <col min="2" max="3" width="11.7109375" bestFit="1" customWidth="1"/>
    <col min="4" max="6" width="13.140625" customWidth="1"/>
    <col min="7" max="7" width="12" customWidth="1"/>
  </cols>
  <sheetData>
    <row r="1" spans="1:7" x14ac:dyDescent="0.2">
      <c r="B1" s="97">
        <v>2017</v>
      </c>
      <c r="C1" s="97"/>
      <c r="D1" s="97"/>
      <c r="E1" s="97"/>
      <c r="F1" s="51"/>
    </row>
    <row r="2" spans="1:7" ht="24.95" customHeight="1" x14ac:dyDescent="0.2">
      <c r="B2" s="74" t="s">
        <v>141</v>
      </c>
      <c r="C2" s="74" t="s">
        <v>142</v>
      </c>
      <c r="D2" s="74" t="s">
        <v>143</v>
      </c>
      <c r="E2" s="74" t="s">
        <v>144</v>
      </c>
      <c r="F2" s="74" t="s">
        <v>145</v>
      </c>
      <c r="G2" s="74" t="s">
        <v>146</v>
      </c>
    </row>
    <row r="3" spans="1:7" x14ac:dyDescent="0.2">
      <c r="A3" s="50" t="s">
        <v>135</v>
      </c>
      <c r="B3" s="41">
        <f>'PF Baseline'!P18</f>
        <v>440360.00613388262</v>
      </c>
      <c r="C3" s="29">
        <f>'PF Baseline'!H30</f>
        <v>831521.75152158889</v>
      </c>
      <c r="D3" s="29">
        <f>'PF Baseline'!P14/'PF Baseline'!P15</f>
        <v>348.29354418672432</v>
      </c>
      <c r="E3" s="41">
        <f>'PF Baseline'!P39</f>
        <v>307223.35113388253</v>
      </c>
      <c r="F3" s="78">
        <f>B3/C3</f>
        <v>0.52958326745881823</v>
      </c>
      <c r="G3">
        <v>0</v>
      </c>
    </row>
    <row r="4" spans="1:7" x14ac:dyDescent="0.2">
      <c r="A4" s="50" t="s">
        <v>136</v>
      </c>
      <c r="B4" s="41">
        <f>'PF Rent_No Growth'!P19</f>
        <v>-701.65750000020489</v>
      </c>
      <c r="C4" s="29">
        <f>'PF Rent_No Growth'!H30</f>
        <v>283154.20749999979</v>
      </c>
      <c r="D4" s="29">
        <f>'PF Rent_No Growth'!P14/'PF Rent_No Growth'!P15</f>
        <v>-2107.9268446493743</v>
      </c>
      <c r="E4" s="41">
        <f>'PF Rent_No Growth'!P40</f>
        <v>-72383.692500000208</v>
      </c>
      <c r="F4" s="78">
        <f t="shared" ref="F4:F8" si="0">B4/C4</f>
        <v>-2.4780048518269165E-3</v>
      </c>
      <c r="G4">
        <v>2</v>
      </c>
    </row>
    <row r="5" spans="1:7" x14ac:dyDescent="0.2">
      <c r="A5" s="50" t="s">
        <v>137</v>
      </c>
      <c r="B5" s="41">
        <f>'PF Rent Growth'!P19</f>
        <v>389403.86828999966</v>
      </c>
      <c r="C5" s="29">
        <f>'PF Rent Growth'!H30</f>
        <v>685117.91468999977</v>
      </c>
      <c r="D5" s="76"/>
      <c r="E5" s="41">
        <f>'PF Rent Growth'!P40</f>
        <v>298484.02866999968</v>
      </c>
      <c r="F5" s="78">
        <f t="shared" si="0"/>
        <v>0.56837496136149945</v>
      </c>
      <c r="G5">
        <v>0</v>
      </c>
    </row>
    <row r="6" spans="1:7" x14ac:dyDescent="0.2">
      <c r="A6" s="50" t="s">
        <v>138</v>
      </c>
      <c r="B6" s="41">
        <f>'PF Purchase_No Growth'!P18</f>
        <v>-8799.6575000002049</v>
      </c>
      <c r="C6" s="29">
        <f>'PF Purchase_No Growth'!H30</f>
        <v>429219.20749999979</v>
      </c>
      <c r="D6" s="77">
        <f>'PF Purchase_No Growth'!P14/'PF Purchase_No Growth'!P15</f>
        <v>0.81047882879971989</v>
      </c>
      <c r="E6" s="41">
        <f>'PF Purchase_No Growth'!P39</f>
        <v>98176.307499999792</v>
      </c>
      <c r="F6" s="78">
        <f t="shared" si="0"/>
        <v>-2.05015464038855E-2</v>
      </c>
      <c r="G6">
        <v>3</v>
      </c>
    </row>
    <row r="7" spans="1:7" x14ac:dyDescent="0.2">
      <c r="A7" s="50" t="s">
        <v>139</v>
      </c>
      <c r="B7" s="41">
        <f>'PF Purchase Growth'!P18</f>
        <v>381305.86828999966</v>
      </c>
      <c r="C7" s="29">
        <f>'PF Purchase Growth'!H30</f>
        <v>831182.91468999977</v>
      </c>
      <c r="D7" s="29">
        <f>'PF Purchase Growth'!P14/'PF Purchase Growth'!P15</f>
        <v>9.212312211453547</v>
      </c>
      <c r="E7" s="41">
        <f>'PF Purchase Growth'!P39</f>
        <v>294044.02866999968</v>
      </c>
      <c r="F7" s="78">
        <f t="shared" si="0"/>
        <v>0.45875084960355872</v>
      </c>
      <c r="G7">
        <v>1</v>
      </c>
    </row>
    <row r="8" spans="1:7" x14ac:dyDescent="0.2">
      <c r="A8" s="50" t="s">
        <v>140</v>
      </c>
      <c r="B8" s="41">
        <f>'PF Purchase_CCorp'!P19</f>
        <v>154729.40121749975</v>
      </c>
      <c r="C8" s="29">
        <f>'PF Purchase_CCorp'!H30</f>
        <v>560224.18601749977</v>
      </c>
      <c r="D8" s="75">
        <f>'PF Purchase_CCorp'!P15/'PF Purchase_CCorp'!P16</f>
        <v>5.4432785916736588</v>
      </c>
      <c r="E8" s="41">
        <f>'PF Purchase_CCorp'!P40</f>
        <v>242467.56159749976</v>
      </c>
      <c r="F8" s="78">
        <f t="shared" si="0"/>
        <v>0.27619193365683509</v>
      </c>
      <c r="G8" s="79" t="s">
        <v>147</v>
      </c>
    </row>
    <row r="10" spans="1:7" x14ac:dyDescent="0.2">
      <c r="A10" s="83"/>
      <c r="B10" s="83">
        <v>2015</v>
      </c>
      <c r="C10" s="83">
        <v>2016</v>
      </c>
      <c r="D10" s="83">
        <v>2017</v>
      </c>
    </row>
    <row r="11" spans="1:7" x14ac:dyDescent="0.2">
      <c r="A11" s="84" t="s">
        <v>148</v>
      </c>
      <c r="B11" s="81"/>
      <c r="C11" s="81"/>
      <c r="D11" s="81"/>
    </row>
    <row r="12" spans="1:7" x14ac:dyDescent="0.2">
      <c r="A12" s="80" t="s">
        <v>149</v>
      </c>
      <c r="B12" s="86">
        <f>(365/('PF Baseline'!N6/'PF Baseline'!F9))+(365/('PF Baseline'!N5/'PF Baseline'!F8))-(365/('PF Baseline'!N6/'PF Baseline'!F20))</f>
        <v>80.3</v>
      </c>
      <c r="C12" s="86">
        <f>(365/('PF Baseline'!O6/'PF Baseline'!G9))+(365/('PF Baseline'!O5/'PF Baseline'!G8))-(365/('PF Baseline'!O6/'PF Baseline'!G20))</f>
        <v>76.82380952380953</v>
      </c>
      <c r="D12" s="86">
        <f>(365/('PF Baseline'!P6/'PF Baseline'!H9))+(365/('PF Baseline'!P5/'PF Baseline'!H8))-(365/('PF Baseline'!P6/'PF Baseline'!H20))</f>
        <v>76.823809523809544</v>
      </c>
    </row>
    <row r="13" spans="1:7" x14ac:dyDescent="0.2">
      <c r="A13" s="81" t="s">
        <v>150</v>
      </c>
      <c r="B13" s="88">
        <f>'PF Baseline'!N7/'PF Baseline'!N5</f>
        <v>0.8</v>
      </c>
      <c r="C13" s="88">
        <f>'PF Baseline'!O7/'PF Baseline'!O5</f>
        <v>0.78999999999999992</v>
      </c>
      <c r="D13" s="88">
        <f>'PF Baseline'!P7/'PF Baseline'!P5</f>
        <v>0.78999999999999992</v>
      </c>
    </row>
    <row r="14" spans="1:7" x14ac:dyDescent="0.2">
      <c r="A14" s="80" t="s">
        <v>151</v>
      </c>
      <c r="B14" s="87">
        <f>'PF Baseline'!N14/'PF Baseline'!N5</f>
        <v>0.14848537811785409</v>
      </c>
      <c r="C14" s="87">
        <f>'PF Baseline'!O14/'PF Baseline'!O5</f>
        <v>0.14879446467421789</v>
      </c>
      <c r="D14" s="87">
        <f>'PF Baseline'!P14/'PF Baseline'!P5</f>
        <v>0.16348540288352428</v>
      </c>
    </row>
    <row r="15" spans="1:7" x14ac:dyDescent="0.2">
      <c r="A15" s="81" t="s">
        <v>152</v>
      </c>
      <c r="B15" s="90">
        <f>'PF Baseline'!N18/'PF Baseline'!N5</f>
        <v>0.14577234069336895</v>
      </c>
      <c r="C15" s="90">
        <f>'PF Baseline'!O18/'PF Baseline'!O5</f>
        <v>0.14732401217674151</v>
      </c>
      <c r="D15" s="90">
        <f>'PF Baseline'!P18/'PF Baseline'!P5</f>
        <v>0.16301601318161274</v>
      </c>
    </row>
    <row r="16" spans="1:7" x14ac:dyDescent="0.2">
      <c r="A16" s="80" t="s">
        <v>153</v>
      </c>
      <c r="B16" s="91">
        <f>'PF Baseline'!N5/'PF Baseline'!F16</f>
        <v>3.4377331650219758</v>
      </c>
      <c r="C16" s="91">
        <f>'PF Baseline'!O5/'PF Baseline'!G16</f>
        <v>3.1947417283391228</v>
      </c>
      <c r="D16" s="91">
        <f>'PF Baseline'!P5/'PF Baseline'!H16</f>
        <v>2.7777085648434849</v>
      </c>
    </row>
    <row r="17" spans="1:4" x14ac:dyDescent="0.2">
      <c r="A17" s="81" t="s">
        <v>154</v>
      </c>
      <c r="B17" s="90">
        <f>'PF Baseline'!N18/'PF Baseline'!F16</f>
        <v>0.50112641014447701</v>
      </c>
      <c r="C17" s="90">
        <f>'PF Baseline'!O18/'PF Baseline'!G16</f>
        <v>0.47066216928737714</v>
      </c>
      <c r="D17" s="90">
        <f>'PF Baseline'!P18/'PF Baseline'!H16</f>
        <v>0.45281097602120413</v>
      </c>
    </row>
    <row r="18" spans="1:4" x14ac:dyDescent="0.2">
      <c r="A18" s="80" t="s">
        <v>145</v>
      </c>
      <c r="B18" s="92">
        <f>'PF Baseline'!N18/'PF Baseline'!F32</f>
        <v>0.50112641014447701</v>
      </c>
      <c r="C18" s="92">
        <f>'PF Baseline'!O18/'PF Baseline'!G32</f>
        <v>0.47066242660665819</v>
      </c>
      <c r="D18" s="92">
        <f>'PF Baseline'!P18/'PF Baseline'!H32</f>
        <v>0.45281112985439487</v>
      </c>
    </row>
    <row r="19" spans="1:4" x14ac:dyDescent="0.2">
      <c r="A19" s="81"/>
      <c r="B19" s="81"/>
      <c r="C19" s="81"/>
      <c r="D19" s="81"/>
    </row>
    <row r="20" spans="1:4" x14ac:dyDescent="0.2">
      <c r="A20" s="85" t="s">
        <v>155</v>
      </c>
      <c r="B20" s="80"/>
      <c r="C20" s="80"/>
      <c r="D20" s="80"/>
    </row>
    <row r="21" spans="1:4" x14ac:dyDescent="0.2">
      <c r="A21" s="81" t="s">
        <v>149</v>
      </c>
      <c r="B21" s="93">
        <f>(365/('PF Rent_No Growth'!N6/'PF Rent_No Growth'!F9))+(365/('PF Rent_No Growth'!N5/'PF Rent_No Growth'!F8))-(365/('PF Rent_No Growth'!N6/'PF Rent_No Growth'!F20))</f>
        <v>80.300000000000011</v>
      </c>
      <c r="C21" s="93">
        <f>(365/('PF Rent_No Growth'!O6/'PF Rent_No Growth'!G9))+(365/('PF Rent_No Growth'!O5/'PF Rent_No Growth'!G8))-(365/('PF Rent_No Growth'!O6/'PF Rent_No Growth'!G20))</f>
        <v>76.823809523809544</v>
      </c>
      <c r="D21" s="93">
        <f>(365/('PF Rent_No Growth'!P6/'PF Rent_No Growth'!H9))+(365/('PF Rent_No Growth'!P5/'PF Rent_No Growth'!H8))-(365/('PF Rent_No Growth'!P6/'PF Rent_No Growth'!H20))</f>
        <v>76.823809523809544</v>
      </c>
    </row>
    <row r="22" spans="1:4" x14ac:dyDescent="0.2">
      <c r="A22" s="80" t="s">
        <v>150</v>
      </c>
      <c r="B22" s="92">
        <f>'PF Rent_No Growth'!N7/'PF Rent_No Growth'!N5</f>
        <v>0.8</v>
      </c>
      <c r="C22" s="92">
        <f>'PF Rent_No Growth'!O7/'PF Rent_No Growth'!O5</f>
        <v>0.79</v>
      </c>
      <c r="D22" s="92">
        <f>'PF Rent_No Growth'!P7/'PF Rent_No Growth'!P5</f>
        <v>0.79</v>
      </c>
    </row>
    <row r="23" spans="1:4" x14ac:dyDescent="0.2">
      <c r="A23" s="81" t="s">
        <v>151</v>
      </c>
      <c r="B23" s="90">
        <f>'PF Rent_No Growth'!N15/'PF Rent_No Growth'!N5</f>
        <v>7.3965298920712935E-2</v>
      </c>
      <c r="C23" s="90">
        <f>'PF Rent_No Growth'!O15/'PF Rent_No Growth'!O5</f>
        <v>2.8694947625856806E-2</v>
      </c>
      <c r="D23" s="90">
        <f>'PF Rent_No Growth'!P15/'PF Rent_No Growth'!P5</f>
        <v>-3.7495369239147383E-4</v>
      </c>
    </row>
    <row r="24" spans="1:4" x14ac:dyDescent="0.2">
      <c r="A24" s="80" t="s">
        <v>152</v>
      </c>
      <c r="B24" s="92">
        <f>'PF Rent_No Growth'!N19/'PF Rent_No Growth'!N5</f>
        <v>7.3965298920712935E-2</v>
      </c>
      <c r="C24" s="92">
        <f>'PF Rent_No Growth'!O19/'PF Rent_No Growth'!O5</f>
        <v>2.8694947625856806E-2</v>
      </c>
      <c r="D24" s="92">
        <f>'PF Rent_No Growth'!P19/'PF Rent_No Growth'!P5</f>
        <v>-3.7495369239147383E-4</v>
      </c>
    </row>
    <row r="25" spans="1:4" x14ac:dyDescent="0.2">
      <c r="A25" s="81" t="s">
        <v>153</v>
      </c>
      <c r="B25" s="94">
        <f>'PF Rent_No Growth'!N5/'PF Rent_No Growth'!F16</f>
        <v>3.7791469197582095</v>
      </c>
      <c r="C25" s="94">
        <f>'PF Rent_No Growth'!O5/'PF Rent_No Growth'!G16</f>
        <v>3.4550388726043693</v>
      </c>
      <c r="D25" s="94">
        <f>'PF Rent_No Growth'!P5/'PF Rent_No Growth'!H16</f>
        <v>5.2270435528665473</v>
      </c>
    </row>
    <row r="26" spans="1:4" x14ac:dyDescent="0.2">
      <c r="A26" s="80" t="s">
        <v>154</v>
      </c>
      <c r="B26" s="92">
        <f>'PF Rent_No Growth'!N19/'PF Rent_No Growth'!F16</f>
        <v>0.27952573158520755</v>
      </c>
      <c r="C26" s="92">
        <f>'PF Rent_No Growth'!O19/'PF Rent_No Growth'!G16</f>
        <v>9.914215949468172E-2</v>
      </c>
      <c r="D26" s="92">
        <f>'PF Rent_No Growth'!P19/'PF Rent_No Growth'!H16</f>
        <v>-1.9598992804383598E-3</v>
      </c>
    </row>
    <row r="27" spans="1:4" x14ac:dyDescent="0.2">
      <c r="A27" s="81" t="s">
        <v>145</v>
      </c>
      <c r="B27" s="90">
        <f>'PF Rent_No Growth'!N19/'PF Rent_No Growth'!F30</f>
        <v>0.32930548377136992</v>
      </c>
      <c r="C27" s="90">
        <f>'PF Rent_No Growth'!O19/'PF Rent_No Growth'!G30</f>
        <v>0.11504100530566388</v>
      </c>
      <c r="D27" s="90">
        <f>'PF Rent_No Growth'!P19/'PF Rent_No Growth'!H30</f>
        <v>-2.4780048518269165E-3</v>
      </c>
    </row>
    <row r="28" spans="1:4" x14ac:dyDescent="0.2">
      <c r="A28" s="80"/>
      <c r="B28" s="80"/>
      <c r="C28" s="80"/>
      <c r="D28" s="80"/>
    </row>
    <row r="29" spans="1:4" x14ac:dyDescent="0.2">
      <c r="A29" s="84" t="s">
        <v>156</v>
      </c>
      <c r="B29" s="81"/>
      <c r="C29" s="81"/>
      <c r="D29" s="81"/>
    </row>
    <row r="30" spans="1:4" x14ac:dyDescent="0.2">
      <c r="A30" s="80" t="s">
        <v>149</v>
      </c>
      <c r="B30" s="95">
        <f>(365/('PF Rent Growth'!N6/'PF Rent Growth'!F9))+(365/('PF Rent Growth'!N5/'PF Rent Growth'!F8))-(365/('PF Rent Growth'!N6/'PF Rent Growth'!F20))</f>
        <v>80.300000000000011</v>
      </c>
      <c r="C30" s="95">
        <f>(365/('PF Rent Growth'!O6/'PF Rent Growth'!G9))+(365/('PF Rent Growth'!O5/'PF Rent Growth'!G8))-(365/('PF Rent Growth'!O6/'PF Rent Growth'!G20))</f>
        <v>76.823809523809544</v>
      </c>
      <c r="D30" s="95">
        <f>(365/('PF Rent Growth'!P6/'PF Rent Growth'!H9))+(365/('PF Rent Growth'!P5/'PF Rent Growth'!H8))-(365/('PF Rent Growth'!P6/'PF Rent Growth'!H20))</f>
        <v>76.82380952380953</v>
      </c>
    </row>
    <row r="31" spans="1:4" x14ac:dyDescent="0.2">
      <c r="A31" s="81" t="s">
        <v>150</v>
      </c>
      <c r="B31" s="90">
        <f>'PF Rent Growth'!N7/'PF Rent Growth'!N5</f>
        <v>0.8</v>
      </c>
      <c r="C31" s="90">
        <f>'PF Rent Growth'!O7/'PF Rent Growth'!O5</f>
        <v>0.79</v>
      </c>
      <c r="D31" s="90">
        <f>'PF Rent Growth'!P7/'PF Rent Growth'!P5</f>
        <v>0.79</v>
      </c>
    </row>
    <row r="32" spans="1:4" x14ac:dyDescent="0.2">
      <c r="A32" s="80" t="s">
        <v>151</v>
      </c>
      <c r="B32" s="92">
        <f>'PF Rent Growth'!N15/'PF Rent Growth'!N5</f>
        <v>0.12292002147074615</v>
      </c>
      <c r="C32" s="92">
        <f>'PF Rent Growth'!O15/'PF Rent Growth'!O5</f>
        <v>0.12656138855851179</v>
      </c>
      <c r="D32" s="92">
        <f>'PF Rent Growth'!P15/'PF Rent Growth'!P5</f>
        <v>0.14415267270465565</v>
      </c>
    </row>
    <row r="33" spans="1:4" x14ac:dyDescent="0.2">
      <c r="A33" s="81" t="s">
        <v>152</v>
      </c>
      <c r="B33" s="90">
        <f>'PF Rent Growth'!N19/'PF Rent Growth'!N5</f>
        <v>0.12292002147074615</v>
      </c>
      <c r="C33" s="90">
        <f>'PF Rent Growth'!O19/'PF Rent Growth'!O5</f>
        <v>0.12656138855851179</v>
      </c>
      <c r="D33" s="90">
        <f>'PF Rent Growth'!P19/'PF Rent Growth'!P5</f>
        <v>0.14415267270465565</v>
      </c>
    </row>
    <row r="34" spans="1:4" x14ac:dyDescent="0.2">
      <c r="A34" s="80" t="s">
        <v>153</v>
      </c>
      <c r="B34" s="91">
        <f>'PF Rent Growth'!N5/'PF Rent Growth'!F16</f>
        <v>4.7488105661586779</v>
      </c>
      <c r="C34" s="91">
        <f>'PF Rent Growth'!O5/'PF Rent Growth'!G16</f>
        <v>4.1598957135524266</v>
      </c>
      <c r="D34" s="91">
        <f>'PF Rent Growth'!P5/'PF Rent Growth'!H16</f>
        <v>3.4057336735174046</v>
      </c>
    </row>
    <row r="35" spans="1:4" x14ac:dyDescent="0.2">
      <c r="A35" s="81" t="s">
        <v>154</v>
      </c>
      <c r="B35" s="90">
        <f>'PF Rent Growth'!N19/'PF Rent Growth'!F16</f>
        <v>0.58372389675273095</v>
      </c>
      <c r="C35" s="90">
        <f>'PF Rent Growth'!O19/'PF Rent Growth'!G16</f>
        <v>0.52648217776579631</v>
      </c>
      <c r="D35" s="90">
        <f>'PF Rent Growth'!P19/'PF Rent Growth'!H16</f>
        <v>0.49094561155777894</v>
      </c>
    </row>
    <row r="36" spans="1:4" x14ac:dyDescent="0.2">
      <c r="A36" s="80" t="s">
        <v>145</v>
      </c>
      <c r="B36" s="92">
        <f>'PF Rent Growth'!N19/'PF Rent Growth'!F30</f>
        <v>0.72060445962902631</v>
      </c>
      <c r="C36" s="92">
        <f>'PF Rent Growth'!O19/'PF Rent Growth'!G30</f>
        <v>0.63157334834952128</v>
      </c>
      <c r="D36" s="92">
        <f>'PF Rent Growth'!P19/'PF Rent Growth'!H30</f>
        <v>0.56837496136149945</v>
      </c>
    </row>
    <row r="37" spans="1:4" x14ac:dyDescent="0.2">
      <c r="A37" s="81"/>
      <c r="B37" s="81"/>
      <c r="C37" s="81"/>
      <c r="D37" s="81"/>
    </row>
    <row r="38" spans="1:4" x14ac:dyDescent="0.2">
      <c r="A38" s="85" t="s">
        <v>157</v>
      </c>
      <c r="B38" s="80"/>
      <c r="C38" s="80"/>
      <c r="D38" s="80"/>
    </row>
    <row r="39" spans="1:4" x14ac:dyDescent="0.2">
      <c r="A39" s="81" t="s">
        <v>149</v>
      </c>
      <c r="B39" s="93">
        <f>(365/('PF Purchase_No Growth'!N6/'PF Purchase_No Growth'!F9))+(365/('PF Purchase_No Growth'!N5/'PF Purchase_No Growth'!F8))-(365/('PF Purchase_No Growth'!N6/'PF Purchase_No Growth'!F20))</f>
        <v>80.300000000000011</v>
      </c>
      <c r="C39" s="93">
        <f>(365/('PF Purchase_No Growth'!O6/'PF Purchase_No Growth'!G9))+(365/('PF Purchase_No Growth'!O5/'PF Purchase_No Growth'!G8))-(365/('PF Purchase_No Growth'!O6/'PF Purchase_No Growth'!G20))</f>
        <v>76.823809523809544</v>
      </c>
      <c r="D39" s="93">
        <f>(365/('PF Purchase_No Growth'!P6/'PF Purchase_No Growth'!H9))+(365/('PF Purchase_No Growth'!P5/'PF Purchase_No Growth'!H8))-(365/('PF Purchase_No Growth'!P6/'PF Purchase_No Growth'!H20))</f>
        <v>76.823809523809544</v>
      </c>
    </row>
    <row r="40" spans="1:4" x14ac:dyDescent="0.2">
      <c r="A40" s="80" t="s">
        <v>150</v>
      </c>
      <c r="B40" s="92">
        <f>'PF Purchase_No Growth'!N7/'PF Purchase_No Growth'!N5</f>
        <v>0.8</v>
      </c>
      <c r="C40" s="92">
        <f>'PF Purchase_No Growth'!O7/'PF Purchase_No Growth'!O5</f>
        <v>0.79</v>
      </c>
      <c r="D40" s="92">
        <f>'PF Purchase_No Growth'!P7/'PF Purchase_No Growth'!P5</f>
        <v>0.79</v>
      </c>
    </row>
    <row r="41" spans="1:4" x14ac:dyDescent="0.2">
      <c r="A41" s="81" t="s">
        <v>151</v>
      </c>
      <c r="B41" s="90">
        <f>'PF Purchase_No Growth'!N14/'PF Purchase_No Growth'!N5</f>
        <v>9.5168548632772604E-2</v>
      </c>
      <c r="C41" s="90">
        <f>'PF Purchase_No Growth'!O14/'PF Purchase_No Growth'!O5</f>
        <v>4.9532624067018895E-2</v>
      </c>
      <c r="D41" s="90">
        <f>'PF Purchase_No Growth'!P14/'PF Purchase_No Growth'!P5</f>
        <v>2.010954179214075E-2</v>
      </c>
    </row>
    <row r="42" spans="1:4" x14ac:dyDescent="0.2">
      <c r="A42" s="80" t="s">
        <v>152</v>
      </c>
      <c r="B42" s="92">
        <f>'PF Purchase_No Growth'!N18/'PF Purchase_No Growth'!N5</f>
        <v>6.778846200383791E-2</v>
      </c>
      <c r="C42" s="92">
        <f>'PF Purchase_No Growth'!O18/'PF Purchase_No Growth'!O5</f>
        <v>2.3438371537733323E-2</v>
      </c>
      <c r="D42" s="92">
        <f>'PF Purchase_No Growth'!P18/'PF Purchase_No Growth'!P5</f>
        <v>-4.7023855248528503E-3</v>
      </c>
    </row>
    <row r="43" spans="1:4" x14ac:dyDescent="0.2">
      <c r="A43" s="81" t="s">
        <v>153</v>
      </c>
      <c r="B43" s="94">
        <f>'PF Purchase_No Growth'!N5/'PF Purchase_No Growth'!F16</f>
        <v>1.2666660409997301</v>
      </c>
      <c r="C43" s="94">
        <f>'PF Purchase_No Growth'!O5/'PF Purchase_No Growth'!G16</f>
        <v>1.277299984092426</v>
      </c>
      <c r="D43" s="94">
        <f>'PF Purchase_No Growth'!P5/'PF Purchase_No Growth'!H16</f>
        <v>1.3369554745127314</v>
      </c>
    </row>
    <row r="44" spans="1:4" x14ac:dyDescent="0.2">
      <c r="A44" s="80" t="s">
        <v>154</v>
      </c>
      <c r="B44" s="92">
        <f>'PF Purchase_No Growth'!N18/'PF Purchase_No Growth'!F16</f>
        <v>8.5865342791862004E-2</v>
      </c>
      <c r="C44" s="92">
        <f>'PF Purchase_No Growth'!O18/'PF Purchase_No Growth'!G16</f>
        <v>2.9937831592299142E-2</v>
      </c>
      <c r="D44" s="92">
        <f>'PF Purchase_No Growth'!P18/'PF Purchase_No Growth'!H16</f>
        <v>-6.2868800707214416E-3</v>
      </c>
    </row>
    <row r="45" spans="1:4" x14ac:dyDescent="0.2">
      <c r="A45" s="81" t="s">
        <v>145</v>
      </c>
      <c r="B45" s="90">
        <f>'PF Purchase_No Growth'!N18/'PF Purchase_No Growth'!F30</f>
        <v>0.31033963205393245</v>
      </c>
      <c r="C45" s="90">
        <f>'PF Purchase_No Growth'!O18/'PF Purchase_No Growth'!G30</f>
        <v>9.8436947458872562E-2</v>
      </c>
      <c r="D45" s="90">
        <f>'PF Purchase_No Growth'!P18/'PF Purchase_No Growth'!H30</f>
        <v>-2.05015464038855E-2</v>
      </c>
    </row>
    <row r="46" spans="1:4" x14ac:dyDescent="0.2">
      <c r="A46" s="80"/>
      <c r="B46" s="80"/>
      <c r="C46" s="80"/>
      <c r="D46" s="80"/>
    </row>
    <row r="47" spans="1:4" x14ac:dyDescent="0.2">
      <c r="A47" s="84" t="s">
        <v>158</v>
      </c>
      <c r="B47" s="81"/>
      <c r="C47" s="81"/>
      <c r="D47" s="81"/>
    </row>
    <row r="48" spans="1:4" x14ac:dyDescent="0.2">
      <c r="A48" s="80" t="s">
        <v>149</v>
      </c>
      <c r="B48" s="91">
        <f>(365/('PF Purchase Growth'!N6/'PF Purchase Growth'!F9))+(365/('PF Purchase Growth'!N5/'PF Purchase Growth'!F8))-(365/('PF Purchase Growth'!N6/'PF Purchase Growth'!F20))</f>
        <v>80.300000000000011</v>
      </c>
      <c r="C48" s="91">
        <f>(365/('PF Purchase Growth'!O6/'PF Purchase Growth'!G9))+(365/('PF Purchase Growth'!O5/'PF Purchase Growth'!G8))-(365/('PF Purchase Growth'!O6/'PF Purchase Growth'!G20))</f>
        <v>76.823809523809544</v>
      </c>
      <c r="D48" s="91">
        <f>(365/('PF Purchase Growth'!P6/'PF Purchase Growth'!H9))+(365/('PF Purchase Growth'!P5/'PF Purchase Growth'!H8))-(365/('PF Purchase Growth'!P6/'PF Purchase Growth'!H20))</f>
        <v>76.82380952380953</v>
      </c>
    </row>
    <row r="49" spans="1:4" x14ac:dyDescent="0.2">
      <c r="A49" s="81" t="s">
        <v>150</v>
      </c>
      <c r="B49" s="89">
        <f>'PF Purchase Growth'!N7/'PF Purchase Growth'!N5</f>
        <v>0.8</v>
      </c>
      <c r="C49" s="89">
        <f>'PF Purchase Growth'!O7/'PF Purchase Growth'!O5</f>
        <v>0.79</v>
      </c>
      <c r="D49" s="89">
        <f>'PF Purchase Growth'!P7/'PF Purchase Growth'!P5</f>
        <v>0.79</v>
      </c>
    </row>
    <row r="50" spans="1:4" x14ac:dyDescent="0.2">
      <c r="A50" s="80" t="s">
        <v>151</v>
      </c>
      <c r="B50" s="87">
        <f>'PF Purchase Growth'!N14/'PF Purchase Growth'!N5</f>
        <v>0.1416868517921239</v>
      </c>
      <c r="C50" s="87">
        <f>'PF Purchase Growth'!O14/'PF Purchase Growth'!O5</f>
        <v>0.14288037144666635</v>
      </c>
      <c r="D50" s="87">
        <f>'PF Purchase Growth'!P14/'PF Purchase Growth'!P5</f>
        <v>0.15834309260739873</v>
      </c>
    </row>
    <row r="51" spans="1:4" x14ac:dyDescent="0.2">
      <c r="A51" s="81" t="s">
        <v>152</v>
      </c>
      <c r="B51" s="89">
        <f>'PF Purchase Growth'!N18/'PF Purchase Growth'!N5</f>
        <v>0.11745295147364639</v>
      </c>
      <c r="C51" s="89">
        <f>'PF Purchase Growth'!O18/'PF Purchase Growth'!O5</f>
        <v>0.12244471194753809</v>
      </c>
      <c r="D51" s="89">
        <f>'PF Purchase Growth'!P18/'PF Purchase Growth'!P5</f>
        <v>0.14115488958378292</v>
      </c>
    </row>
    <row r="52" spans="1:4" x14ac:dyDescent="0.2">
      <c r="A52" s="80" t="s">
        <v>153</v>
      </c>
      <c r="B52" s="91">
        <f>'PF Purchase Growth'!N5/'PF Purchase Growth'!F16</f>
        <v>1.3143928449306614</v>
      </c>
      <c r="C52" s="91">
        <f>'PF Purchase Growth'!O5/'PF Purchase Growth'!G16</f>
        <v>1.4258210397625075</v>
      </c>
      <c r="D52" s="91">
        <f>'PF Purchase Growth'!P5/'PF Purchase Growth'!H16</f>
        <v>1.4722344426966207</v>
      </c>
    </row>
    <row r="53" spans="1:4" x14ac:dyDescent="0.2">
      <c r="A53" s="81" t="s">
        <v>154</v>
      </c>
      <c r="B53" s="89">
        <f>'PF Purchase Growth'!N18/'PF Purchase Growth'!F16</f>
        <v>0.15437931903294902</v>
      </c>
      <c r="C53" s="89">
        <f>'PF Purchase Growth'!O18/'PF Purchase Growth'!G16</f>
        <v>0.17458424650245946</v>
      </c>
      <c r="D53" s="89">
        <f>'PF Purchase Growth'!P18/'PF Purchase Growth'!H16</f>
        <v>0.20781309020028368</v>
      </c>
    </row>
    <row r="54" spans="1:4" x14ac:dyDescent="0.2">
      <c r="A54" s="80" t="s">
        <v>145</v>
      </c>
      <c r="B54" s="92">
        <f>'PF Purchase Growth'!N18/'PF Purchase Growth'!F30</f>
        <v>0.46833676715927147</v>
      </c>
      <c r="C54" s="92">
        <f>'PF Purchase Growth'!O18/'PF Purchase Growth'!G30</f>
        <v>0.46028326381488921</v>
      </c>
      <c r="D54" s="92">
        <f>'PF Purchase Growth'!P18/'PF Purchase Growth'!H30</f>
        <v>0.45875084960355872</v>
      </c>
    </row>
    <row r="55" spans="1:4" x14ac:dyDescent="0.2">
      <c r="A55" s="81"/>
      <c r="B55" s="81"/>
      <c r="C55" s="81"/>
      <c r="D55" s="81"/>
    </row>
    <row r="56" spans="1:4" x14ac:dyDescent="0.2">
      <c r="A56" s="85" t="s">
        <v>159</v>
      </c>
      <c r="B56" s="80"/>
      <c r="C56" s="80"/>
      <c r="D56" s="80"/>
    </row>
    <row r="57" spans="1:4" x14ac:dyDescent="0.2">
      <c r="A57" s="81" t="s">
        <v>149</v>
      </c>
      <c r="B57" s="81"/>
      <c r="C57" s="81"/>
      <c r="D57" s="81"/>
    </row>
    <row r="58" spans="1:4" x14ac:dyDescent="0.2">
      <c r="A58" s="80" t="s">
        <v>150</v>
      </c>
      <c r="B58" s="80"/>
      <c r="C58" s="80"/>
      <c r="D58" s="80"/>
    </row>
    <row r="59" spans="1:4" x14ac:dyDescent="0.2">
      <c r="A59" s="81" t="s">
        <v>151</v>
      </c>
      <c r="B59" s="90">
        <f>'PF Purchase_CCorp'!N15/'PF Purchase_CCorp'!N5</f>
        <v>5.6011446625789267E-2</v>
      </c>
      <c r="C59" s="90">
        <f>'PF Purchase_CCorp'!O15/'PF Purchase_CCorp'!O5</f>
        <v>6.8380019128114478E-2</v>
      </c>
      <c r="D59" s="90">
        <f>'PF Purchase_CCorp'!P15/'PF Purchase_CCorp'!P5</f>
        <v>9.3560177547788406E-2</v>
      </c>
    </row>
    <row r="60" spans="1:4" x14ac:dyDescent="0.2">
      <c r="A60" s="80" t="s">
        <v>152</v>
      </c>
      <c r="B60" s="92">
        <f>'PF Purchase_CCorp'!N19/'PF Purchase_CCorp'!N5</f>
        <v>2.3833159730483815E-2</v>
      </c>
      <c r="C60" s="92">
        <f>'PF Purchase_CCorp'!O19/'PF Purchase_CCorp'!O5</f>
        <v>3.5958269721739662E-2</v>
      </c>
      <c r="D60" s="92">
        <f>'PF Purchase_CCorp'!P19/'PF Purchase_CCorp'!P5</f>
        <v>5.7278980893129446E-2</v>
      </c>
    </row>
    <row r="61" spans="1:4" x14ac:dyDescent="0.2">
      <c r="A61" s="81" t="s">
        <v>153</v>
      </c>
      <c r="B61" s="94">
        <f>'PF Purchase_CCorp'!N5/'PF Purchase_CCorp'!F16</f>
        <v>1.4988284597943591</v>
      </c>
      <c r="C61" s="94">
        <f>'PF Purchase_CCorp'!O5/'PF Purchase_CCorp'!G16</f>
        <v>1.6448567280127859</v>
      </c>
      <c r="D61" s="94">
        <f>'PF Purchase_CCorp'!P5/'PF Purchase_CCorp'!H16</f>
        <v>1.7273127566369109</v>
      </c>
    </row>
    <row r="62" spans="1:4" x14ac:dyDescent="0.2">
      <c r="A62" s="80" t="s">
        <v>154</v>
      </c>
      <c r="B62" s="92">
        <f>'PF Purchase_CCorp'!N19/'PF Purchase_CCorp'!F16</f>
        <v>3.5721818090873998E-2</v>
      </c>
      <c r="C62" s="92">
        <f>'PF Purchase_CCorp'!O19/'PF Purchase_CCorp'!G16</f>
        <v>5.9146201879501932E-2</v>
      </c>
      <c r="D62" s="92">
        <f>'PF Purchase_CCorp'!P19/'PF Purchase_CCorp'!H16</f>
        <v>9.8938714383864382E-2</v>
      </c>
    </row>
    <row r="63" spans="1:4" x14ac:dyDescent="0.2">
      <c r="A63" s="82" t="s">
        <v>145</v>
      </c>
      <c r="B63" s="96">
        <f>'PF Purchase_CCorp'!N19/'PF Purchase_CCorp'!F30</f>
        <v>0.1516416951778102</v>
      </c>
      <c r="C63" s="96">
        <f>'PF Purchase_CCorp'!O19/'PF Purchase_CCorp'!G30</f>
        <v>0.20830190169193022</v>
      </c>
      <c r="D63" s="96">
        <f>'PF Purchase_CCorp'!P19/'PF Purchase_CCorp'!H30</f>
        <v>0.27619193365683509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5B69-C315-4742-9E4C-57C9D13B6DB2}">
  <dimension ref="A1:AA66"/>
  <sheetViews>
    <sheetView zoomScale="94" workbookViewId="0">
      <selection activeCell="L54" sqref="L54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1" width="3.42578125" customWidth="1"/>
    <col min="12" max="12" width="39.42578125" customWidth="1"/>
    <col min="13" max="16" width="12.28515625" customWidth="1"/>
    <col min="17" max="17" width="0.2851562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0.15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v>143339</v>
      </c>
      <c r="W3">
        <v>161999</v>
      </c>
      <c r="X3">
        <v>183141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/>
      <c r="M5" s="8">
        <v>1776168</v>
      </c>
      <c r="N5" s="19">
        <f>V5</f>
        <v>2042580.75</v>
      </c>
      <c r="O5" s="19">
        <f t="shared" ref="O5:P5" si="0">W5</f>
        <v>2348985.5</v>
      </c>
      <c r="P5" s="19">
        <f t="shared" si="0"/>
        <v>2701329.75</v>
      </c>
      <c r="U5" s="50" t="s">
        <v>97</v>
      </c>
      <c r="V5">
        <f>V3*V4</f>
        <v>2042580.75</v>
      </c>
      <c r="W5">
        <f>W3*W4</f>
        <v>2348985.5</v>
      </c>
      <c r="X5">
        <f>X3*X4</f>
        <v>2701329.75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408516.15</v>
      </c>
      <c r="O6" s="9">
        <f t="shared" ref="O6:P6" si="1">O5*W7</f>
        <v>493286.95499999996</v>
      </c>
      <c r="P6" s="9">
        <f t="shared" si="1"/>
        <v>567279.24749999994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E7+N39</f>
        <v>222384.93198271701</v>
      </c>
      <c r="G7" s="34">
        <f t="shared" ref="G7:H7" si="2">F7+O39</f>
        <v>338066.61538770626</v>
      </c>
      <c r="H7" s="34">
        <f t="shared" si="2"/>
        <v>645289.96652158885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1634064.6</v>
      </c>
      <c r="O7" s="19">
        <f t="shared" ref="O7:P7" si="3">O5-O6</f>
        <v>1855698.5449999999</v>
      </c>
      <c r="P7" s="19">
        <f t="shared" si="3"/>
        <v>2134050.5024999999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40851.614999999998</v>
      </c>
      <c r="G8" s="34">
        <f t="shared" ref="G8:H8" si="4">O5*$V$23</f>
        <v>46979.71</v>
      </c>
      <c r="H8" s="34">
        <f t="shared" si="4"/>
        <v>54026.595000000001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163406.46</v>
      </c>
      <c r="G9" s="34">
        <f t="shared" ref="G9:H9" si="5">O5*$V$24</f>
        <v>187918.84</v>
      </c>
      <c r="H9" s="34">
        <f t="shared" si="5"/>
        <v>216106.38</v>
      </c>
      <c r="I9" s="18"/>
      <c r="J9" s="1"/>
      <c r="K9" s="1"/>
      <c r="L9" s="1" t="s">
        <v>45</v>
      </c>
      <c r="M9" s="13">
        <v>439512</v>
      </c>
      <c r="N9" s="12">
        <f>V9*N5</f>
        <v>510645.1875</v>
      </c>
      <c r="O9" s="12">
        <f t="shared" ref="O9:P9" si="6">W9*O5</f>
        <v>610736.23</v>
      </c>
      <c r="P9" s="12">
        <f t="shared" si="6"/>
        <v>729359.03250000009</v>
      </c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426643.00698271696</v>
      </c>
      <c r="G10" s="21">
        <f t="shared" ref="G10:H10" si="7">SUM(G7:G9)</f>
        <v>572965.16538770625</v>
      </c>
      <c r="H10" s="21">
        <f t="shared" si="7"/>
        <v>915422.94152158883</v>
      </c>
      <c r="I10" s="18"/>
      <c r="J10" s="1"/>
      <c r="K10" s="1"/>
      <c r="L10" s="18" t="s">
        <v>71</v>
      </c>
      <c r="M10" s="13">
        <v>82514</v>
      </c>
      <c r="N10" s="12">
        <f>V10*N5</f>
        <v>102129.03750000001</v>
      </c>
      <c r="O10" s="12">
        <f t="shared" ref="O10:P10" si="8">W10*O5</f>
        <v>117449.27500000001</v>
      </c>
      <c r="P10" s="12">
        <f t="shared" si="8"/>
        <v>135066.48750000002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73</v>
      </c>
      <c r="M11" s="37">
        <v>572776</v>
      </c>
      <c r="N11" s="12">
        <f>M11+V11</f>
        <v>622776</v>
      </c>
      <c r="O11" s="12">
        <f t="shared" ref="O11:P11" si="9">N11+W11</f>
        <v>672776</v>
      </c>
      <c r="P11" s="12">
        <f t="shared" si="9"/>
        <v>722776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E12-N31</f>
        <v>470185</v>
      </c>
      <c r="G12" s="34">
        <f t="shared" ref="G12:H12" si="10">F12-O31</f>
        <v>570185</v>
      </c>
      <c r="H12" s="34">
        <f t="shared" si="10"/>
        <v>570185</v>
      </c>
      <c r="I12" s="18"/>
      <c r="J12" s="1"/>
      <c r="K12" s="1"/>
      <c r="L12" s="1" t="s">
        <v>12</v>
      </c>
      <c r="M12" s="13">
        <v>87221</v>
      </c>
      <c r="N12" s="12">
        <f>V14</f>
        <v>95221</v>
      </c>
      <c r="O12" s="12">
        <f t="shared" ref="O12:P12" si="11">W14</f>
        <v>105221</v>
      </c>
      <c r="P12" s="12">
        <f t="shared" si="11"/>
        <v>105221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E13+N12</f>
        <v>302663</v>
      </c>
      <c r="G13" s="34">
        <f t="shared" ref="G13:H13" si="12">F13+O12</f>
        <v>407884</v>
      </c>
      <c r="H13" s="34">
        <f t="shared" si="12"/>
        <v>513105</v>
      </c>
      <c r="I13" s="18"/>
      <c r="J13" s="1"/>
      <c r="K13" s="1"/>
      <c r="L13" s="1" t="s">
        <v>14</v>
      </c>
      <c r="M13" s="14">
        <f>SUM(M9:M12)</f>
        <v>1182023</v>
      </c>
      <c r="N13" s="12">
        <f>SUM(N9:N12)</f>
        <v>1330771.2250000001</v>
      </c>
      <c r="O13" s="12">
        <f t="shared" ref="O13:P13" si="13">SUM(O9:O12)</f>
        <v>1506182.5049999999</v>
      </c>
      <c r="P13" s="12">
        <f t="shared" si="13"/>
        <v>1692422.52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167522</v>
      </c>
      <c r="G14" s="21">
        <f t="shared" ref="G14:H14" si="14">G12-G13</f>
        <v>162301</v>
      </c>
      <c r="H14" s="21">
        <f t="shared" si="14"/>
        <v>57080</v>
      </c>
      <c r="I14" s="18"/>
      <c r="J14" s="1"/>
      <c r="K14" s="3" t="s">
        <v>16</v>
      </c>
      <c r="L14" s="1"/>
      <c r="M14" s="15">
        <f>M7-M13</f>
        <v>236548</v>
      </c>
      <c r="N14" s="21">
        <f>N7-N13</f>
        <v>303293.375</v>
      </c>
      <c r="O14" s="21">
        <f t="shared" ref="O14:Q14" si="15">O7-O13</f>
        <v>349516.04000000004</v>
      </c>
      <c r="P14" s="21">
        <f t="shared" si="15"/>
        <v>441627.98249999993</v>
      </c>
      <c r="Q14" s="21">
        <f t="shared" si="15"/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 t="s">
        <v>18</v>
      </c>
      <c r="M15" s="14">
        <v>7535</v>
      </c>
      <c r="N15" s="61">
        <f>V50</f>
        <v>5541.5980172829759</v>
      </c>
      <c r="O15" s="61">
        <f t="shared" ref="O15:Q15" si="16">W50</f>
        <v>3454.071595010792</v>
      </c>
      <c r="P15" s="61">
        <f t="shared" si="16"/>
        <v>1267.9763661173056</v>
      </c>
      <c r="Q15" s="61">
        <f t="shared" si="16"/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594165.00698271696</v>
      </c>
      <c r="G16" s="21">
        <f t="shared" ref="G16:H16" si="17">G10+G14</f>
        <v>735266.16538770625</v>
      </c>
      <c r="H16" s="21">
        <f t="shared" si="17"/>
        <v>972502.94152158883</v>
      </c>
      <c r="I16" s="18"/>
      <c r="J16" s="1"/>
      <c r="K16" s="3" t="s">
        <v>19</v>
      </c>
      <c r="L16" s="1"/>
      <c r="M16" s="15">
        <f>M14-M15</f>
        <v>229013</v>
      </c>
      <c r="N16" s="21">
        <f>N14-N15</f>
        <v>297751.77698271704</v>
      </c>
      <c r="O16" s="21">
        <f t="shared" ref="O16:P16" si="18">O14-O15</f>
        <v>346061.96840498922</v>
      </c>
      <c r="P16" s="21">
        <f t="shared" si="18"/>
        <v>440360.00613388262</v>
      </c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1"/>
      <c r="L17" s="1" t="s">
        <v>21</v>
      </c>
      <c r="M17" s="14">
        <v>0</v>
      </c>
      <c r="N17" s="16">
        <v>0</v>
      </c>
      <c r="O17" s="16">
        <v>0</v>
      </c>
      <c r="P17" s="16">
        <v>0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3" t="s">
        <v>22</v>
      </c>
      <c r="L18" s="1"/>
      <c r="M18" s="15">
        <f>M16-M17</f>
        <v>229013</v>
      </c>
      <c r="N18" s="21">
        <f>N16-N17</f>
        <v>297751.77698271704</v>
      </c>
      <c r="O18" s="21">
        <f t="shared" ref="O18:Q18" si="19">O16-O17</f>
        <v>346061.96840498922</v>
      </c>
      <c r="P18" s="21">
        <f t="shared" si="19"/>
        <v>440360.00613388262</v>
      </c>
      <c r="Q18" s="21">
        <f t="shared" si="19"/>
        <v>0</v>
      </c>
    </row>
    <row r="19" spans="1:24" x14ac:dyDescent="0.2">
      <c r="B19" s="3" t="s">
        <v>44</v>
      </c>
      <c r="C19" s="1"/>
      <c r="D19" s="4"/>
      <c r="E19" s="4"/>
      <c r="F19" s="11"/>
      <c r="G19" s="11"/>
      <c r="H19" s="11"/>
      <c r="I19" s="18"/>
      <c r="J19" s="3" t="s">
        <v>24</v>
      </c>
      <c r="K19" s="1"/>
      <c r="L19" s="1"/>
      <c r="M19" s="4"/>
      <c r="N19" s="11"/>
      <c r="O19" s="11"/>
      <c r="P19" s="11"/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81703.23</v>
      </c>
      <c r="G20" s="34">
        <f t="shared" ref="G20:H20" si="20">O5*$V$31</f>
        <v>93959.42</v>
      </c>
      <c r="H20" s="34">
        <f t="shared" si="20"/>
        <v>108053.19</v>
      </c>
      <c r="I20" s="18"/>
      <c r="J20" s="3"/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21">F21</f>
        <v>0</v>
      </c>
      <c r="H21" s="34">
        <f t="shared" si="21"/>
        <v>0</v>
      </c>
      <c r="I21" s="18"/>
      <c r="J21" s="1"/>
      <c r="K21" s="3" t="s">
        <v>56</v>
      </c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>
        <f>V48</f>
        <v>117362</v>
      </c>
      <c r="G22" s="34">
        <f>W48+1993</f>
        <v>75144.598017282973</v>
      </c>
      <c r="H22" s="34">
        <f>X48+6074</f>
        <v>32927.669612293765</v>
      </c>
      <c r="I22" s="18"/>
      <c r="J22" s="1"/>
      <c r="K22" s="1" t="s">
        <v>22</v>
      </c>
      <c r="L22" s="1"/>
      <c r="M22" s="43">
        <f>M18</f>
        <v>229013</v>
      </c>
      <c r="N22" s="12">
        <f>N18</f>
        <v>297751.77698271704</v>
      </c>
      <c r="O22" s="12">
        <f t="shared" ref="O22:P22" si="22">O18</f>
        <v>346061.96840498922</v>
      </c>
      <c r="P22" s="12">
        <f t="shared" si="22"/>
        <v>440360.00613388262</v>
      </c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23">SUM(F20:F22)</f>
        <v>199065.22999999998</v>
      </c>
      <c r="G23" s="34">
        <f t="shared" si="23"/>
        <v>169104.01801728297</v>
      </c>
      <c r="H23" s="34">
        <f t="shared" si="23"/>
        <v>140980.85961229377</v>
      </c>
      <c r="I23" s="18"/>
      <c r="J23" s="1"/>
      <c r="K23" s="1" t="s">
        <v>51</v>
      </c>
      <c r="L23" s="1"/>
      <c r="M23" s="43">
        <f>M12</f>
        <v>87221</v>
      </c>
      <c r="N23" s="12">
        <f>N12</f>
        <v>95221</v>
      </c>
      <c r="O23" s="12">
        <f t="shared" ref="O23:P23" si="24">O12</f>
        <v>105221</v>
      </c>
      <c r="P23" s="12">
        <f t="shared" si="24"/>
        <v>105221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12">
        <v>0</v>
      </c>
      <c r="G24" s="12">
        <v>0</v>
      </c>
      <c r="H24" s="12">
        <v>0</v>
      </c>
      <c r="I24" s="18"/>
      <c r="J24" s="1"/>
      <c r="K24" s="1" t="s">
        <v>28</v>
      </c>
      <c r="L24" s="1"/>
      <c r="M24" s="44"/>
      <c r="N24" s="29"/>
      <c r="O24" s="29"/>
      <c r="P24" s="29"/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:H25" si="25">F23+F24</f>
        <v>199065.22999999998</v>
      </c>
      <c r="G25" s="15">
        <f t="shared" si="25"/>
        <v>169104.01801728297</v>
      </c>
      <c r="H25" s="15">
        <f t="shared" si="25"/>
        <v>140980.85961229377</v>
      </c>
      <c r="I25" s="18"/>
      <c r="J25" s="1"/>
      <c r="K25" s="1"/>
      <c r="L25" s="1" t="s">
        <v>31</v>
      </c>
      <c r="M25" s="13">
        <f t="shared" ref="M25:M26" si="26">D8-E8</f>
        <v>-3150</v>
      </c>
      <c r="N25" s="12">
        <f>-(F8-E8)</f>
        <v>-5326.614999999998</v>
      </c>
      <c r="O25" s="12">
        <f t="shared" ref="O25:P25" si="27">-(G8-F8)</f>
        <v>-6128.0950000000012</v>
      </c>
      <c r="P25" s="12">
        <f t="shared" si="27"/>
        <v>-7046.885000000002</v>
      </c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29</v>
      </c>
      <c r="M26" s="13">
        <f t="shared" si="26"/>
        <v>-12687</v>
      </c>
      <c r="N26" s="12">
        <f>-(F9-E9)</f>
        <v>-19469.459999999992</v>
      </c>
      <c r="O26" s="12">
        <f t="shared" ref="O26:P26" si="28">-(G9-F9)</f>
        <v>-24512.380000000005</v>
      </c>
      <c r="P26" s="12">
        <f t="shared" si="28"/>
        <v>-28187.540000000008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32</v>
      </c>
      <c r="M27" s="17">
        <f t="shared" ref="M27:M28" si="29">E20-D20</f>
        <v>8661</v>
      </c>
      <c r="N27" s="20">
        <f>F20-E20</f>
        <v>28417.229999999996</v>
      </c>
      <c r="O27" s="20">
        <f t="shared" ref="O27:P27" si="30">G20-F20</f>
        <v>12256.190000000002</v>
      </c>
      <c r="P27" s="20">
        <f t="shared" si="30"/>
        <v>14093.770000000004</v>
      </c>
      <c r="W27">
        <v>2015</v>
      </c>
    </row>
    <row r="28" spans="1:24" ht="13.5" thickBot="1" x14ac:dyDescent="0.25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L28" s="1" t="s">
        <v>54</v>
      </c>
      <c r="M28" s="17">
        <f t="shared" si="29"/>
        <v>0</v>
      </c>
      <c r="N28" s="20">
        <f>M28</f>
        <v>0</v>
      </c>
      <c r="O28" s="20">
        <f t="shared" ref="O28:P28" si="31">N28</f>
        <v>0</v>
      </c>
      <c r="P28" s="20">
        <f t="shared" si="31"/>
        <v>0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E29+(N18+N37)</f>
        <v>245099.77698271704</v>
      </c>
      <c r="G29" s="33">
        <f t="shared" ref="G29:H29" si="32">F29+(O18+O37)</f>
        <v>416161.74538770627</v>
      </c>
      <c r="H29" s="33">
        <f t="shared" si="32"/>
        <v>681521.75152158889</v>
      </c>
      <c r="I29" s="18"/>
      <c r="J29" s="1"/>
      <c r="K29" s="1"/>
      <c r="L29" s="3" t="s">
        <v>56</v>
      </c>
      <c r="M29" s="15">
        <f>M22+M23+M25+M26+M27+M28</f>
        <v>309058</v>
      </c>
      <c r="N29" s="15">
        <f t="shared" ref="N29:P29" si="33">N22+N23+N25+N26+N27+N28</f>
        <v>396593.93198271701</v>
      </c>
      <c r="O29" s="15">
        <f t="shared" si="33"/>
        <v>432898.68340498925</v>
      </c>
      <c r="P29" s="15">
        <f t="shared" si="33"/>
        <v>524440.35113388253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34">SUM(F28:F29)</f>
        <v>395099.77698271704</v>
      </c>
      <c r="G30" s="33">
        <f t="shared" si="34"/>
        <v>566161.74538770621</v>
      </c>
      <c r="H30" s="33">
        <f t="shared" si="34"/>
        <v>831521.75152158889</v>
      </c>
      <c r="I30" s="18"/>
      <c r="J30" s="1"/>
      <c r="K30" s="3" t="s">
        <v>57</v>
      </c>
      <c r="L30" s="1"/>
      <c r="M30" s="45"/>
      <c r="N30" s="11"/>
      <c r="O30" s="11"/>
      <c r="P30" s="11"/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1" t="s">
        <v>35</v>
      </c>
      <c r="L31" s="1"/>
      <c r="M31" s="13">
        <f>D12-E12</f>
        <v>-74400</v>
      </c>
      <c r="N31" s="12">
        <v>0</v>
      </c>
      <c r="O31" s="12">
        <v>-100000</v>
      </c>
      <c r="P31" s="12">
        <v>0</v>
      </c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594165.00698271696</v>
      </c>
      <c r="G32" s="21">
        <f t="shared" ref="G32:H32" si="35">G25+G30</f>
        <v>735265.76340498915</v>
      </c>
      <c r="H32" s="21">
        <f t="shared" si="35"/>
        <v>972502.61113388266</v>
      </c>
      <c r="I32" s="18"/>
      <c r="J32" s="1"/>
      <c r="K32" s="1" t="s">
        <v>37</v>
      </c>
      <c r="L32" s="1"/>
      <c r="M32" s="46">
        <v>0</v>
      </c>
      <c r="N32" s="20" t="s">
        <v>3</v>
      </c>
      <c r="O32" s="20" t="s">
        <v>3</v>
      </c>
      <c r="P32" s="20" t="s">
        <v>3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/>
      <c r="L33" s="3" t="s">
        <v>57</v>
      </c>
      <c r="M33" s="47">
        <f>SUM(M31:M32)</f>
        <v>-74400</v>
      </c>
      <c r="N33" s="21">
        <f>SUM(N31:N32)</f>
        <v>0</v>
      </c>
      <c r="O33" s="21">
        <f t="shared" ref="O33:P33" si="36">SUM(O31:O32)</f>
        <v>-100000</v>
      </c>
      <c r="P33" s="21">
        <f t="shared" si="36"/>
        <v>0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3" t="s">
        <v>58</v>
      </c>
      <c r="L34" s="1"/>
      <c r="M34" s="45"/>
      <c r="N34" s="11"/>
      <c r="O34" s="11"/>
      <c r="P34" s="11"/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1"/>
      <c r="L35" s="1" t="s">
        <v>55</v>
      </c>
      <c r="M35" s="43">
        <f>E22-D22</f>
        <v>-42217</v>
      </c>
      <c r="N35" s="64">
        <f>M35</f>
        <v>-42217</v>
      </c>
      <c r="O35" s="64">
        <f t="shared" ref="O35:P35" si="37">N35</f>
        <v>-42217</v>
      </c>
      <c r="P35" s="64">
        <f t="shared" si="37"/>
        <v>-42217</v>
      </c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38</v>
      </c>
      <c r="M36" s="46">
        <v>0</v>
      </c>
      <c r="N36" s="20">
        <v>0</v>
      </c>
      <c r="O36" s="20">
        <v>0</v>
      </c>
      <c r="P36" s="20">
        <v>0</v>
      </c>
      <c r="U36" s="50" t="s">
        <v>117</v>
      </c>
      <c r="V36" s="58">
        <v>29940</v>
      </c>
      <c r="W36" s="58">
        <v>31437</v>
      </c>
      <c r="X36" s="58">
        <v>33009</v>
      </c>
    </row>
    <row r="37" spans="1:24" ht="13.5" thickBot="1" x14ac:dyDescent="0.25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 t="s">
        <v>3</v>
      </c>
      <c r="L37" s="1" t="s">
        <v>69</v>
      </c>
      <c r="M37" s="46">
        <v>-175000</v>
      </c>
      <c r="N37" s="20">
        <f>IF(N18&gt;175000,-175000,0)</f>
        <v>-175000</v>
      </c>
      <c r="O37" s="20">
        <f t="shared" ref="O37:P37" si="38">IF(O18&gt;175000,-175000,0)</f>
        <v>-175000</v>
      </c>
      <c r="P37" s="20">
        <f t="shared" si="38"/>
        <v>-175000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/>
      <c r="K38" s="1"/>
      <c r="L38" s="3" t="s">
        <v>58</v>
      </c>
      <c r="M38" s="15">
        <f>SUM(M35:M37)</f>
        <v>-217217</v>
      </c>
      <c r="N38" s="20">
        <f t="shared" ref="N38" si="39">SUM(N35:N37)</f>
        <v>-217217</v>
      </c>
      <c r="O38" s="20">
        <f t="shared" ref="O38" si="40">SUM(O35:O37)</f>
        <v>-217217</v>
      </c>
      <c r="P38" s="20">
        <f t="shared" ref="P38" si="41">SUM(P35:P37)</f>
        <v>-217217</v>
      </c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3" t="s">
        <v>39</v>
      </c>
      <c r="L39" s="1"/>
      <c r="M39" s="15">
        <f>M29+M33+M38</f>
        <v>17441</v>
      </c>
      <c r="N39" s="21">
        <f>N29+N33+N38</f>
        <v>179376.93198271701</v>
      </c>
      <c r="O39" s="21">
        <f t="shared" ref="O39:P39" si="42">O29+O33+O38</f>
        <v>115681.68340498925</v>
      </c>
      <c r="P39" s="21">
        <f t="shared" si="42"/>
        <v>307223.35113388253</v>
      </c>
      <c r="U39" s="97"/>
      <c r="V39" s="97"/>
      <c r="W39" s="97"/>
      <c r="X39" s="97"/>
    </row>
    <row r="40" spans="1:24" x14ac:dyDescent="0.2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1"/>
      <c r="L40" s="1"/>
      <c r="M40" s="1"/>
      <c r="N40" s="1"/>
      <c r="O40" s="1"/>
      <c r="P40" s="1"/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4" t="s">
        <v>3</v>
      </c>
      <c r="N41" s="4" t="s">
        <v>3</v>
      </c>
      <c r="O41" s="4" t="s">
        <v>3</v>
      </c>
      <c r="P41" s="4" t="s">
        <v>3</v>
      </c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1"/>
      <c r="N42" s="4"/>
      <c r="O42" s="4"/>
      <c r="P42" s="4"/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1"/>
      <c r="P43" s="4"/>
      <c r="Q43" s="4">
        <f>P18+P37</f>
        <v>265360.00613388262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32"/>
      <c r="N44" s="4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N45" s="4" t="s">
        <v>3</v>
      </c>
      <c r="O45" s="4" t="s">
        <v>3</v>
      </c>
      <c r="P45" s="4" t="s">
        <v>3</v>
      </c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K46" s="1"/>
      <c r="L46" s="1"/>
      <c r="M46" s="32"/>
      <c r="N46" s="4" t="s">
        <v>3</v>
      </c>
      <c r="O46" s="4" t="s">
        <v>3</v>
      </c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N47" s="4" t="s">
        <v>3</v>
      </c>
      <c r="O47" s="4" t="s">
        <v>3</v>
      </c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K48" s="1"/>
      <c r="L48" s="1"/>
      <c r="M48" s="32"/>
      <c r="N48" s="4" t="s">
        <v>3</v>
      </c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43">V48-V51</f>
        <v>73151.598017282973</v>
      </c>
      <c r="X48" s="41">
        <f t="shared" si="43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N49" s="4" t="s">
        <v>3</v>
      </c>
      <c r="O49" s="4" t="s">
        <v>3</v>
      </c>
      <c r="P49" s="4" t="s">
        <v>3</v>
      </c>
      <c r="Q49" s="1"/>
      <c r="T49" s="50" t="s">
        <v>120</v>
      </c>
      <c r="U49">
        <f>M15/E22</f>
        <v>4.7217992342350808E-2</v>
      </c>
      <c r="V49">
        <f>U49</f>
        <v>4.7217992342350808E-2</v>
      </c>
      <c r="W49">
        <f t="shared" ref="W49:X49" si="44">V49</f>
        <v>4.7217992342350808E-2</v>
      </c>
      <c r="X49">
        <f t="shared" si="44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K50" s="1"/>
      <c r="L50" s="1"/>
      <c r="M50" s="32"/>
      <c r="N50" s="4" t="s">
        <v>3</v>
      </c>
      <c r="O50" s="4" t="s">
        <v>3</v>
      </c>
      <c r="P50" s="4" t="s">
        <v>3</v>
      </c>
      <c r="T50" s="50" t="s">
        <v>121</v>
      </c>
      <c r="U50" s="41">
        <f>M15</f>
        <v>7535</v>
      </c>
      <c r="V50" s="63">
        <f>V48*V49</f>
        <v>5541.5980172829759</v>
      </c>
      <c r="W50" s="63">
        <f t="shared" ref="W50:X50" si="45">W48*W49</f>
        <v>3454.071595010792</v>
      </c>
      <c r="X50" s="63">
        <f t="shared" si="45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46">$U$52-W50</f>
        <v>46297.928404989209</v>
      </c>
      <c r="X51" s="63">
        <f t="shared" si="46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K52" s="1"/>
      <c r="L52" s="1"/>
      <c r="M52" s="32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47">V50+V51</f>
        <v>49752</v>
      </c>
      <c r="W52" s="41">
        <f t="shared" si="47"/>
        <v>49752</v>
      </c>
      <c r="X52" s="41">
        <f t="shared" si="47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K54" s="1"/>
      <c r="L54" s="1"/>
      <c r="M54" s="32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N56" s="4"/>
      <c r="O56" s="4"/>
      <c r="P56" s="4"/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K57" s="1"/>
      <c r="L57" s="1"/>
      <c r="M57" s="32"/>
      <c r="N57" s="4" t="s">
        <v>3</v>
      </c>
      <c r="O57" s="4" t="s">
        <v>3</v>
      </c>
      <c r="P57" s="4" t="s">
        <v>3</v>
      </c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K59" s="1"/>
      <c r="L59" s="1"/>
      <c r="M59" s="32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1"/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</row>
    <row r="63" spans="1:24" ht="20.25" x14ac:dyDescent="0.2">
      <c r="I63" s="18"/>
      <c r="K63" s="48" t="s">
        <v>82</v>
      </c>
    </row>
    <row r="66" spans="16:16" x14ac:dyDescent="0.2">
      <c r="P66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7C01-72D2-CC42-BA31-35438AF1FF32}">
  <dimension ref="A1:AA67"/>
  <sheetViews>
    <sheetView zoomScale="99" workbookViewId="0">
      <selection activeCell="K15" sqref="K15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0" width="3.42578125" customWidth="1"/>
    <col min="11" max="11" width="16" customWidth="1"/>
    <col min="12" max="12" width="39.42578125" customWidth="1"/>
    <col min="13" max="16" width="12.28515625" customWidth="1"/>
    <col min="17" max="17" width="0.2851562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v>126869</v>
      </c>
      <c r="W3">
        <v>126869</v>
      </c>
      <c r="X3">
        <v>126869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/>
      <c r="M5" s="8">
        <v>1776168</v>
      </c>
      <c r="N5" s="19">
        <f>V5</f>
        <v>1807883.25</v>
      </c>
      <c r="O5" s="19">
        <f t="shared" ref="O5:P5" si="0">W5</f>
        <v>1839600.5</v>
      </c>
      <c r="P5" s="19">
        <f t="shared" si="0"/>
        <v>1871317.75</v>
      </c>
      <c r="U5" s="50" t="s">
        <v>97</v>
      </c>
      <c r="V5">
        <f>V3*V4</f>
        <v>1807883.25</v>
      </c>
      <c r="W5">
        <f>W3*W4</f>
        <v>1839600.5</v>
      </c>
      <c r="X5">
        <f>X3*X4</f>
        <v>1871317.75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361576.65</v>
      </c>
      <c r="O6" s="9">
        <f t="shared" ref="O6:P6" si="1">O5*W7</f>
        <v>386316.10499999998</v>
      </c>
      <c r="P6" s="9">
        <f t="shared" si="1"/>
        <v>392976.72749999998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E7+N40</f>
        <v>130073.63</v>
      </c>
      <c r="G7" s="34">
        <f>F7+O40</f>
        <v>186178.83499999999</v>
      </c>
      <c r="H7" s="34">
        <f>G7+P40</f>
        <v>113795.14249999978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1446306.6</v>
      </c>
      <c r="O7" s="19">
        <f t="shared" ref="O7:P7" si="2">O5-O6</f>
        <v>1453284.395</v>
      </c>
      <c r="P7" s="19">
        <f t="shared" si="2"/>
        <v>1478341.0225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36157.665000000001</v>
      </c>
      <c r="G8" s="34">
        <f t="shared" ref="G8:H8" si="3">O5*$V$23</f>
        <v>36792.01</v>
      </c>
      <c r="H8" s="34">
        <f t="shared" si="3"/>
        <v>37426.355000000003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144630.66</v>
      </c>
      <c r="G9" s="34">
        <f t="shared" ref="G9:H9" si="4">O5*$V$24</f>
        <v>147168.04</v>
      </c>
      <c r="H9" s="34">
        <f t="shared" si="4"/>
        <v>149705.42000000001</v>
      </c>
      <c r="I9" s="18"/>
      <c r="J9" s="1"/>
      <c r="K9" s="1"/>
      <c r="L9" s="1" t="s">
        <v>125</v>
      </c>
      <c r="M9" s="11"/>
      <c r="N9" s="11"/>
      <c r="O9" s="11"/>
      <c r="P9" s="11"/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310861.95500000002</v>
      </c>
      <c r="G10" s="21">
        <f t="shared" ref="G10:H10" si="5">SUM(G7:G9)</f>
        <v>370138.88500000001</v>
      </c>
      <c r="H10" s="21">
        <f t="shared" si="5"/>
        <v>300926.91749999981</v>
      </c>
      <c r="I10" s="18"/>
      <c r="J10" s="1"/>
      <c r="K10" s="1"/>
      <c r="L10" s="1" t="s">
        <v>45</v>
      </c>
      <c r="M10" s="13">
        <v>439512</v>
      </c>
      <c r="N10" s="12">
        <f>V9*N5</f>
        <v>451970.8125</v>
      </c>
      <c r="O10" s="12">
        <f>W9*O5</f>
        <v>478296.13</v>
      </c>
      <c r="P10" s="12">
        <f>X9*P5</f>
        <v>505255.79250000004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71</v>
      </c>
      <c r="M11" s="13">
        <v>82514</v>
      </c>
      <c r="N11" s="12">
        <f>V10*N5</f>
        <v>90394.162500000006</v>
      </c>
      <c r="O11" s="12">
        <f>W10*O5</f>
        <v>91980.025000000009</v>
      </c>
      <c r="P11" s="12">
        <f>X10*P5</f>
        <v>93565.887500000012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E12-N32</f>
        <v>470185</v>
      </c>
      <c r="G12" s="34">
        <f>F12-O32</f>
        <v>570185</v>
      </c>
      <c r="H12" s="34">
        <f>G12-P32</f>
        <v>570185</v>
      </c>
      <c r="I12" s="18"/>
      <c r="J12" s="1"/>
      <c r="K12" s="1"/>
      <c r="L12" s="18" t="s">
        <v>73</v>
      </c>
      <c r="M12" s="37">
        <v>572776</v>
      </c>
      <c r="N12" s="65">
        <f>V12</f>
        <v>675000</v>
      </c>
      <c r="O12" s="65">
        <f t="shared" ref="O12:P12" si="6">W12</f>
        <v>725000</v>
      </c>
      <c r="P12" s="65">
        <f t="shared" si="6"/>
        <v>775000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E13+N13</f>
        <v>302663</v>
      </c>
      <c r="G13" s="34">
        <f>F13+O13</f>
        <v>407884</v>
      </c>
      <c r="H13" s="34">
        <f>G13+P13</f>
        <v>513105</v>
      </c>
      <c r="I13" s="18"/>
      <c r="J13" s="1"/>
      <c r="K13" s="1"/>
      <c r="L13" s="1" t="s">
        <v>12</v>
      </c>
      <c r="M13" s="13">
        <v>87221</v>
      </c>
      <c r="N13" s="12">
        <f>V14</f>
        <v>95221</v>
      </c>
      <c r="O13" s="12">
        <f t="shared" ref="O13:P13" si="7">W14</f>
        <v>105221</v>
      </c>
      <c r="P13" s="12">
        <f t="shared" si="7"/>
        <v>105221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167522</v>
      </c>
      <c r="G14" s="21">
        <f t="shared" ref="G14:H14" si="8">G12-G13</f>
        <v>162301</v>
      </c>
      <c r="H14" s="21">
        <f t="shared" si="8"/>
        <v>57080</v>
      </c>
      <c r="I14" s="18"/>
      <c r="J14" s="1"/>
      <c r="L14" s="1" t="s">
        <v>14</v>
      </c>
      <c r="M14" s="14">
        <f>SUM(M10:M13)</f>
        <v>1182023</v>
      </c>
      <c r="N14" s="12">
        <f>SUM(N9:N13)</f>
        <v>1312585.9750000001</v>
      </c>
      <c r="O14" s="12">
        <f t="shared" ref="O14:P14" si="9">SUM(O9:O13)</f>
        <v>1400497.155</v>
      </c>
      <c r="P14" s="12">
        <f t="shared" si="9"/>
        <v>1479042.6800000002</v>
      </c>
      <c r="Q14" s="21">
        <f t="shared" ref="Q14" si="10">Q7-Q13</f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3" t="s">
        <v>16</v>
      </c>
      <c r="L15" s="1"/>
      <c r="M15" s="15">
        <f>M7-M14</f>
        <v>236548</v>
      </c>
      <c r="N15" s="21">
        <f>N7-N14</f>
        <v>133720.625</v>
      </c>
      <c r="O15" s="21">
        <f>O7-O14</f>
        <v>52787.239999999991</v>
      </c>
      <c r="P15" s="21">
        <f>P7-P14</f>
        <v>-701.65750000020489</v>
      </c>
      <c r="Q15" s="61">
        <f t="shared" ref="Q15" si="11">Y50</f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478383.95500000002</v>
      </c>
      <c r="G16" s="21">
        <f t="shared" ref="G16:H16" si="12">G10+G14</f>
        <v>532439.88500000001</v>
      </c>
      <c r="H16" s="21">
        <f t="shared" si="12"/>
        <v>358006.91749999981</v>
      </c>
      <c r="I16" s="18"/>
      <c r="J16" s="1"/>
      <c r="L16" s="1" t="s">
        <v>18</v>
      </c>
      <c r="M16" s="14">
        <v>7535</v>
      </c>
      <c r="N16" s="61"/>
      <c r="O16" s="61"/>
      <c r="P16" s="61"/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3" t="s">
        <v>19</v>
      </c>
      <c r="L17" s="1"/>
      <c r="M17" s="15">
        <f>M15-M16</f>
        <v>229013</v>
      </c>
      <c r="N17" s="21">
        <f>N15-N16</f>
        <v>133720.625</v>
      </c>
      <c r="O17" s="21">
        <f t="shared" ref="O17:P17" si="13">O15-O16</f>
        <v>52787.239999999991</v>
      </c>
      <c r="P17" s="21">
        <f t="shared" si="13"/>
        <v>-701.65750000020489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1"/>
      <c r="L18" s="1" t="s">
        <v>21</v>
      </c>
      <c r="M18" s="14">
        <v>0</v>
      </c>
      <c r="N18" s="16">
        <v>0</v>
      </c>
      <c r="O18" s="16">
        <v>0</v>
      </c>
      <c r="P18" s="16">
        <v>0</v>
      </c>
      <c r="Q18" s="21">
        <f t="shared" ref="O18:Q19" si="14">Q16-Q17</f>
        <v>0</v>
      </c>
    </row>
    <row r="19" spans="1:24" ht="13.5" thickBot="1" x14ac:dyDescent="0.25">
      <c r="B19" s="3" t="s">
        <v>44</v>
      </c>
      <c r="C19" s="1"/>
      <c r="D19" s="4"/>
      <c r="E19" s="4"/>
      <c r="F19" s="11"/>
      <c r="G19" s="11"/>
      <c r="H19" s="11"/>
      <c r="I19" s="18"/>
      <c r="J19" s="1"/>
      <c r="K19" s="3" t="s">
        <v>22</v>
      </c>
      <c r="L19" s="1"/>
      <c r="M19" s="15">
        <f>M17-M18</f>
        <v>229013</v>
      </c>
      <c r="N19" s="21">
        <f>N17-N18</f>
        <v>133720.625</v>
      </c>
      <c r="O19" s="21">
        <f t="shared" si="14"/>
        <v>52787.239999999991</v>
      </c>
      <c r="P19" s="21">
        <f t="shared" si="14"/>
        <v>-701.65750000020489</v>
      </c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72315.33</v>
      </c>
      <c r="G20" s="34">
        <f t="shared" ref="G20:H20" si="15">O5*$V$31</f>
        <v>73584.02</v>
      </c>
      <c r="H20" s="34">
        <f t="shared" si="15"/>
        <v>74852.710000000006</v>
      </c>
      <c r="I20" s="18"/>
      <c r="J20" s="3" t="s">
        <v>24</v>
      </c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16">F21</f>
        <v>0</v>
      </c>
      <c r="H21" s="34">
        <f t="shared" si="16"/>
        <v>0</v>
      </c>
      <c r="I21" s="18"/>
      <c r="J21" s="3"/>
      <c r="K21" s="1"/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>
        <v>0</v>
      </c>
      <c r="G22" s="34">
        <v>0</v>
      </c>
      <c r="H22" s="34">
        <v>0</v>
      </c>
      <c r="I22" s="18"/>
      <c r="J22" s="1"/>
      <c r="K22" s="3" t="s">
        <v>56</v>
      </c>
      <c r="L22" s="1"/>
      <c r="M22" s="4"/>
      <c r="N22" s="11"/>
      <c r="O22" s="11"/>
      <c r="P22" s="11"/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17">SUM(F20:F22)</f>
        <v>72315.33</v>
      </c>
      <c r="G23" s="34">
        <f t="shared" si="17"/>
        <v>73584.02</v>
      </c>
      <c r="H23" s="34">
        <f t="shared" si="17"/>
        <v>74852.710000000006</v>
      </c>
      <c r="I23" s="18"/>
      <c r="J23" s="1"/>
      <c r="K23" s="1" t="s">
        <v>22</v>
      </c>
      <c r="L23" s="1"/>
      <c r="M23" s="43">
        <f>M19</f>
        <v>229013</v>
      </c>
      <c r="N23" s="12">
        <f>N19</f>
        <v>133720.625</v>
      </c>
      <c r="O23" s="12">
        <f t="shared" ref="O23:P23" si="18">O19</f>
        <v>52787.239999999991</v>
      </c>
      <c r="P23" s="12">
        <f t="shared" si="18"/>
        <v>-701.65750000020489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12">
        <v>0</v>
      </c>
      <c r="G24" s="12">
        <v>0</v>
      </c>
      <c r="H24" s="12">
        <v>0</v>
      </c>
      <c r="I24" s="18"/>
      <c r="J24" s="1"/>
      <c r="K24" s="1" t="s">
        <v>51</v>
      </c>
      <c r="L24" s="1"/>
      <c r="M24" s="43">
        <f>M13</f>
        <v>87221</v>
      </c>
      <c r="N24" s="12">
        <f>N13</f>
        <v>95221</v>
      </c>
      <c r="O24" s="12">
        <f t="shared" ref="O24:P24" si="19">O13</f>
        <v>105221</v>
      </c>
      <c r="P24" s="12">
        <f t="shared" si="19"/>
        <v>105221</v>
      </c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:H25" si="20">F23+F24</f>
        <v>72315.33</v>
      </c>
      <c r="G25" s="15">
        <f t="shared" si="20"/>
        <v>73584.02</v>
      </c>
      <c r="H25" s="15">
        <f t="shared" si="20"/>
        <v>74852.710000000006</v>
      </c>
      <c r="I25" s="18"/>
      <c r="J25" s="1"/>
      <c r="K25" s="1" t="s">
        <v>28</v>
      </c>
      <c r="L25" s="1"/>
      <c r="M25" s="44"/>
      <c r="N25" s="29"/>
      <c r="O25" s="29"/>
      <c r="P25" s="29"/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31</v>
      </c>
      <c r="M26" s="13">
        <f>D8-E8</f>
        <v>-3150</v>
      </c>
      <c r="N26" s="12">
        <f t="shared" ref="N26:P27" si="21">-(F8-E8)</f>
        <v>-632.66500000000087</v>
      </c>
      <c r="O26" s="12">
        <f t="shared" si="21"/>
        <v>-634.34500000000116</v>
      </c>
      <c r="P26" s="12">
        <f t="shared" si="21"/>
        <v>-634.34500000000116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29</v>
      </c>
      <c r="M27" s="13">
        <f>D9-E9</f>
        <v>-12687</v>
      </c>
      <c r="N27" s="12">
        <f t="shared" si="21"/>
        <v>-693.66000000000349</v>
      </c>
      <c r="O27" s="12">
        <f t="shared" si="21"/>
        <v>-2537.3800000000047</v>
      </c>
      <c r="P27" s="12">
        <f t="shared" si="21"/>
        <v>-2537.3800000000047</v>
      </c>
      <c r="W27">
        <v>2015</v>
      </c>
    </row>
    <row r="28" spans="1:24" x14ac:dyDescent="0.2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K28" s="1"/>
      <c r="L28" s="1" t="s">
        <v>32</v>
      </c>
      <c r="M28" s="17">
        <f>E20-D20</f>
        <v>8661</v>
      </c>
      <c r="N28" s="20">
        <f>F20-E20</f>
        <v>19029.330000000002</v>
      </c>
      <c r="O28" s="20">
        <f>G20-F20</f>
        <v>1268.6900000000023</v>
      </c>
      <c r="P28" s="20">
        <f>H20-G20</f>
        <v>1268.6900000000023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E29+(N19+N38)</f>
        <v>256068.625</v>
      </c>
      <c r="G29" s="33">
        <f>F29+(O19+O38)</f>
        <v>308855.86499999999</v>
      </c>
      <c r="H29" s="33">
        <f>G29+(P19+P38)</f>
        <v>133154.20749999979</v>
      </c>
      <c r="I29" s="18"/>
      <c r="J29" s="1"/>
      <c r="L29" s="1" t="s">
        <v>54</v>
      </c>
      <c r="M29" s="17">
        <f>E21-D21</f>
        <v>0</v>
      </c>
      <c r="N29" s="20">
        <f>M29</f>
        <v>0</v>
      </c>
      <c r="O29" s="20">
        <f t="shared" ref="O29:P29" si="22">N29</f>
        <v>0</v>
      </c>
      <c r="P29" s="20">
        <f t="shared" si="22"/>
        <v>0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23">SUM(F28:F29)</f>
        <v>406068.625</v>
      </c>
      <c r="G30" s="33">
        <f t="shared" si="23"/>
        <v>458855.86499999999</v>
      </c>
      <c r="H30" s="33">
        <f t="shared" si="23"/>
        <v>283154.20749999979</v>
      </c>
      <c r="I30" s="18"/>
      <c r="J30" s="1"/>
      <c r="K30" s="1"/>
      <c r="L30" s="3" t="s">
        <v>56</v>
      </c>
      <c r="M30" s="15">
        <f>M23+M24+M26+M27+M28+M29</f>
        <v>309058</v>
      </c>
      <c r="N30" s="15">
        <f t="shared" ref="N30:P30" si="24">N23+N24+N26+N27+N28+N29</f>
        <v>246644.63</v>
      </c>
      <c r="O30" s="15">
        <f t="shared" si="24"/>
        <v>156105.20499999999</v>
      </c>
      <c r="P30" s="15">
        <f t="shared" si="24"/>
        <v>102616.30749999979</v>
      </c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3" t="s">
        <v>57</v>
      </c>
      <c r="M31" s="45"/>
      <c r="N31" s="11"/>
      <c r="O31" s="11"/>
      <c r="P31" s="11"/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478383.95500000002</v>
      </c>
      <c r="G32" s="21">
        <f t="shared" ref="G32:H32" si="25">G25+G30</f>
        <v>532439.88500000001</v>
      </c>
      <c r="H32" s="21">
        <f t="shared" si="25"/>
        <v>358006.91749999981</v>
      </c>
      <c r="I32" s="18"/>
      <c r="J32" s="1"/>
      <c r="K32" s="1" t="s">
        <v>35</v>
      </c>
      <c r="L32" s="1"/>
      <c r="M32" s="13">
        <f>D12-E12</f>
        <v>-74400</v>
      </c>
      <c r="N32" s="12">
        <v>0</v>
      </c>
      <c r="O32" s="12">
        <v>-100000</v>
      </c>
      <c r="P32" s="12">
        <v>0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 t="s">
        <v>37</v>
      </c>
      <c r="L33" s="1"/>
      <c r="M33" s="46">
        <v>0</v>
      </c>
      <c r="N33" s="20" t="s">
        <v>3</v>
      </c>
      <c r="O33" s="20" t="s">
        <v>3</v>
      </c>
      <c r="P33" s="20" t="s">
        <v>3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1"/>
      <c r="L34" s="1"/>
      <c r="M34" s="47">
        <f>SUM(M32:M33)</f>
        <v>-74400</v>
      </c>
      <c r="N34" s="21">
        <f>SUM(N32:N33)</f>
        <v>0</v>
      </c>
      <c r="O34" s="21">
        <f t="shared" ref="O34:P34" si="26">SUM(O32:O33)</f>
        <v>-100000</v>
      </c>
      <c r="P34" s="21">
        <f t="shared" si="26"/>
        <v>0</v>
      </c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3" t="s">
        <v>58</v>
      </c>
      <c r="L35" s="3" t="s">
        <v>57</v>
      </c>
      <c r="M35" s="45"/>
      <c r="N35" s="11"/>
      <c r="O35" s="11"/>
      <c r="P35" s="11"/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55</v>
      </c>
      <c r="M36" s="43">
        <f>E22-D22</f>
        <v>-42217</v>
      </c>
      <c r="N36" s="64">
        <v>-159579</v>
      </c>
      <c r="O36" s="64"/>
      <c r="P36" s="64"/>
      <c r="U36" s="50" t="s">
        <v>117</v>
      </c>
      <c r="V36" s="58">
        <v>29940</v>
      </c>
      <c r="W36" s="58">
        <v>31437</v>
      </c>
      <c r="X36" s="58">
        <v>33009</v>
      </c>
    </row>
    <row r="37" spans="1:24" x14ac:dyDescent="0.2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/>
      <c r="K37" s="1"/>
      <c r="L37" s="1" t="s">
        <v>38</v>
      </c>
      <c r="M37" s="46">
        <v>0</v>
      </c>
      <c r="N37" s="20">
        <v>0</v>
      </c>
      <c r="O37" s="20">
        <v>0</v>
      </c>
      <c r="P37" s="20">
        <v>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 t="s">
        <v>3</v>
      </c>
      <c r="L38" s="1" t="s">
        <v>69</v>
      </c>
      <c r="M38" s="46">
        <v>-175000</v>
      </c>
      <c r="N38" s="20">
        <f>IF(E7&gt;175000,-175000,0)</f>
        <v>0</v>
      </c>
      <c r="O38" s="20">
        <f t="shared" ref="O38:P38" si="27">IF(F7&gt;175000,-175000,0)</f>
        <v>0</v>
      </c>
      <c r="P38" s="20">
        <f t="shared" si="27"/>
        <v>-175000</v>
      </c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1"/>
      <c r="L39" s="3" t="s">
        <v>58</v>
      </c>
      <c r="M39" s="15">
        <f>SUM(M36:M38)</f>
        <v>-217217</v>
      </c>
      <c r="N39" s="20">
        <f t="shared" ref="N39:P39" si="28">SUM(N36:N38)</f>
        <v>-159579</v>
      </c>
      <c r="O39" s="20">
        <f t="shared" si="28"/>
        <v>0</v>
      </c>
      <c r="P39" s="20">
        <f t="shared" si="28"/>
        <v>-175000</v>
      </c>
      <c r="U39" s="97"/>
      <c r="V39" s="97"/>
      <c r="W39" s="97"/>
      <c r="X39" s="97"/>
    </row>
    <row r="40" spans="1:24" ht="13.5" thickBot="1" x14ac:dyDescent="0.25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3" t="s">
        <v>39</v>
      </c>
      <c r="M40" s="15">
        <f>M30+M34+M39</f>
        <v>17441</v>
      </c>
      <c r="N40" s="21">
        <f>N30+N34+N39</f>
        <v>87065.63</v>
      </c>
      <c r="O40" s="21">
        <f t="shared" ref="O40:P40" si="29">O30+O34+O39</f>
        <v>56105.204999999987</v>
      </c>
      <c r="P40" s="21">
        <f t="shared" si="29"/>
        <v>-72383.692500000208</v>
      </c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1"/>
      <c r="N41" s="1"/>
      <c r="O41" s="1"/>
      <c r="P41" s="1"/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4" t="s">
        <v>3</v>
      </c>
      <c r="N42" s="4" t="s">
        <v>3</v>
      </c>
      <c r="O42" s="4" t="s">
        <v>3</v>
      </c>
      <c r="P42" s="4" t="s">
        <v>3</v>
      </c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"/>
      <c r="P43" s="4"/>
      <c r="Q43" s="4">
        <f>P19+P38</f>
        <v>-175701.6575000002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1"/>
      <c r="N44" s="4"/>
      <c r="O44" s="41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K45" s="1"/>
      <c r="L45" s="1"/>
      <c r="M45" s="32"/>
      <c r="N45" s="4"/>
      <c r="P45" s="4"/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L46" s="1"/>
      <c r="N46" s="4" t="s">
        <v>3</v>
      </c>
      <c r="O46" s="4" t="s">
        <v>3</v>
      </c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K47" s="1"/>
      <c r="M47" s="32"/>
      <c r="N47" s="4" t="s">
        <v>3</v>
      </c>
      <c r="O47" s="4" t="s">
        <v>3</v>
      </c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L48" s="1"/>
      <c r="N48" s="4" t="s">
        <v>3</v>
      </c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30">V48-V51</f>
        <v>73151.598017282973</v>
      </c>
      <c r="X48" s="41">
        <f t="shared" si="30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K49" s="1"/>
      <c r="M49" s="32"/>
      <c r="N49" s="4" t="s">
        <v>3</v>
      </c>
      <c r="O49" s="4" t="s">
        <v>3</v>
      </c>
      <c r="P49" s="4" t="s">
        <v>3</v>
      </c>
      <c r="Q49" s="1"/>
      <c r="T49" s="50" t="s">
        <v>120</v>
      </c>
      <c r="U49">
        <f>M16/E22</f>
        <v>4.7217992342350808E-2</v>
      </c>
      <c r="V49">
        <f>U49</f>
        <v>4.7217992342350808E-2</v>
      </c>
      <c r="W49">
        <f t="shared" ref="W49:X49" si="31">V49</f>
        <v>4.7217992342350808E-2</v>
      </c>
      <c r="X49">
        <f t="shared" si="31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L50" s="1"/>
      <c r="N50" s="4" t="s">
        <v>3</v>
      </c>
      <c r="O50" s="4" t="s">
        <v>3</v>
      </c>
      <c r="P50" s="4" t="s">
        <v>3</v>
      </c>
      <c r="T50" s="50" t="s">
        <v>121</v>
      </c>
      <c r="U50" s="41">
        <f>M16</f>
        <v>7535</v>
      </c>
      <c r="V50" s="63">
        <f>V48*V49</f>
        <v>5541.5980172829759</v>
      </c>
      <c r="W50" s="63">
        <f t="shared" ref="W50:X50" si="32">W48*W49</f>
        <v>3454.071595010792</v>
      </c>
      <c r="X50" s="63">
        <f t="shared" si="32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K51" s="1"/>
      <c r="M51" s="32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33">$U$52-W50</f>
        <v>46297.928404989209</v>
      </c>
      <c r="X51" s="63">
        <f t="shared" si="33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L52" s="1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34">V50+V51</f>
        <v>49752</v>
      </c>
      <c r="W52" s="41">
        <f t="shared" si="34"/>
        <v>49752</v>
      </c>
      <c r="X52" s="41">
        <f t="shared" si="34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K53" s="1"/>
      <c r="M53" s="32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L54" s="1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K55" s="1"/>
      <c r="M55" s="32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L56" s="1"/>
      <c r="N56" s="4" t="s">
        <v>3</v>
      </c>
      <c r="O56" s="4" t="s">
        <v>3</v>
      </c>
      <c r="P56" s="4" t="s">
        <v>3</v>
      </c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N57" s="4"/>
      <c r="O57" s="4"/>
      <c r="P57" s="4"/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K58" s="1"/>
      <c r="M58" s="32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J59" s="1"/>
      <c r="L59" s="1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K60" s="1"/>
      <c r="M60" s="32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L61" s="1"/>
      <c r="N61" s="4" t="s">
        <v>3</v>
      </c>
      <c r="O61" s="4" t="s">
        <v>3</v>
      </c>
      <c r="P61" s="4" t="s">
        <v>3</v>
      </c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  <c r="N62" s="1"/>
    </row>
    <row r="63" spans="1:24" x14ac:dyDescent="0.2">
      <c r="I63" s="18"/>
    </row>
    <row r="64" spans="1:24" ht="20.25" x14ac:dyDescent="0.2">
      <c r="K64" s="48" t="s">
        <v>82</v>
      </c>
    </row>
    <row r="67" spans="16:16" x14ac:dyDescent="0.2">
      <c r="P67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A29A-D662-DA4F-8057-0D83B1E49026}">
  <dimension ref="A1:AA67"/>
  <sheetViews>
    <sheetView topLeftCell="A2" workbookViewId="0">
      <selection activeCell="N38" sqref="N38:P38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0" width="3.42578125" customWidth="1"/>
    <col min="11" max="11" width="16" customWidth="1"/>
    <col min="12" max="12" width="39.42578125" customWidth="1"/>
    <col min="13" max="16" width="12.28515625" customWidth="1"/>
    <col min="17" max="17" width="0.2851562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0.15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f>126869*(1+$T$2)</f>
        <v>145899.34999999998</v>
      </c>
      <c r="W3">
        <f>V3*(1+$T$2)</f>
        <v>167784.25249999997</v>
      </c>
      <c r="X3">
        <f>W3*(1+$T$2)</f>
        <v>192951.89037499996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 t="s">
        <v>126</v>
      </c>
      <c r="M5" s="8">
        <v>1776168</v>
      </c>
      <c r="N5" s="19">
        <f>M5*(1+$T$2)</f>
        <v>2042593.2</v>
      </c>
      <c r="O5" s="19">
        <f t="shared" ref="O5:P5" si="0">N5*(1+$T$2)</f>
        <v>2348982.1799999997</v>
      </c>
      <c r="P5" s="19">
        <f t="shared" si="0"/>
        <v>2701329.5069999993</v>
      </c>
      <c r="U5" s="50" t="s">
        <v>97</v>
      </c>
      <c r="V5">
        <f>V3*V4</f>
        <v>2079065.7374999996</v>
      </c>
      <c r="W5">
        <f>W3*W4</f>
        <v>2432871.6612499994</v>
      </c>
      <c r="X5">
        <f>X3*X4</f>
        <v>2846040.3830312495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408518.64</v>
      </c>
      <c r="O6" s="9">
        <f t="shared" ref="O6:P6" si="1">O5*W7</f>
        <v>493286.2577999999</v>
      </c>
      <c r="P6" s="9">
        <f t="shared" si="1"/>
        <v>567279.19646999985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E7+N40</f>
        <v>58346.008000000089</v>
      </c>
      <c r="G7" s="34">
        <f>F7+O40</f>
        <v>167474.11560000008</v>
      </c>
      <c r="H7" s="34">
        <f>G7+P40</f>
        <v>465958.14426999976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1634074.56</v>
      </c>
      <c r="O7" s="19">
        <f t="shared" ref="O7:P7" si="2">O5-O6</f>
        <v>1855695.9221999999</v>
      </c>
      <c r="P7" s="19">
        <f t="shared" si="2"/>
        <v>2134050.3105299994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40851.864000000001</v>
      </c>
      <c r="G8" s="34">
        <f t="shared" ref="G8:H8" si="3">O5*$V$23</f>
        <v>46979.643599999996</v>
      </c>
      <c r="H8" s="34">
        <f t="shared" si="3"/>
        <v>54026.590139999986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163407.45600000001</v>
      </c>
      <c r="G9" s="34">
        <f t="shared" ref="G9:H9" si="4">O5*$V$24</f>
        <v>187918.57439999998</v>
      </c>
      <c r="H9" s="34">
        <f t="shared" si="4"/>
        <v>216106.36055999994</v>
      </c>
      <c r="I9" s="18"/>
      <c r="J9" s="1"/>
      <c r="K9" s="1"/>
      <c r="L9" s="1"/>
      <c r="M9" s="11"/>
      <c r="N9" s="11"/>
      <c r="O9" s="11"/>
      <c r="P9" s="11"/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262605.3280000001</v>
      </c>
      <c r="G10" s="21">
        <f t="shared" ref="G10:H10" si="5">SUM(G7:G9)</f>
        <v>402372.33360000007</v>
      </c>
      <c r="H10" s="21">
        <f t="shared" si="5"/>
        <v>736091.09496999974</v>
      </c>
      <c r="I10" s="18"/>
      <c r="J10" s="1"/>
      <c r="K10" s="1"/>
      <c r="L10" s="1" t="s">
        <v>45</v>
      </c>
      <c r="M10" s="13">
        <v>439512</v>
      </c>
      <c r="N10" s="12">
        <f>V9*N5</f>
        <v>510648.3</v>
      </c>
      <c r="O10" s="12">
        <f>W9*O5</f>
        <v>610735.36679999996</v>
      </c>
      <c r="P10" s="12">
        <f>X9*P5</f>
        <v>729358.96688999981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71</v>
      </c>
      <c r="M11" s="13">
        <v>82514</v>
      </c>
      <c r="N11" s="12">
        <f>V10*N5</f>
        <v>102129.66</v>
      </c>
      <c r="O11" s="12">
        <f>W10*O5</f>
        <v>117449.109</v>
      </c>
      <c r="P11" s="12">
        <f>X10*P5</f>
        <v>135066.47534999996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E12-N32</f>
        <v>470185</v>
      </c>
      <c r="G12" s="34">
        <f>F12-O32</f>
        <v>570185</v>
      </c>
      <c r="H12" s="34">
        <f>G12-P32</f>
        <v>570185</v>
      </c>
      <c r="I12" s="18"/>
      <c r="J12" s="1"/>
      <c r="K12" s="1"/>
      <c r="L12" s="18" t="s">
        <v>73</v>
      </c>
      <c r="M12" s="37">
        <v>572776</v>
      </c>
      <c r="N12" s="65">
        <f>V12</f>
        <v>675000</v>
      </c>
      <c r="O12" s="65">
        <f t="shared" ref="O12:P12" si="6">W12</f>
        <v>725000</v>
      </c>
      <c r="P12" s="65">
        <f t="shared" si="6"/>
        <v>775000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E13+N13</f>
        <v>302663</v>
      </c>
      <c r="G13" s="34">
        <f>F13+O13</f>
        <v>407884</v>
      </c>
      <c r="H13" s="34">
        <f>G13+P13</f>
        <v>513105</v>
      </c>
      <c r="I13" s="18"/>
      <c r="J13" s="1"/>
      <c r="K13" s="1"/>
      <c r="L13" s="1" t="s">
        <v>12</v>
      </c>
      <c r="M13" s="13">
        <v>87221</v>
      </c>
      <c r="N13" s="12">
        <f>V14</f>
        <v>95221</v>
      </c>
      <c r="O13" s="12">
        <f t="shared" ref="O13:P13" si="7">W14</f>
        <v>105221</v>
      </c>
      <c r="P13" s="12">
        <f t="shared" si="7"/>
        <v>105221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167522</v>
      </c>
      <c r="G14" s="21">
        <f t="shared" ref="G14:H14" si="8">G12-G13</f>
        <v>162301</v>
      </c>
      <c r="H14" s="21">
        <f t="shared" si="8"/>
        <v>57080</v>
      </c>
      <c r="I14" s="18"/>
      <c r="J14" s="1"/>
      <c r="K14" s="3" t="s">
        <v>16</v>
      </c>
      <c r="L14" s="1" t="s">
        <v>14</v>
      </c>
      <c r="M14" s="14">
        <f>SUM(M10:M13)</f>
        <v>1182023</v>
      </c>
      <c r="N14" s="12">
        <f>SUM(N9:N13)</f>
        <v>1382998.96</v>
      </c>
      <c r="O14" s="12">
        <f t="shared" ref="O14:P14" si="9">SUM(O9:O13)</f>
        <v>1558405.4757999999</v>
      </c>
      <c r="P14" s="12">
        <f t="shared" si="9"/>
        <v>1744646.4422399998</v>
      </c>
      <c r="Q14" s="21">
        <f t="shared" ref="Q14" si="10">Q7-Q13</f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/>
      <c r="M15" s="15">
        <f>M7-M14</f>
        <v>236548</v>
      </c>
      <c r="N15" s="21">
        <f>N7-N14</f>
        <v>251075.60000000009</v>
      </c>
      <c r="O15" s="21">
        <f>O7-O14</f>
        <v>297290.44640000002</v>
      </c>
      <c r="P15" s="21">
        <f>P7-P14</f>
        <v>389403.86828999966</v>
      </c>
      <c r="Q15" s="61">
        <f t="shared" ref="Q15" si="11">Y50</f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430127.3280000001</v>
      </c>
      <c r="G16" s="21">
        <f t="shared" ref="G16:H16" si="12">G10+G14</f>
        <v>564673.33360000001</v>
      </c>
      <c r="H16" s="21">
        <f t="shared" si="12"/>
        <v>793171.09496999974</v>
      </c>
      <c r="I16" s="18"/>
      <c r="J16" s="1"/>
      <c r="L16" s="1" t="s">
        <v>18</v>
      </c>
      <c r="M16" s="14">
        <v>7535</v>
      </c>
      <c r="N16" s="61"/>
      <c r="O16" s="61"/>
      <c r="P16" s="61"/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3" t="s">
        <v>19</v>
      </c>
      <c r="L17" s="1"/>
      <c r="M17" s="15">
        <f>M15-M16</f>
        <v>229013</v>
      </c>
      <c r="N17" s="21">
        <f>N15-N16</f>
        <v>251075.60000000009</v>
      </c>
      <c r="O17" s="21">
        <f t="shared" ref="O17:P17" si="13">O15-O16</f>
        <v>297290.44640000002</v>
      </c>
      <c r="P17" s="21">
        <f t="shared" si="13"/>
        <v>389403.86828999966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1"/>
      <c r="L18" s="1" t="s">
        <v>21</v>
      </c>
      <c r="M18" s="14">
        <v>0</v>
      </c>
      <c r="N18" s="16">
        <v>0</v>
      </c>
      <c r="O18" s="16">
        <v>0</v>
      </c>
      <c r="P18" s="16">
        <v>0</v>
      </c>
      <c r="Q18" s="21">
        <f t="shared" ref="O18:Q19" si="14">Q16-Q17</f>
        <v>0</v>
      </c>
    </row>
    <row r="19" spans="1:24" ht="13.5" thickBot="1" x14ac:dyDescent="0.25">
      <c r="B19" s="3" t="s">
        <v>44</v>
      </c>
      <c r="C19" s="1"/>
      <c r="D19" s="4"/>
      <c r="E19" s="4"/>
      <c r="F19" s="11"/>
      <c r="G19" s="11"/>
      <c r="H19" s="11"/>
      <c r="I19" s="18"/>
      <c r="J19" s="1"/>
      <c r="K19" s="3" t="s">
        <v>22</v>
      </c>
      <c r="L19" s="1"/>
      <c r="M19" s="15">
        <f>M17-M18</f>
        <v>229013</v>
      </c>
      <c r="N19" s="21">
        <f>N17-N18</f>
        <v>251075.60000000009</v>
      </c>
      <c r="O19" s="21">
        <f t="shared" si="14"/>
        <v>297290.44640000002</v>
      </c>
      <c r="P19" s="21">
        <f t="shared" si="14"/>
        <v>389403.86828999966</v>
      </c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81703.728000000003</v>
      </c>
      <c r="G20" s="34">
        <f t="shared" ref="G20:H20" si="15">O5*$V$31</f>
        <v>93959.287199999992</v>
      </c>
      <c r="H20" s="34">
        <f t="shared" si="15"/>
        <v>108053.18027999997</v>
      </c>
      <c r="I20" s="18"/>
      <c r="J20" s="3" t="s">
        <v>24</v>
      </c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16">F21</f>
        <v>0</v>
      </c>
      <c r="H21" s="34">
        <f t="shared" si="16"/>
        <v>0</v>
      </c>
      <c r="I21" s="18"/>
      <c r="J21" s="3"/>
      <c r="K21" s="1"/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>
        <v>0</v>
      </c>
      <c r="G22" s="34">
        <v>0</v>
      </c>
      <c r="H22" s="34">
        <v>0</v>
      </c>
      <c r="I22" s="18"/>
      <c r="J22" s="1"/>
      <c r="K22" s="3" t="s">
        <v>56</v>
      </c>
      <c r="L22" s="1"/>
      <c r="M22" s="4"/>
      <c r="N22" s="11"/>
      <c r="O22" s="11"/>
      <c r="P22" s="11"/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17">SUM(F20:F22)</f>
        <v>81703.728000000003</v>
      </c>
      <c r="G23" s="34">
        <f t="shared" si="17"/>
        <v>93959.287199999992</v>
      </c>
      <c r="H23" s="34">
        <f t="shared" si="17"/>
        <v>108053.18027999997</v>
      </c>
      <c r="I23" s="18"/>
      <c r="J23" s="1"/>
      <c r="K23" s="1" t="s">
        <v>22</v>
      </c>
      <c r="L23" s="1"/>
      <c r="M23" s="43">
        <f>M19</f>
        <v>229013</v>
      </c>
      <c r="N23" s="12">
        <f>N19</f>
        <v>251075.60000000009</v>
      </c>
      <c r="O23" s="12">
        <f t="shared" ref="O23:P23" si="18">O19</f>
        <v>297290.44640000002</v>
      </c>
      <c r="P23" s="12">
        <f t="shared" si="18"/>
        <v>389403.86828999966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12">
        <v>0</v>
      </c>
      <c r="G24" s="12">
        <v>0</v>
      </c>
      <c r="H24" s="12">
        <v>0</v>
      </c>
      <c r="I24" s="18"/>
      <c r="J24" s="1"/>
      <c r="K24" s="1" t="s">
        <v>51</v>
      </c>
      <c r="L24" s="1"/>
      <c r="M24" s="43">
        <f>M13</f>
        <v>87221</v>
      </c>
      <c r="N24" s="12">
        <f>N13</f>
        <v>95221</v>
      </c>
      <c r="O24" s="12">
        <f t="shared" ref="O24:P24" si="19">O13</f>
        <v>105221</v>
      </c>
      <c r="P24" s="12">
        <f t="shared" si="19"/>
        <v>105221</v>
      </c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:H25" si="20">F23+F24</f>
        <v>81703.728000000003</v>
      </c>
      <c r="G25" s="15">
        <f t="shared" si="20"/>
        <v>93959.287199999992</v>
      </c>
      <c r="H25" s="15">
        <f t="shared" si="20"/>
        <v>108053.18027999997</v>
      </c>
      <c r="I25" s="18"/>
      <c r="J25" s="1"/>
      <c r="K25" s="1" t="s">
        <v>28</v>
      </c>
      <c r="L25" s="1"/>
      <c r="M25" s="44"/>
      <c r="N25" s="29"/>
      <c r="O25" s="29"/>
      <c r="P25" s="29"/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31</v>
      </c>
      <c r="M26" s="13">
        <f>D8-E8</f>
        <v>-3150</v>
      </c>
      <c r="N26" s="12">
        <f t="shared" ref="N26:P27" si="21">-(F8-E8)</f>
        <v>-5326.8640000000014</v>
      </c>
      <c r="O26" s="12">
        <f t="shared" si="21"/>
        <v>-6127.7795999999944</v>
      </c>
      <c r="P26" s="12">
        <f t="shared" si="21"/>
        <v>-7046.9465399999899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29</v>
      </c>
      <c r="M27" s="13">
        <f>D9-E9</f>
        <v>-12687</v>
      </c>
      <c r="N27" s="12">
        <f t="shared" si="21"/>
        <v>-19470.456000000006</v>
      </c>
      <c r="O27" s="12">
        <f t="shared" si="21"/>
        <v>-24511.118399999978</v>
      </c>
      <c r="P27" s="12">
        <f t="shared" si="21"/>
        <v>-28187.78615999996</v>
      </c>
      <c r="W27">
        <v>2015</v>
      </c>
    </row>
    <row r="28" spans="1:24" x14ac:dyDescent="0.2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K28" s="1"/>
      <c r="L28" s="1" t="s">
        <v>32</v>
      </c>
      <c r="M28" s="17">
        <f>E20-D20</f>
        <v>8661</v>
      </c>
      <c r="N28" s="20">
        <f>F20-E20</f>
        <v>28417.728000000003</v>
      </c>
      <c r="O28" s="20">
        <f>G20-F20</f>
        <v>12255.559199999989</v>
      </c>
      <c r="P28" s="20">
        <f>H20-G20</f>
        <v>14093.89307999998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E29+(N19+N38)</f>
        <v>198423.60000000009</v>
      </c>
      <c r="G29" s="33">
        <f>F29+(O19+O38)</f>
        <v>320714.04640000011</v>
      </c>
      <c r="H29" s="33">
        <f>G29+(P19+P38)</f>
        <v>535117.91468999977</v>
      </c>
      <c r="I29" s="18"/>
      <c r="J29" s="1"/>
      <c r="L29" s="1" t="s">
        <v>54</v>
      </c>
      <c r="M29" s="17">
        <f>E21-D21</f>
        <v>0</v>
      </c>
      <c r="N29" s="20">
        <f>M29</f>
        <v>0</v>
      </c>
      <c r="O29" s="20">
        <f t="shared" ref="O29:P29" si="22">N29</f>
        <v>0</v>
      </c>
      <c r="P29" s="20">
        <f t="shared" si="22"/>
        <v>0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23">SUM(F28:F29)</f>
        <v>348423.60000000009</v>
      </c>
      <c r="G30" s="33">
        <f t="shared" si="23"/>
        <v>470714.04640000011</v>
      </c>
      <c r="H30" s="33">
        <f t="shared" si="23"/>
        <v>685117.91468999977</v>
      </c>
      <c r="I30" s="18"/>
      <c r="J30" s="1"/>
      <c r="K30" s="1"/>
      <c r="L30" s="3" t="s">
        <v>56</v>
      </c>
      <c r="M30" s="15">
        <f>M23+M24+M26+M27+M28+M29</f>
        <v>309058</v>
      </c>
      <c r="N30" s="15">
        <f t="shared" ref="N30:P30" si="24">N23+N24+N26+N27+N28+N29</f>
        <v>349917.00800000009</v>
      </c>
      <c r="O30" s="15">
        <f t="shared" si="24"/>
        <v>384128.10759999999</v>
      </c>
      <c r="P30" s="15">
        <f t="shared" si="24"/>
        <v>473484.02866999968</v>
      </c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3" t="s">
        <v>57</v>
      </c>
      <c r="M31" s="45"/>
      <c r="N31" s="11"/>
      <c r="O31" s="11"/>
      <c r="P31" s="11"/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430127.3280000001</v>
      </c>
      <c r="G32" s="21">
        <f t="shared" ref="G32:H32" si="25">G25+G30</f>
        <v>564673.33360000013</v>
      </c>
      <c r="H32" s="21">
        <f t="shared" si="25"/>
        <v>793171.09496999974</v>
      </c>
      <c r="I32" s="18"/>
      <c r="J32" s="1"/>
      <c r="K32" s="1" t="s">
        <v>35</v>
      </c>
      <c r="L32" s="1"/>
      <c r="M32" s="13">
        <f>D12-E12</f>
        <v>-74400</v>
      </c>
      <c r="N32" s="12">
        <v>0</v>
      </c>
      <c r="O32" s="12">
        <v>-100000</v>
      </c>
      <c r="P32" s="12">
        <v>0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 t="s">
        <v>37</v>
      </c>
      <c r="L33" s="1"/>
      <c r="M33" s="46">
        <v>0</v>
      </c>
      <c r="N33" s="20" t="s">
        <v>3</v>
      </c>
      <c r="O33" s="20" t="s">
        <v>3</v>
      </c>
      <c r="P33" s="20" t="s">
        <v>3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1"/>
      <c r="L34" s="1"/>
      <c r="M34" s="47">
        <f>SUM(M32:M33)</f>
        <v>-74400</v>
      </c>
      <c r="N34" s="21">
        <f>SUM(N32:N33)</f>
        <v>0</v>
      </c>
      <c r="O34" s="21">
        <f t="shared" ref="O34:P34" si="26">SUM(O32:O33)</f>
        <v>-100000</v>
      </c>
      <c r="P34" s="21">
        <f t="shared" si="26"/>
        <v>0</v>
      </c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3" t="s">
        <v>58</v>
      </c>
      <c r="L35" s="3" t="s">
        <v>57</v>
      </c>
      <c r="M35" s="45"/>
      <c r="N35" s="11"/>
      <c r="O35" s="11"/>
      <c r="P35" s="11"/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55</v>
      </c>
      <c r="M36" s="43">
        <f>E22-D22</f>
        <v>-42217</v>
      </c>
      <c r="N36" s="64">
        <v>-159579</v>
      </c>
      <c r="O36" s="64"/>
      <c r="P36" s="64"/>
      <c r="U36" s="50" t="s">
        <v>117</v>
      </c>
      <c r="V36" s="58">
        <v>29940</v>
      </c>
      <c r="W36" s="58">
        <v>31437</v>
      </c>
      <c r="X36" s="58">
        <v>33009</v>
      </c>
    </row>
    <row r="37" spans="1:24" x14ac:dyDescent="0.2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/>
      <c r="K37" s="1"/>
      <c r="L37" s="1" t="s">
        <v>38</v>
      </c>
      <c r="M37" s="46">
        <v>0</v>
      </c>
      <c r="N37" s="20">
        <v>0</v>
      </c>
      <c r="O37" s="20">
        <v>0</v>
      </c>
      <c r="P37" s="20">
        <v>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 t="s">
        <v>3</v>
      </c>
      <c r="L38" s="1" t="s">
        <v>69</v>
      </c>
      <c r="M38" s="46">
        <v>-175000</v>
      </c>
      <c r="N38" s="20">
        <v>-175000</v>
      </c>
      <c r="O38" s="20">
        <v>-175000</v>
      </c>
      <c r="P38" s="20">
        <v>-175000</v>
      </c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1"/>
      <c r="L39" s="3" t="s">
        <v>58</v>
      </c>
      <c r="M39" s="15">
        <f>SUM(M36:M38)</f>
        <v>-217217</v>
      </c>
      <c r="N39" s="20">
        <f t="shared" ref="N39:P39" si="27">SUM(N36:N38)</f>
        <v>-334579</v>
      </c>
      <c r="O39" s="20">
        <f t="shared" si="27"/>
        <v>-175000</v>
      </c>
      <c r="P39" s="20">
        <f t="shared" si="27"/>
        <v>-175000</v>
      </c>
      <c r="U39" s="97"/>
      <c r="V39" s="97"/>
      <c r="W39" s="97"/>
      <c r="X39" s="97"/>
    </row>
    <row r="40" spans="1:24" ht="13.5" thickBot="1" x14ac:dyDescent="0.25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3" t="s">
        <v>39</v>
      </c>
      <c r="M40" s="15">
        <f>M30+M34+M39</f>
        <v>17441</v>
      </c>
      <c r="N40" s="21">
        <f>N30+N34+N39</f>
        <v>15338.008000000089</v>
      </c>
      <c r="O40" s="21">
        <f t="shared" ref="O40:P40" si="28">O30+O34+O39</f>
        <v>109128.10759999999</v>
      </c>
      <c r="P40" s="21">
        <f t="shared" si="28"/>
        <v>298484.02866999968</v>
      </c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1"/>
      <c r="N41" s="1"/>
      <c r="O41" s="1"/>
      <c r="P41" s="1"/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4" t="s">
        <v>3</v>
      </c>
      <c r="N42" s="4" t="s">
        <v>3</v>
      </c>
      <c r="O42" s="4" t="s">
        <v>3</v>
      </c>
      <c r="P42" s="4" t="s">
        <v>3</v>
      </c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"/>
      <c r="P43" s="4"/>
      <c r="Q43" s="4">
        <f>P19+P38</f>
        <v>214403.86828999966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1"/>
      <c r="N44" s="4"/>
      <c r="O44" s="41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K45" s="1"/>
      <c r="L45" s="1"/>
      <c r="M45" s="32"/>
      <c r="N45" s="4"/>
      <c r="P45" s="4"/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L46" s="1"/>
      <c r="N46" s="4" t="s">
        <v>3</v>
      </c>
      <c r="O46" s="4" t="s">
        <v>3</v>
      </c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K47" s="1"/>
      <c r="M47" s="32"/>
      <c r="N47" s="4" t="s">
        <v>3</v>
      </c>
      <c r="O47" s="4" t="s">
        <v>3</v>
      </c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L48" s="1"/>
      <c r="N48" s="4" t="s">
        <v>3</v>
      </c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29">V48-V51</f>
        <v>73151.598017282973</v>
      </c>
      <c r="X48" s="41">
        <f t="shared" si="29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K49" s="1"/>
      <c r="M49" s="32"/>
      <c r="N49" s="4" t="s">
        <v>3</v>
      </c>
      <c r="O49" s="4" t="s">
        <v>3</v>
      </c>
      <c r="P49" s="4" t="s">
        <v>3</v>
      </c>
      <c r="Q49" s="1"/>
      <c r="T49" s="50" t="s">
        <v>120</v>
      </c>
      <c r="U49">
        <f>M16/E22</f>
        <v>4.7217992342350808E-2</v>
      </c>
      <c r="V49">
        <f>U49</f>
        <v>4.7217992342350808E-2</v>
      </c>
      <c r="W49">
        <f t="shared" ref="W49:X49" si="30">V49</f>
        <v>4.7217992342350808E-2</v>
      </c>
      <c r="X49">
        <f t="shared" si="30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L50" s="1"/>
      <c r="N50" s="4" t="s">
        <v>3</v>
      </c>
      <c r="O50" s="4" t="s">
        <v>3</v>
      </c>
      <c r="P50" s="4" t="s">
        <v>3</v>
      </c>
      <c r="T50" s="50" t="s">
        <v>121</v>
      </c>
      <c r="U50" s="41">
        <f>M16</f>
        <v>7535</v>
      </c>
      <c r="V50" s="63">
        <f>V48*V49</f>
        <v>5541.5980172829759</v>
      </c>
      <c r="W50" s="63">
        <f t="shared" ref="W50:X50" si="31">W48*W49</f>
        <v>3454.071595010792</v>
      </c>
      <c r="X50" s="63">
        <f t="shared" si="31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K51" s="1"/>
      <c r="M51" s="32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32">$U$52-W50</f>
        <v>46297.928404989209</v>
      </c>
      <c r="X51" s="63">
        <f t="shared" si="32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L52" s="1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33">V50+V51</f>
        <v>49752</v>
      </c>
      <c r="W52" s="41">
        <f t="shared" si="33"/>
        <v>49752</v>
      </c>
      <c r="X52" s="41">
        <f t="shared" si="33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K53" s="1"/>
      <c r="M53" s="32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L54" s="1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K55" s="1"/>
      <c r="M55" s="32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L56" s="1"/>
      <c r="N56" s="4" t="s">
        <v>3</v>
      </c>
      <c r="O56" s="4" t="s">
        <v>3</v>
      </c>
      <c r="P56" s="4" t="s">
        <v>3</v>
      </c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N57" s="4"/>
      <c r="O57" s="4"/>
      <c r="P57" s="4"/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K58" s="1"/>
      <c r="M58" s="32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J59" s="1"/>
      <c r="L59" s="1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K60" s="1"/>
      <c r="M60" s="32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L61" s="1"/>
      <c r="N61" s="4" t="s">
        <v>3</v>
      </c>
      <c r="O61" s="4" t="s">
        <v>3</v>
      </c>
      <c r="P61" s="4" t="s">
        <v>3</v>
      </c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  <c r="N62" s="1"/>
    </row>
    <row r="63" spans="1:24" x14ac:dyDescent="0.2">
      <c r="I63" s="18"/>
    </row>
    <row r="64" spans="1:24" ht="20.25" x14ac:dyDescent="0.2">
      <c r="K64" s="48" t="s">
        <v>82</v>
      </c>
    </row>
    <row r="67" spans="16:16" x14ac:dyDescent="0.2">
      <c r="P67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FA15-5971-DE4F-8BCB-68C8BB69393E}">
  <dimension ref="A1:AA66"/>
  <sheetViews>
    <sheetView workbookViewId="0">
      <selection sqref="A1:XFD1048576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1" width="3.42578125" customWidth="1"/>
    <col min="12" max="12" width="39.42578125" customWidth="1"/>
    <col min="13" max="16" width="12.28515625" customWidth="1"/>
    <col min="17" max="17" width="0.28515625" customWidth="1"/>
    <col min="21" max="21" width="14.710937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0.15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v>126869</v>
      </c>
      <c r="W3">
        <v>126869</v>
      </c>
      <c r="X3">
        <v>126869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/>
      <c r="M5" s="8">
        <v>1776168</v>
      </c>
      <c r="N5" s="19">
        <f>V5</f>
        <v>1807883.25</v>
      </c>
      <c r="O5" s="19">
        <f t="shared" ref="O5:P5" si="0">W5</f>
        <v>1839600.5</v>
      </c>
      <c r="P5" s="19">
        <f t="shared" si="0"/>
        <v>1871317.75</v>
      </c>
      <c r="U5" s="50" t="s">
        <v>97</v>
      </c>
      <c r="V5">
        <f>V3*V4</f>
        <v>1807883.25</v>
      </c>
      <c r="W5">
        <f>W3*W4</f>
        <v>1839600.5</v>
      </c>
      <c r="X5">
        <f>X3*X4</f>
        <v>1871317.75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361576.65</v>
      </c>
      <c r="O6" s="9">
        <f t="shared" ref="O6:P6" si="1">O5*W7</f>
        <v>386316.10499999998</v>
      </c>
      <c r="P6" s="9">
        <f t="shared" si="1"/>
        <v>392976.72749999998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E7+N39</f>
        <v>15633.630000000005</v>
      </c>
      <c r="G7" s="34">
        <f t="shared" ref="G7:H7" si="2">F7+O39</f>
        <v>67298.834999999992</v>
      </c>
      <c r="H7" s="34">
        <f t="shared" si="2"/>
        <v>165475.14249999978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1446306.6</v>
      </c>
      <c r="O7" s="19">
        <f t="shared" ref="O7:P7" si="3">O5-O6</f>
        <v>1453284.395</v>
      </c>
      <c r="P7" s="19">
        <f t="shared" si="3"/>
        <v>1478341.0225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36157.665000000001</v>
      </c>
      <c r="G8" s="34">
        <f t="shared" ref="G8:H8" si="4">O5*$V$23</f>
        <v>36792.01</v>
      </c>
      <c r="H8" s="34">
        <f t="shared" si="4"/>
        <v>37426.355000000003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144630.66</v>
      </c>
      <c r="G9" s="34">
        <f t="shared" ref="G9:H9" si="5">O5*$V$24</f>
        <v>147168.04</v>
      </c>
      <c r="H9" s="34">
        <f t="shared" si="5"/>
        <v>149705.42000000001</v>
      </c>
      <c r="I9" s="18"/>
      <c r="J9" s="1"/>
      <c r="K9" s="1"/>
      <c r="L9" s="1" t="s">
        <v>45</v>
      </c>
      <c r="M9" s="13">
        <v>439512</v>
      </c>
      <c r="N9" s="12">
        <f>V9*N5</f>
        <v>451970.8125</v>
      </c>
      <c r="O9" s="12">
        <f t="shared" ref="O9:P9" si="6">W9*O5</f>
        <v>478296.13</v>
      </c>
      <c r="P9" s="12">
        <f t="shared" si="6"/>
        <v>505255.79250000004</v>
      </c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196421.95500000002</v>
      </c>
      <c r="G10" s="21">
        <f t="shared" ref="G10:H10" si="7">SUM(G7:G9)</f>
        <v>251258.88500000001</v>
      </c>
      <c r="H10" s="21">
        <f t="shared" si="7"/>
        <v>352606.91749999981</v>
      </c>
      <c r="I10" s="18"/>
      <c r="J10" s="1"/>
      <c r="K10" s="1"/>
      <c r="L10" s="18" t="s">
        <v>71</v>
      </c>
      <c r="M10" s="13">
        <v>82514</v>
      </c>
      <c r="N10" s="12">
        <f>V10*N5</f>
        <v>90394.162500000006</v>
      </c>
      <c r="O10" s="12">
        <f t="shared" ref="O10:P10" si="8">W10*O5</f>
        <v>91980.025000000009</v>
      </c>
      <c r="P10" s="12">
        <f t="shared" si="8"/>
        <v>93565.887500000012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73</v>
      </c>
      <c r="M11" s="37">
        <v>572776</v>
      </c>
      <c r="N11" s="64">
        <v>600000</v>
      </c>
      <c r="O11" s="12">
        <f t="shared" ref="O11:P11" si="9">N11+W11</f>
        <v>650000</v>
      </c>
      <c r="P11" s="12">
        <f t="shared" si="9"/>
        <v>700000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E12-N31</f>
        <v>1570185</v>
      </c>
      <c r="G12" s="34">
        <f t="shared" ref="G12:H12" si="10">F12-O31</f>
        <v>1670185</v>
      </c>
      <c r="H12" s="34">
        <f t="shared" si="10"/>
        <v>1670185</v>
      </c>
      <c r="I12" s="18"/>
      <c r="J12" s="1"/>
      <c r="K12" s="1"/>
      <c r="L12" s="1" t="s">
        <v>12</v>
      </c>
      <c r="M12" s="13">
        <v>87221</v>
      </c>
      <c r="N12" s="67">
        <f>V14+V15</f>
        <v>131888</v>
      </c>
      <c r="O12" s="67">
        <f t="shared" ref="O12:P12" si="11">W14+W15</f>
        <v>141888</v>
      </c>
      <c r="P12" s="67">
        <f t="shared" si="11"/>
        <v>141888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E13+N12</f>
        <v>339330</v>
      </c>
      <c r="G13" s="34">
        <f t="shared" ref="G13:H13" si="12">F13+O12</f>
        <v>481218</v>
      </c>
      <c r="H13" s="34">
        <f t="shared" si="12"/>
        <v>623106</v>
      </c>
      <c r="I13" s="18"/>
      <c r="J13" s="1"/>
      <c r="K13" s="1"/>
      <c r="L13" s="1" t="s">
        <v>14</v>
      </c>
      <c r="M13" s="14">
        <f>SUM(M9:M12)</f>
        <v>1182023</v>
      </c>
      <c r="N13" s="12">
        <f>SUM(N9:N12)</f>
        <v>1274252.9750000001</v>
      </c>
      <c r="O13" s="12">
        <f t="shared" ref="O13:P13" si="13">SUM(O9:O12)</f>
        <v>1362164.155</v>
      </c>
      <c r="P13" s="12">
        <f t="shared" si="13"/>
        <v>1440709.6800000002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1230855</v>
      </c>
      <c r="G14" s="21">
        <f t="shared" ref="G14:H14" si="14">G12-G13</f>
        <v>1188967</v>
      </c>
      <c r="H14" s="21">
        <f t="shared" si="14"/>
        <v>1047079</v>
      </c>
      <c r="I14" s="18"/>
      <c r="J14" s="1"/>
      <c r="K14" s="3" t="s">
        <v>16</v>
      </c>
      <c r="L14" s="1"/>
      <c r="M14" s="15">
        <f>M7-M13</f>
        <v>236548</v>
      </c>
      <c r="N14" s="21">
        <f>N7-N13</f>
        <v>172053.625</v>
      </c>
      <c r="O14" s="21">
        <f t="shared" ref="O14:Q14" si="15">O7-O13</f>
        <v>91120.239999999991</v>
      </c>
      <c r="P14" s="21">
        <f t="shared" si="15"/>
        <v>37631.342499999795</v>
      </c>
      <c r="Q14" s="21">
        <f t="shared" si="15"/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 t="s">
        <v>18</v>
      </c>
      <c r="M15" s="14">
        <v>7535</v>
      </c>
      <c r="N15" s="66">
        <f>V17</f>
        <v>49500</v>
      </c>
      <c r="O15" s="66">
        <f t="shared" ref="O15:P15" si="16">W17</f>
        <v>48003</v>
      </c>
      <c r="P15" s="66">
        <f t="shared" si="16"/>
        <v>46431</v>
      </c>
      <c r="Q15" s="61">
        <f t="shared" ref="Q15" si="17">Y50</f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1427276.9550000001</v>
      </c>
      <c r="G16" s="21">
        <f t="shared" ref="G16:H16" si="18">G10+G14</f>
        <v>1440225.885</v>
      </c>
      <c r="H16" s="21">
        <f t="shared" si="18"/>
        <v>1399685.9174999997</v>
      </c>
      <c r="I16" s="18"/>
      <c r="J16" s="1"/>
      <c r="K16" s="3" t="s">
        <v>19</v>
      </c>
      <c r="L16" s="1"/>
      <c r="M16" s="15">
        <f>M14-M15</f>
        <v>229013</v>
      </c>
      <c r="N16" s="21">
        <f>N14-N15</f>
        <v>122553.625</v>
      </c>
      <c r="O16" s="21">
        <f t="shared" ref="O16:P16" si="19">O14-O15</f>
        <v>43117.239999999991</v>
      </c>
      <c r="P16" s="21">
        <f t="shared" si="19"/>
        <v>-8799.6575000002049</v>
      </c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1"/>
      <c r="L17" s="1" t="s">
        <v>21</v>
      </c>
      <c r="M17" s="14">
        <v>0</v>
      </c>
      <c r="N17" s="16">
        <v>0</v>
      </c>
      <c r="O17" s="16">
        <v>0</v>
      </c>
      <c r="P17" s="16">
        <v>0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3" t="s">
        <v>22</v>
      </c>
      <c r="L18" s="1"/>
      <c r="M18" s="15">
        <f>M16-M17</f>
        <v>229013</v>
      </c>
      <c r="N18" s="21">
        <f>N16-N17</f>
        <v>122553.625</v>
      </c>
      <c r="O18" s="21">
        <f t="shared" ref="O18:Q18" si="20">O16-O17</f>
        <v>43117.239999999991</v>
      </c>
      <c r="P18" s="21">
        <f t="shared" si="20"/>
        <v>-8799.6575000002049</v>
      </c>
      <c r="Q18" s="21">
        <f t="shared" si="20"/>
        <v>0</v>
      </c>
    </row>
    <row r="19" spans="1:24" x14ac:dyDescent="0.2">
      <c r="B19" s="3" t="s">
        <v>44</v>
      </c>
      <c r="C19" s="1"/>
      <c r="D19" s="4"/>
      <c r="E19" s="4"/>
      <c r="F19" s="11"/>
      <c r="G19" s="11"/>
      <c r="H19" s="11"/>
      <c r="I19" s="18"/>
      <c r="J19" s="3" t="s">
        <v>24</v>
      </c>
      <c r="K19" s="1"/>
      <c r="L19" s="1"/>
      <c r="M19" s="4"/>
      <c r="N19" s="11"/>
      <c r="O19" s="11"/>
      <c r="P19" s="11"/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72315.33</v>
      </c>
      <c r="G20" s="34">
        <f t="shared" ref="G20:H20" si="21">O5*$V$31</f>
        <v>73584.02</v>
      </c>
      <c r="H20" s="34">
        <f t="shared" si="21"/>
        <v>74852.710000000006</v>
      </c>
      <c r="I20" s="18"/>
      <c r="J20" s="3"/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22">F21</f>
        <v>0</v>
      </c>
      <c r="H21" s="34">
        <f t="shared" si="22"/>
        <v>0</v>
      </c>
      <c r="I21" s="18"/>
      <c r="J21" s="1"/>
      <c r="K21" s="3" t="s">
        <v>56</v>
      </c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/>
      <c r="G22" s="34"/>
      <c r="H22" s="34"/>
      <c r="I22" s="18"/>
      <c r="J22" s="1"/>
      <c r="K22" s="1" t="s">
        <v>22</v>
      </c>
      <c r="L22" s="1"/>
      <c r="M22" s="43">
        <f>M18</f>
        <v>229013</v>
      </c>
      <c r="N22" s="12">
        <f>N18</f>
        <v>122553.625</v>
      </c>
      <c r="O22" s="12">
        <f t="shared" ref="O22:P22" si="23">O18</f>
        <v>43117.239999999991</v>
      </c>
      <c r="P22" s="12">
        <f t="shared" si="23"/>
        <v>-8799.6575000002049</v>
      </c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24">SUM(F20:F22)</f>
        <v>72315.33</v>
      </c>
      <c r="G23" s="34">
        <f t="shared" si="24"/>
        <v>73584.02</v>
      </c>
      <c r="H23" s="34">
        <f t="shared" si="24"/>
        <v>74852.710000000006</v>
      </c>
      <c r="I23" s="18"/>
      <c r="J23" s="1"/>
      <c r="K23" s="1" t="s">
        <v>51</v>
      </c>
      <c r="L23" s="1"/>
      <c r="M23" s="43">
        <f>M12</f>
        <v>87221</v>
      </c>
      <c r="N23" s="12">
        <f>N12</f>
        <v>131888</v>
      </c>
      <c r="O23" s="12">
        <f t="shared" ref="O23:P23" si="25">O12</f>
        <v>141888</v>
      </c>
      <c r="P23" s="12">
        <f t="shared" si="25"/>
        <v>141888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67">
        <v>960060</v>
      </c>
      <c r="G24" s="67">
        <v>928623</v>
      </c>
      <c r="H24" s="67">
        <v>895614</v>
      </c>
      <c r="I24" s="18"/>
      <c r="J24" s="1"/>
      <c r="K24" s="1" t="s">
        <v>28</v>
      </c>
      <c r="L24" s="1"/>
      <c r="M24" s="44"/>
      <c r="N24" s="29"/>
      <c r="O24" s="29"/>
      <c r="P24" s="29"/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" si="26">F23+F24</f>
        <v>1032375.33</v>
      </c>
      <c r="G25" s="15">
        <f t="shared" ref="G25" si="27">G23+G24</f>
        <v>1002207.02</v>
      </c>
      <c r="H25" s="15">
        <f t="shared" ref="H25" si="28">H23+H24</f>
        <v>970466.71</v>
      </c>
      <c r="I25" s="18"/>
      <c r="J25" s="1"/>
      <c r="K25" s="1"/>
      <c r="L25" s="1" t="s">
        <v>31</v>
      </c>
      <c r="M25" s="13">
        <f t="shared" ref="M25:M26" si="29">D8-E8</f>
        <v>-3150</v>
      </c>
      <c r="N25" s="12">
        <f>-(F8-E8)</f>
        <v>-632.66500000000087</v>
      </c>
      <c r="O25" s="12">
        <f t="shared" ref="O25:P26" si="30">-(G8-F8)</f>
        <v>-634.34500000000116</v>
      </c>
      <c r="P25" s="12">
        <f t="shared" si="30"/>
        <v>-634.34500000000116</v>
      </c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29</v>
      </c>
      <c r="M26" s="13">
        <f t="shared" si="29"/>
        <v>-12687</v>
      </c>
      <c r="N26" s="12">
        <f>-(F9-E9)</f>
        <v>-693.66000000000349</v>
      </c>
      <c r="O26" s="12">
        <f t="shared" si="30"/>
        <v>-2537.3800000000047</v>
      </c>
      <c r="P26" s="12">
        <f t="shared" si="30"/>
        <v>-2537.3800000000047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32</v>
      </c>
      <c r="M27" s="17">
        <f t="shared" ref="M27:M28" si="31">E20-D20</f>
        <v>8661</v>
      </c>
      <c r="N27" s="20">
        <f>F20-E20</f>
        <v>19029.330000000002</v>
      </c>
      <c r="O27" s="20">
        <f t="shared" ref="O27:P27" si="32">G20-F20</f>
        <v>1268.6900000000023</v>
      </c>
      <c r="P27" s="20">
        <f t="shared" si="32"/>
        <v>1268.6900000000023</v>
      </c>
      <c r="W27">
        <v>2015</v>
      </c>
    </row>
    <row r="28" spans="1:24" ht="13.5" thickBot="1" x14ac:dyDescent="0.25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L28" s="1" t="s">
        <v>54</v>
      </c>
      <c r="M28" s="17">
        <f t="shared" si="31"/>
        <v>0</v>
      </c>
      <c r="N28" s="20">
        <f>M28</f>
        <v>0</v>
      </c>
      <c r="O28" s="20">
        <f t="shared" ref="O28:P28" si="33">N28</f>
        <v>0</v>
      </c>
      <c r="P28" s="20">
        <f t="shared" si="33"/>
        <v>0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E29+(N18+N37)</f>
        <v>244901.625</v>
      </c>
      <c r="G29" s="33">
        <f t="shared" ref="G29:H29" si="34">F29+(O18+O37)</f>
        <v>288018.86499999999</v>
      </c>
      <c r="H29" s="33">
        <f t="shared" si="34"/>
        <v>279219.20749999979</v>
      </c>
      <c r="I29" s="18"/>
      <c r="J29" s="1"/>
      <c r="K29" s="1"/>
      <c r="L29" s="3" t="s">
        <v>56</v>
      </c>
      <c r="M29" s="15">
        <f>M22+M23+M25+M26+M27+M28</f>
        <v>309058</v>
      </c>
      <c r="N29" s="15">
        <f t="shared" ref="N29:P29" si="35">N22+N23+N25+N26+N27+N28</f>
        <v>272144.63</v>
      </c>
      <c r="O29" s="15">
        <f t="shared" si="35"/>
        <v>183102.20499999999</v>
      </c>
      <c r="P29" s="15">
        <f t="shared" si="35"/>
        <v>131185.30749999979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36">SUM(F28:F29)</f>
        <v>394901.625</v>
      </c>
      <c r="G30" s="33">
        <f t="shared" si="36"/>
        <v>438018.86499999999</v>
      </c>
      <c r="H30" s="33">
        <f t="shared" si="36"/>
        <v>429219.20749999979</v>
      </c>
      <c r="I30" s="18"/>
      <c r="J30" s="1"/>
      <c r="K30" s="3" t="s">
        <v>57</v>
      </c>
      <c r="L30" s="1"/>
      <c r="M30" s="45"/>
      <c r="N30" s="11"/>
      <c r="O30" s="11"/>
      <c r="P30" s="11"/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1" t="s">
        <v>35</v>
      </c>
      <c r="L31" s="1"/>
      <c r="M31" s="13">
        <f>D12-E12</f>
        <v>-74400</v>
      </c>
      <c r="N31" s="12">
        <v>-1100000</v>
      </c>
      <c r="O31" s="12">
        <v>-100000</v>
      </c>
      <c r="P31" s="12">
        <v>0</v>
      </c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1427276.9550000001</v>
      </c>
      <c r="G32" s="21">
        <f t="shared" ref="G32:H32" si="37">G25+G30</f>
        <v>1440225.885</v>
      </c>
      <c r="H32" s="21">
        <f t="shared" si="37"/>
        <v>1399685.9174999997</v>
      </c>
      <c r="I32" s="18"/>
      <c r="J32" s="1"/>
      <c r="K32" s="1" t="s">
        <v>37</v>
      </c>
      <c r="L32" s="1"/>
      <c r="M32" s="46">
        <v>0</v>
      </c>
      <c r="N32" s="20" t="s">
        <v>3</v>
      </c>
      <c r="O32" s="20" t="s">
        <v>3</v>
      </c>
      <c r="P32" s="20" t="s">
        <v>3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/>
      <c r="L33" s="3" t="s">
        <v>57</v>
      </c>
      <c r="M33" s="47">
        <f>SUM(M31:M32)</f>
        <v>-74400</v>
      </c>
      <c r="N33" s="21">
        <f>SUM(N31:N32)</f>
        <v>-1100000</v>
      </c>
      <c r="O33" s="21">
        <f t="shared" ref="O33:P33" si="38">SUM(O31:O32)</f>
        <v>-100000</v>
      </c>
      <c r="P33" s="21">
        <f t="shared" si="38"/>
        <v>0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3" t="s">
        <v>58</v>
      </c>
      <c r="L34" s="1"/>
      <c r="M34" s="45"/>
      <c r="N34" s="11"/>
      <c r="O34" s="11"/>
      <c r="P34" s="11"/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1"/>
      <c r="L35" s="1" t="s">
        <v>55</v>
      </c>
      <c r="M35" s="43">
        <f>E22-D22</f>
        <v>-42217</v>
      </c>
      <c r="N35" s="64">
        <v>800481</v>
      </c>
      <c r="O35" s="64">
        <v>31437</v>
      </c>
      <c r="P35" s="64">
        <v>33009</v>
      </c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38</v>
      </c>
      <c r="M36" s="46">
        <v>0</v>
      </c>
      <c r="N36" s="20">
        <v>0</v>
      </c>
      <c r="O36" s="20">
        <v>0</v>
      </c>
      <c r="P36" s="20">
        <v>0</v>
      </c>
      <c r="U36" s="50" t="s">
        <v>117</v>
      </c>
      <c r="V36" s="58">
        <v>29940</v>
      </c>
      <c r="W36" s="58">
        <v>31437</v>
      </c>
      <c r="X36" s="58">
        <v>33009</v>
      </c>
    </row>
    <row r="37" spans="1:24" ht="13.5" thickBot="1" x14ac:dyDescent="0.25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 t="s">
        <v>3</v>
      </c>
      <c r="L37" s="1" t="s">
        <v>69</v>
      </c>
      <c r="M37" s="46">
        <v>-175000</v>
      </c>
      <c r="N37" s="20">
        <f>IF(N18&gt;175000,-175000,0)</f>
        <v>0</v>
      </c>
      <c r="O37" s="20">
        <f t="shared" ref="O37:P37" si="39">IF(O18&gt;175000,-175000,0)</f>
        <v>0</v>
      </c>
      <c r="P37" s="20">
        <f t="shared" si="39"/>
        <v>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/>
      <c r="K38" s="1"/>
      <c r="L38" s="3" t="s">
        <v>58</v>
      </c>
      <c r="M38" s="15">
        <f>SUM(M35:M37)</f>
        <v>-217217</v>
      </c>
      <c r="N38" s="20">
        <f t="shared" ref="N38:P38" si="40">SUM(N35:N37)</f>
        <v>800481</v>
      </c>
      <c r="O38" s="20">
        <f t="shared" si="40"/>
        <v>31437</v>
      </c>
      <c r="P38" s="20">
        <f t="shared" si="40"/>
        <v>33009</v>
      </c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3" t="s">
        <v>39</v>
      </c>
      <c r="L39" s="1"/>
      <c r="M39" s="15">
        <f>M29+M33+M38</f>
        <v>17441</v>
      </c>
      <c r="N39" s="21">
        <f>N29+N33+N38</f>
        <v>-27374.369999999995</v>
      </c>
      <c r="O39" s="21">
        <f>O29+O33-O35</f>
        <v>51665.204999999987</v>
      </c>
      <c r="P39" s="21">
        <f>P29+P33-P35</f>
        <v>98176.307499999792</v>
      </c>
      <c r="U39" s="97"/>
      <c r="V39" s="97"/>
      <c r="W39" s="97"/>
      <c r="X39" s="97"/>
    </row>
    <row r="40" spans="1:24" x14ac:dyDescent="0.2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1"/>
      <c r="L40" s="1"/>
      <c r="M40" s="1"/>
      <c r="N40" s="1"/>
      <c r="O40" s="1"/>
      <c r="P40" s="1"/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4" t="s">
        <v>3</v>
      </c>
      <c r="N41" s="4" t="s">
        <v>3</v>
      </c>
      <c r="O41" s="4" t="s">
        <v>3</v>
      </c>
      <c r="P41" s="4" t="s">
        <v>3</v>
      </c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1"/>
      <c r="N42" s="4"/>
      <c r="O42" s="4"/>
      <c r="P42" s="4"/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1"/>
      <c r="P43" s="4"/>
      <c r="Q43" s="4">
        <f>P18+P37</f>
        <v>-8799.6575000002049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32"/>
      <c r="N44" s="4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N45" s="4" t="s">
        <v>3</v>
      </c>
      <c r="O45" s="4" t="s">
        <v>3</v>
      </c>
      <c r="P45" s="4" t="s">
        <v>3</v>
      </c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K46" s="1"/>
      <c r="L46" s="1"/>
      <c r="M46" s="32"/>
      <c r="N46" s="4" t="s">
        <v>3</v>
      </c>
      <c r="O46" s="4" t="s">
        <v>3</v>
      </c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N47" s="4" t="s">
        <v>3</v>
      </c>
      <c r="O47" s="4" t="s">
        <v>3</v>
      </c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K48" s="1"/>
      <c r="L48" s="1"/>
      <c r="M48" s="32"/>
      <c r="N48" s="4" t="s">
        <v>3</v>
      </c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41">V48-V51</f>
        <v>73151.598017282973</v>
      </c>
      <c r="X48" s="41">
        <f t="shared" si="41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N49" s="4" t="s">
        <v>3</v>
      </c>
      <c r="O49" s="4" t="s">
        <v>3</v>
      </c>
      <c r="P49" s="4" t="s">
        <v>3</v>
      </c>
      <c r="Q49" s="1"/>
      <c r="T49" s="50" t="s">
        <v>120</v>
      </c>
      <c r="U49">
        <f>M15/E22</f>
        <v>4.7217992342350808E-2</v>
      </c>
      <c r="V49">
        <f>U49</f>
        <v>4.7217992342350808E-2</v>
      </c>
      <c r="W49">
        <f t="shared" ref="W49:X49" si="42">V49</f>
        <v>4.7217992342350808E-2</v>
      </c>
      <c r="X49">
        <f t="shared" si="42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K50" s="1"/>
      <c r="L50" s="1"/>
      <c r="M50" s="32"/>
      <c r="N50" s="4" t="s">
        <v>3</v>
      </c>
      <c r="O50" s="4" t="s">
        <v>3</v>
      </c>
      <c r="P50" s="4" t="s">
        <v>3</v>
      </c>
      <c r="T50" s="50" t="s">
        <v>121</v>
      </c>
      <c r="U50" s="41">
        <f>M15</f>
        <v>7535</v>
      </c>
      <c r="V50" s="63">
        <f>V48*V49</f>
        <v>5541.5980172829759</v>
      </c>
      <c r="W50" s="63">
        <f t="shared" ref="W50:X50" si="43">W48*W49</f>
        <v>3454.071595010792</v>
      </c>
      <c r="X50" s="63">
        <f t="shared" si="43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44">$U$52-W50</f>
        <v>46297.928404989209</v>
      </c>
      <c r="X51" s="63">
        <f t="shared" si="44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K52" s="1"/>
      <c r="L52" s="1"/>
      <c r="M52" s="32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45">V50+V51</f>
        <v>49752</v>
      </c>
      <c r="W52" s="41">
        <f t="shared" si="45"/>
        <v>49752</v>
      </c>
      <c r="X52" s="41">
        <f t="shared" si="45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K54" s="1"/>
      <c r="L54" s="1"/>
      <c r="M54" s="32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N56" s="4"/>
      <c r="O56" s="4"/>
      <c r="P56" s="4"/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K57" s="1"/>
      <c r="L57" s="1"/>
      <c r="M57" s="32"/>
      <c r="N57" s="4" t="s">
        <v>3</v>
      </c>
      <c r="O57" s="4" t="s">
        <v>3</v>
      </c>
      <c r="P57" s="4" t="s">
        <v>3</v>
      </c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K59" s="1"/>
      <c r="L59" s="1"/>
      <c r="M59" s="32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1"/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</row>
    <row r="63" spans="1:24" ht="20.25" x14ac:dyDescent="0.2">
      <c r="I63" s="18"/>
      <c r="K63" s="48" t="s">
        <v>82</v>
      </c>
    </row>
    <row r="66" spans="16:16" x14ac:dyDescent="0.2">
      <c r="P66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ADA2-D6EC-744E-A4C3-91C89B8306CA}">
  <dimension ref="A1:AA66"/>
  <sheetViews>
    <sheetView workbookViewId="0">
      <selection activeCell="H29" sqref="H29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1" width="3.42578125" customWidth="1"/>
    <col min="12" max="12" width="39.42578125" customWidth="1"/>
    <col min="13" max="16" width="12.28515625" customWidth="1"/>
    <col min="17" max="17" width="0.28515625" customWidth="1"/>
    <col min="21" max="21" width="14.710937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0.15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v>126869</v>
      </c>
      <c r="W3">
        <v>126869</v>
      </c>
      <c r="X3">
        <v>126869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127</v>
      </c>
      <c r="L5" s="1"/>
      <c r="M5" s="8">
        <v>1776168</v>
      </c>
      <c r="N5" s="19">
        <f>M5*1.15</f>
        <v>2042593.2</v>
      </c>
      <c r="O5" s="19">
        <f t="shared" ref="O5:P5" si="0">N5*1.15</f>
        <v>2348982.1799999997</v>
      </c>
      <c r="P5" s="19">
        <f t="shared" si="0"/>
        <v>2701329.5069999993</v>
      </c>
      <c r="U5" s="50" t="s">
        <v>97</v>
      </c>
      <c r="V5">
        <f>V3*V4</f>
        <v>1807883.25</v>
      </c>
      <c r="W5">
        <f>W3*W4</f>
        <v>1839600.5</v>
      </c>
      <c r="X5">
        <f>X3*X4</f>
        <v>1871317.75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408518.64</v>
      </c>
      <c r="O6" s="9">
        <f t="shared" ref="O6:P6" si="1">O5*W7</f>
        <v>493286.2577999999</v>
      </c>
      <c r="P6" s="9">
        <f t="shared" si="1"/>
        <v>567279.19646999985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E7+N39</f>
        <v>118906.00800000015</v>
      </c>
      <c r="G7" s="34">
        <f t="shared" ref="G7:H7" si="2">F7+O39</f>
        <v>223594.11560000014</v>
      </c>
      <c r="H7" s="34">
        <f t="shared" si="2"/>
        <v>517638.14426999982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1634074.56</v>
      </c>
      <c r="O7" s="19">
        <f t="shared" ref="O7:P7" si="3">O5-O6</f>
        <v>1855695.9221999999</v>
      </c>
      <c r="P7" s="19">
        <f t="shared" si="3"/>
        <v>2134050.3105299994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40851.864000000001</v>
      </c>
      <c r="G8" s="34">
        <f t="shared" ref="G8:H8" si="4">O5*$V$23</f>
        <v>46979.643599999996</v>
      </c>
      <c r="H8" s="34">
        <f t="shared" si="4"/>
        <v>54026.590139999986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163407.45600000001</v>
      </c>
      <c r="G9" s="34">
        <f t="shared" ref="G9:H9" si="5">O5*$V$24</f>
        <v>187918.57439999998</v>
      </c>
      <c r="H9" s="34">
        <f t="shared" si="5"/>
        <v>216106.36055999994</v>
      </c>
      <c r="I9" s="18"/>
      <c r="J9" s="1"/>
      <c r="K9" s="1"/>
      <c r="L9" s="1" t="s">
        <v>45</v>
      </c>
      <c r="M9" s="13">
        <v>439512</v>
      </c>
      <c r="N9" s="12">
        <f>V9*N5</f>
        <v>510648.3</v>
      </c>
      <c r="O9" s="12">
        <f t="shared" ref="O9:P9" si="6">W9*O5</f>
        <v>610735.36679999996</v>
      </c>
      <c r="P9" s="12">
        <f t="shared" si="6"/>
        <v>729358.96688999981</v>
      </c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323165.32800000015</v>
      </c>
      <c r="G10" s="21">
        <f t="shared" ref="G10:H10" si="7">SUM(G7:G9)</f>
        <v>458492.33360000013</v>
      </c>
      <c r="H10" s="21">
        <f t="shared" si="7"/>
        <v>787771.09496999974</v>
      </c>
      <c r="I10" s="18"/>
      <c r="J10" s="1"/>
      <c r="K10" s="1"/>
      <c r="L10" s="18" t="s">
        <v>71</v>
      </c>
      <c r="M10" s="13">
        <v>82514</v>
      </c>
      <c r="N10" s="12">
        <f>V10*N5</f>
        <v>102129.66</v>
      </c>
      <c r="O10" s="12">
        <f t="shared" ref="O10:P10" si="8">W10*O5</f>
        <v>117449.109</v>
      </c>
      <c r="P10" s="12">
        <f t="shared" si="8"/>
        <v>135066.47534999996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73</v>
      </c>
      <c r="M11" s="37">
        <v>572776</v>
      </c>
      <c r="N11" s="67">
        <v>600000</v>
      </c>
      <c r="O11" s="67">
        <f t="shared" ref="O11:P11" si="9">N11+W11</f>
        <v>650000</v>
      </c>
      <c r="P11" s="67">
        <f t="shared" si="9"/>
        <v>700000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E12-N31</f>
        <v>1570185</v>
      </c>
      <c r="G12" s="34">
        <f t="shared" ref="G12:H12" si="10">F12-O31</f>
        <v>1670185</v>
      </c>
      <c r="H12" s="34">
        <f t="shared" si="10"/>
        <v>1670185</v>
      </c>
      <c r="I12" s="18"/>
      <c r="J12" s="1"/>
      <c r="K12" s="1"/>
      <c r="L12" s="1" t="s">
        <v>12</v>
      </c>
      <c r="M12" s="13">
        <v>87221</v>
      </c>
      <c r="N12" s="67">
        <f>V14+V15</f>
        <v>131888</v>
      </c>
      <c r="O12" s="67">
        <f t="shared" ref="O12:P12" si="11">W14+W15</f>
        <v>141888</v>
      </c>
      <c r="P12" s="67">
        <f t="shared" si="11"/>
        <v>141888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E13+N12</f>
        <v>339330</v>
      </c>
      <c r="G13" s="34">
        <f t="shared" ref="G13:H13" si="12">F13+O12</f>
        <v>481218</v>
      </c>
      <c r="H13" s="34">
        <f t="shared" si="12"/>
        <v>623106</v>
      </c>
      <c r="I13" s="18"/>
      <c r="J13" s="1"/>
      <c r="K13" s="1"/>
      <c r="L13" s="1" t="s">
        <v>14</v>
      </c>
      <c r="M13" s="14">
        <f>SUM(M9:M12)</f>
        <v>1182023</v>
      </c>
      <c r="N13" s="12">
        <f>SUM(N9:N12)</f>
        <v>1344665.96</v>
      </c>
      <c r="O13" s="12">
        <f t="shared" ref="O13:P13" si="13">SUM(O9:O12)</f>
        <v>1520072.4757999999</v>
      </c>
      <c r="P13" s="12">
        <f t="shared" si="13"/>
        <v>1706313.4422399998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1230855</v>
      </c>
      <c r="G14" s="21">
        <f t="shared" ref="G14:H14" si="14">G12-G13</f>
        <v>1188967</v>
      </c>
      <c r="H14" s="21">
        <f t="shared" si="14"/>
        <v>1047079</v>
      </c>
      <c r="I14" s="18"/>
      <c r="J14" s="1"/>
      <c r="K14" s="3" t="s">
        <v>16</v>
      </c>
      <c r="L14" s="1"/>
      <c r="M14" s="15">
        <f>M7-M13</f>
        <v>236548</v>
      </c>
      <c r="N14" s="21">
        <f>N7-N13</f>
        <v>289408.60000000009</v>
      </c>
      <c r="O14" s="21">
        <f t="shared" ref="O14:Q14" si="15">O7-O13</f>
        <v>335623.44640000002</v>
      </c>
      <c r="P14" s="21">
        <f t="shared" si="15"/>
        <v>427736.86828999966</v>
      </c>
      <c r="Q14" s="21">
        <f t="shared" si="15"/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 t="s">
        <v>18</v>
      </c>
      <c r="M15" s="14">
        <v>7535</v>
      </c>
      <c r="N15" s="66">
        <f>V17</f>
        <v>49500</v>
      </c>
      <c r="O15" s="66">
        <f t="shared" ref="O15:P15" si="16">W17</f>
        <v>48003</v>
      </c>
      <c r="P15" s="66">
        <f t="shared" si="16"/>
        <v>46431</v>
      </c>
      <c r="Q15" s="61">
        <f t="shared" ref="Q15" si="17">Y50</f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1554020.3280000002</v>
      </c>
      <c r="G16" s="21">
        <f t="shared" ref="G16:H16" si="18">G10+G14</f>
        <v>1647459.3336</v>
      </c>
      <c r="H16" s="21">
        <f t="shared" si="18"/>
        <v>1834850.0949699997</v>
      </c>
      <c r="I16" s="18"/>
      <c r="J16" s="1"/>
      <c r="K16" s="3" t="s">
        <v>19</v>
      </c>
      <c r="L16" s="1"/>
      <c r="M16" s="15">
        <f>M14-M15</f>
        <v>229013</v>
      </c>
      <c r="N16" s="21">
        <f>N14-N15</f>
        <v>239908.60000000009</v>
      </c>
      <c r="O16" s="21">
        <f t="shared" ref="O16:P16" si="19">O14-O15</f>
        <v>287620.44640000002</v>
      </c>
      <c r="P16" s="21">
        <f t="shared" si="19"/>
        <v>381305.86828999966</v>
      </c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1"/>
      <c r="L17" s="1" t="s">
        <v>21</v>
      </c>
      <c r="M17" s="14">
        <v>0</v>
      </c>
      <c r="N17" s="16">
        <v>0</v>
      </c>
      <c r="O17" s="16">
        <v>0</v>
      </c>
      <c r="P17" s="16">
        <v>0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3" t="s">
        <v>22</v>
      </c>
      <c r="L18" s="1"/>
      <c r="M18" s="15">
        <f>M16-M17</f>
        <v>229013</v>
      </c>
      <c r="N18" s="21">
        <f>N16-N17</f>
        <v>239908.60000000009</v>
      </c>
      <c r="O18" s="21">
        <f t="shared" ref="O18:Q18" si="20">O16-O17</f>
        <v>287620.44640000002</v>
      </c>
      <c r="P18" s="21">
        <f t="shared" si="20"/>
        <v>381305.86828999966</v>
      </c>
      <c r="Q18" s="21">
        <f t="shared" si="20"/>
        <v>0</v>
      </c>
    </row>
    <row r="19" spans="1:24" x14ac:dyDescent="0.2">
      <c r="B19" s="3" t="s">
        <v>44</v>
      </c>
      <c r="C19" s="1"/>
      <c r="D19" s="4"/>
      <c r="E19" s="4"/>
      <c r="F19" s="11"/>
      <c r="G19" s="11"/>
      <c r="H19" s="11"/>
      <c r="I19" s="18"/>
      <c r="J19" s="3" t="s">
        <v>24</v>
      </c>
      <c r="K19" s="1"/>
      <c r="L19" s="1"/>
      <c r="M19" s="4"/>
      <c r="N19" s="11"/>
      <c r="O19" s="11"/>
      <c r="P19" s="11"/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81703.728000000003</v>
      </c>
      <c r="G20" s="34">
        <f t="shared" ref="G20:H20" si="21">O5*$V$31</f>
        <v>93959.287199999992</v>
      </c>
      <c r="H20" s="34">
        <f t="shared" si="21"/>
        <v>108053.18027999997</v>
      </c>
      <c r="I20" s="18"/>
      <c r="J20" s="3"/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22">F21</f>
        <v>0</v>
      </c>
      <c r="H21" s="34">
        <f t="shared" si="22"/>
        <v>0</v>
      </c>
      <c r="I21" s="18"/>
      <c r="J21" s="1"/>
      <c r="K21" s="3" t="s">
        <v>56</v>
      </c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/>
      <c r="G22" s="34"/>
      <c r="H22" s="34"/>
      <c r="I22" s="18"/>
      <c r="J22" s="1"/>
      <c r="K22" s="1" t="s">
        <v>22</v>
      </c>
      <c r="L22" s="1"/>
      <c r="M22" s="43">
        <f>M18</f>
        <v>229013</v>
      </c>
      <c r="N22" s="12">
        <f>N18</f>
        <v>239908.60000000009</v>
      </c>
      <c r="O22" s="12">
        <f t="shared" ref="O22:P22" si="23">O18</f>
        <v>287620.44640000002</v>
      </c>
      <c r="P22" s="12">
        <f t="shared" si="23"/>
        <v>381305.86828999966</v>
      </c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24">SUM(F20:F22)</f>
        <v>81703.728000000003</v>
      </c>
      <c r="G23" s="34">
        <f t="shared" si="24"/>
        <v>93959.287199999992</v>
      </c>
      <c r="H23" s="34">
        <f t="shared" si="24"/>
        <v>108053.18027999997</v>
      </c>
      <c r="I23" s="18"/>
      <c r="J23" s="1"/>
      <c r="K23" s="1" t="s">
        <v>51</v>
      </c>
      <c r="L23" s="1"/>
      <c r="M23" s="43">
        <f>M12</f>
        <v>87221</v>
      </c>
      <c r="N23" s="12">
        <f>N12</f>
        <v>131888</v>
      </c>
      <c r="O23" s="12">
        <f t="shared" ref="O23:P23" si="25">O12</f>
        <v>141888</v>
      </c>
      <c r="P23" s="12">
        <f t="shared" si="25"/>
        <v>141888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67">
        <v>960060</v>
      </c>
      <c r="G24" s="67">
        <v>928623</v>
      </c>
      <c r="H24" s="67">
        <v>895614</v>
      </c>
      <c r="I24" s="18"/>
      <c r="J24" s="1"/>
      <c r="K24" s="1" t="s">
        <v>28</v>
      </c>
      <c r="L24" s="1"/>
      <c r="M24" s="44"/>
      <c r="N24" s="29"/>
      <c r="O24" s="29"/>
      <c r="P24" s="29"/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:H25" si="26">F23+F24</f>
        <v>1041763.728</v>
      </c>
      <c r="G25" s="15">
        <f t="shared" si="26"/>
        <v>1022582.2872</v>
      </c>
      <c r="H25" s="15">
        <f t="shared" si="26"/>
        <v>1003667.18028</v>
      </c>
      <c r="I25" s="18"/>
      <c r="J25" s="1"/>
      <c r="K25" s="1"/>
      <c r="L25" s="1" t="s">
        <v>31</v>
      </c>
      <c r="M25" s="13">
        <f t="shared" ref="M25:M26" si="27">D8-E8</f>
        <v>-3150</v>
      </c>
      <c r="N25" s="12">
        <f>-(F8-E8)</f>
        <v>-5326.8640000000014</v>
      </c>
      <c r="O25" s="12">
        <f t="shared" ref="O25:P26" si="28">-(G8-F8)</f>
        <v>-6127.7795999999944</v>
      </c>
      <c r="P25" s="12">
        <f t="shared" si="28"/>
        <v>-7046.9465399999899</v>
      </c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29</v>
      </c>
      <c r="M26" s="13">
        <f t="shared" si="27"/>
        <v>-12687</v>
      </c>
      <c r="N26" s="12">
        <f>-(F9-E9)</f>
        <v>-19470.456000000006</v>
      </c>
      <c r="O26" s="12">
        <f t="shared" si="28"/>
        <v>-24511.118399999978</v>
      </c>
      <c r="P26" s="12">
        <f t="shared" si="28"/>
        <v>-28187.78615999996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32</v>
      </c>
      <c r="M27" s="17">
        <f t="shared" ref="M27:M28" si="29">E20-D20</f>
        <v>8661</v>
      </c>
      <c r="N27" s="20">
        <f>F20-E20</f>
        <v>28417.728000000003</v>
      </c>
      <c r="O27" s="20">
        <f t="shared" ref="O27:P27" si="30">G20-F20</f>
        <v>12255.559199999989</v>
      </c>
      <c r="P27" s="20">
        <f t="shared" si="30"/>
        <v>14093.89307999998</v>
      </c>
      <c r="W27">
        <v>2015</v>
      </c>
    </row>
    <row r="28" spans="1:24" ht="13.5" thickBot="1" x14ac:dyDescent="0.25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L28" s="1" t="s">
        <v>54</v>
      </c>
      <c r="M28" s="17">
        <f t="shared" si="29"/>
        <v>0</v>
      </c>
      <c r="N28" s="20">
        <f>M28</f>
        <v>0</v>
      </c>
      <c r="O28" s="20">
        <f t="shared" ref="O28:P28" si="31">N28</f>
        <v>0</v>
      </c>
      <c r="P28" s="20">
        <f t="shared" si="31"/>
        <v>0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E29+(N18+N37)</f>
        <v>362256.60000000009</v>
      </c>
      <c r="G29" s="33">
        <f t="shared" ref="G29:H29" si="32">F29+(O18+O37)</f>
        <v>474877.04640000011</v>
      </c>
      <c r="H29" s="33">
        <f t="shared" si="32"/>
        <v>681182.91468999977</v>
      </c>
      <c r="I29" s="18"/>
      <c r="J29" s="1"/>
      <c r="K29" s="1"/>
      <c r="L29" s="3" t="s">
        <v>56</v>
      </c>
      <c r="M29" s="15">
        <f>M22+M23+M25+M26+M27+M28</f>
        <v>309058</v>
      </c>
      <c r="N29" s="15">
        <f t="shared" ref="N29:P29" si="33">N22+N23+N25+N26+N27+N28</f>
        <v>375417.00800000009</v>
      </c>
      <c r="O29" s="15">
        <f t="shared" si="33"/>
        <v>411125.10759999999</v>
      </c>
      <c r="P29" s="15">
        <f t="shared" si="33"/>
        <v>502053.02866999968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34">SUM(F28:F29)</f>
        <v>512256.60000000009</v>
      </c>
      <c r="G30" s="33">
        <f t="shared" si="34"/>
        <v>624877.04640000011</v>
      </c>
      <c r="H30" s="33">
        <f t="shared" si="34"/>
        <v>831182.91468999977</v>
      </c>
      <c r="I30" s="18"/>
      <c r="J30" s="1"/>
      <c r="K30" s="3" t="s">
        <v>57</v>
      </c>
      <c r="L30" s="1"/>
      <c r="M30" s="45"/>
      <c r="N30" s="11"/>
      <c r="O30" s="11"/>
      <c r="P30" s="11"/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1" t="s">
        <v>35</v>
      </c>
      <c r="L31" s="1"/>
      <c r="M31" s="13">
        <f>D12-E12</f>
        <v>-74400</v>
      </c>
      <c r="N31" s="12">
        <v>-1100000</v>
      </c>
      <c r="O31" s="12">
        <v>-100000</v>
      </c>
      <c r="P31" s="12">
        <v>0</v>
      </c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1554020.3280000002</v>
      </c>
      <c r="G32" s="21">
        <f t="shared" ref="G32:H32" si="35">G25+G30</f>
        <v>1647459.3336</v>
      </c>
      <c r="H32" s="21">
        <f t="shared" si="35"/>
        <v>1834850.0949699997</v>
      </c>
      <c r="I32" s="18"/>
      <c r="J32" s="1"/>
      <c r="K32" s="1" t="s">
        <v>37</v>
      </c>
      <c r="L32" s="1"/>
      <c r="M32" s="46">
        <v>0</v>
      </c>
      <c r="N32" s="20" t="s">
        <v>3</v>
      </c>
      <c r="O32" s="20" t="s">
        <v>3</v>
      </c>
      <c r="P32" s="20" t="s">
        <v>3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/>
      <c r="L33" s="3" t="s">
        <v>57</v>
      </c>
      <c r="M33" s="47">
        <f>SUM(M31:M32)</f>
        <v>-74400</v>
      </c>
      <c r="N33" s="21">
        <f>SUM(N31:N32)</f>
        <v>-1100000</v>
      </c>
      <c r="O33" s="21">
        <f t="shared" ref="O33:P33" si="36">SUM(O31:O32)</f>
        <v>-100000</v>
      </c>
      <c r="P33" s="21">
        <f t="shared" si="36"/>
        <v>0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3" t="s">
        <v>58</v>
      </c>
      <c r="L34" s="1"/>
      <c r="M34" s="45"/>
      <c r="N34" s="11"/>
      <c r="O34" s="11"/>
      <c r="P34" s="11"/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1"/>
      <c r="L35" s="1" t="s">
        <v>55</v>
      </c>
      <c r="M35" s="43">
        <f>E22-D22</f>
        <v>-42217</v>
      </c>
      <c r="N35" s="64">
        <v>800481</v>
      </c>
      <c r="O35" s="64">
        <v>-31437</v>
      </c>
      <c r="P35" s="64">
        <v>-33009</v>
      </c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38</v>
      </c>
      <c r="M36" s="46">
        <v>0</v>
      </c>
      <c r="N36" s="20">
        <v>0</v>
      </c>
      <c r="O36" s="20">
        <v>0</v>
      </c>
      <c r="P36" s="20">
        <v>0</v>
      </c>
      <c r="U36" s="50" t="s">
        <v>117</v>
      </c>
      <c r="V36" s="58">
        <v>29940</v>
      </c>
      <c r="W36" s="58">
        <v>31437</v>
      </c>
      <c r="X36" s="58">
        <v>33009</v>
      </c>
    </row>
    <row r="37" spans="1:24" ht="13.5" thickBot="1" x14ac:dyDescent="0.25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 t="s">
        <v>3</v>
      </c>
      <c r="L37" s="1" t="s">
        <v>69</v>
      </c>
      <c r="M37" s="46">
        <v>-175000</v>
      </c>
      <c r="N37" s="20"/>
      <c r="O37" s="20">
        <f t="shared" ref="O37:P37" si="37">IF(O18&gt;175000,-175000,0)</f>
        <v>-175000</v>
      </c>
      <c r="P37" s="20">
        <f t="shared" si="37"/>
        <v>-175000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/>
      <c r="K38" s="1"/>
      <c r="L38" s="3" t="s">
        <v>58</v>
      </c>
      <c r="M38" s="15">
        <f>SUM(M35:M37)</f>
        <v>-217217</v>
      </c>
      <c r="N38" s="20">
        <f t="shared" ref="N38:P38" si="38">SUM(N35:N37)</f>
        <v>800481</v>
      </c>
      <c r="O38" s="20">
        <f t="shared" si="38"/>
        <v>-206437</v>
      </c>
      <c r="P38" s="20">
        <f t="shared" si="38"/>
        <v>-208009</v>
      </c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3" t="s">
        <v>39</v>
      </c>
      <c r="L39" s="1"/>
      <c r="M39" s="15">
        <f>M29+M33+M38</f>
        <v>17441</v>
      </c>
      <c r="N39" s="21">
        <f>N29+N33+N38</f>
        <v>75898.008000000147</v>
      </c>
      <c r="O39" s="21">
        <f>O29+O33+O38</f>
        <v>104688.10759999999</v>
      </c>
      <c r="P39" s="21">
        <f>P29+P33+P38</f>
        <v>294044.02866999968</v>
      </c>
      <c r="U39" s="97"/>
      <c r="V39" s="97"/>
      <c r="W39" s="97"/>
      <c r="X39" s="97"/>
    </row>
    <row r="40" spans="1:24" x14ac:dyDescent="0.2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1"/>
      <c r="L40" s="1"/>
      <c r="M40" s="1"/>
      <c r="N40" s="1"/>
      <c r="O40" s="1"/>
      <c r="P40" s="1"/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4" t="s">
        <v>3</v>
      </c>
      <c r="N41" s="4" t="s">
        <v>3</v>
      </c>
      <c r="O41" s="4" t="s">
        <v>3</v>
      </c>
      <c r="P41" s="4" t="s">
        <v>3</v>
      </c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1"/>
      <c r="N42" s="4"/>
      <c r="O42" s="4"/>
      <c r="P42" s="4"/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1"/>
      <c r="P43" s="4"/>
      <c r="Q43" s="4">
        <f>P18+P37</f>
        <v>206305.86828999966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68"/>
      <c r="M44" s="32"/>
      <c r="N44" s="4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N45" s="4"/>
      <c r="O45" s="4"/>
      <c r="P45" s="4" t="s">
        <v>3</v>
      </c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K46" s="1"/>
      <c r="L46" s="4"/>
      <c r="M46" s="4"/>
      <c r="N46" s="4"/>
      <c r="O46" s="4"/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L47" s="41"/>
      <c r="M47" s="41"/>
      <c r="N47" s="41"/>
      <c r="O47" s="4" t="s">
        <v>3</v>
      </c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K48" s="1"/>
      <c r="L48" s="1"/>
      <c r="M48" s="32"/>
      <c r="N48" s="4"/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39">V48-V51</f>
        <v>73151.598017282973</v>
      </c>
      <c r="X48" s="41">
        <f t="shared" si="39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N49" s="4"/>
      <c r="O49" s="4" t="s">
        <v>3</v>
      </c>
      <c r="P49" s="4" t="s">
        <v>3</v>
      </c>
      <c r="Q49" s="1"/>
      <c r="T49" s="50" t="s">
        <v>120</v>
      </c>
      <c r="U49">
        <f>M15/E22</f>
        <v>4.7217992342350808E-2</v>
      </c>
      <c r="V49">
        <f>U49</f>
        <v>4.7217992342350808E-2</v>
      </c>
      <c r="W49">
        <f t="shared" ref="W49:X49" si="40">V49</f>
        <v>4.7217992342350808E-2</v>
      </c>
      <c r="X49">
        <f t="shared" si="40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K50" s="1"/>
      <c r="L50" s="1"/>
      <c r="M50" s="32"/>
      <c r="N50" s="4" t="s">
        <v>3</v>
      </c>
      <c r="O50" s="4" t="s">
        <v>3</v>
      </c>
      <c r="P50" s="4" t="s">
        <v>3</v>
      </c>
      <c r="T50" s="50" t="s">
        <v>121</v>
      </c>
      <c r="U50" s="41">
        <f>M15</f>
        <v>7535</v>
      </c>
      <c r="V50" s="63">
        <f>V48*V49</f>
        <v>5541.5980172829759</v>
      </c>
      <c r="W50" s="63">
        <f t="shared" ref="W50:X50" si="41">W48*W49</f>
        <v>3454.071595010792</v>
      </c>
      <c r="X50" s="63">
        <f t="shared" si="41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42">$U$52-W50</f>
        <v>46297.928404989209</v>
      </c>
      <c r="X51" s="63">
        <f t="shared" si="42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K52" s="1"/>
      <c r="L52" s="1"/>
      <c r="M52" s="32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43">V50+V51</f>
        <v>49752</v>
      </c>
      <c r="W52" s="41">
        <f t="shared" si="43"/>
        <v>49752</v>
      </c>
      <c r="X52" s="41">
        <f t="shared" si="43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K54" s="1"/>
      <c r="L54" s="1"/>
      <c r="M54" s="32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N56" s="4"/>
      <c r="O56" s="4"/>
      <c r="P56" s="4"/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K57" s="1"/>
      <c r="L57" s="1"/>
      <c r="M57" s="32"/>
      <c r="N57" s="4" t="s">
        <v>3</v>
      </c>
      <c r="O57" s="4" t="s">
        <v>3</v>
      </c>
      <c r="P57" s="4" t="s">
        <v>3</v>
      </c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K59" s="1"/>
      <c r="L59" s="1"/>
      <c r="M59" s="32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1"/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</row>
    <row r="63" spans="1:24" ht="20.25" x14ac:dyDescent="0.2">
      <c r="I63" s="18"/>
      <c r="K63" s="48" t="s">
        <v>82</v>
      </c>
    </row>
    <row r="66" spans="16:16" x14ac:dyDescent="0.2">
      <c r="P66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AF4D-19D9-0542-99F8-FB8259877DF5}">
  <dimension ref="A1:AA67"/>
  <sheetViews>
    <sheetView workbookViewId="0">
      <selection activeCell="N39" sqref="N39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1" width="3.42578125" customWidth="1"/>
    <col min="12" max="12" width="39.42578125" customWidth="1"/>
    <col min="13" max="16" width="12.28515625" customWidth="1"/>
    <col min="17" max="17" width="0.28515625" customWidth="1"/>
    <col min="21" max="21" width="14.7109375" customWidth="1"/>
    <col min="22" max="22" width="10.140625" bestFit="1" customWidth="1"/>
    <col min="23" max="24" width="10.7109375" customWidth="1"/>
  </cols>
  <sheetData>
    <row r="1" spans="1:27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S1" s="50" t="s">
        <v>77</v>
      </c>
      <c r="T1" s="98" t="s">
        <v>1</v>
      </c>
      <c r="U1" s="97"/>
      <c r="V1" s="97"/>
      <c r="W1" s="97"/>
      <c r="X1" s="97"/>
      <c r="Z1" s="58"/>
      <c r="AA1" s="50" t="s">
        <v>107</v>
      </c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S2" s="50" t="s">
        <v>94</v>
      </c>
      <c r="T2">
        <v>0.15</v>
      </c>
      <c r="V2">
        <v>2015</v>
      </c>
      <c r="W2">
        <v>2016</v>
      </c>
      <c r="X2">
        <v>2017</v>
      </c>
      <c r="Z2" s="60"/>
      <c r="AA2" s="50" t="s">
        <v>103</v>
      </c>
    </row>
    <row r="3" spans="1:27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  <c r="U3" s="50" t="s">
        <v>95</v>
      </c>
      <c r="V3">
        <v>126869</v>
      </c>
      <c r="W3">
        <v>126869</v>
      </c>
      <c r="X3">
        <v>126869</v>
      </c>
    </row>
    <row r="4" spans="1:27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  <c r="U4" s="50" t="s">
        <v>96</v>
      </c>
      <c r="V4">
        <v>14.25</v>
      </c>
      <c r="W4">
        <v>14.5</v>
      </c>
      <c r="X4">
        <v>14.75</v>
      </c>
    </row>
    <row r="5" spans="1:27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127</v>
      </c>
      <c r="L5" s="1"/>
      <c r="M5" s="8">
        <v>1776168</v>
      </c>
      <c r="N5" s="19">
        <f>M5*1.15</f>
        <v>2042593.2</v>
      </c>
      <c r="O5" s="19">
        <f t="shared" ref="O5:P5" si="0">N5*1.15</f>
        <v>2348982.1799999997</v>
      </c>
      <c r="P5" s="19">
        <f t="shared" si="0"/>
        <v>2701329.5069999993</v>
      </c>
      <c r="U5" s="50" t="s">
        <v>97</v>
      </c>
      <c r="V5">
        <f>V3*V4</f>
        <v>1807883.25</v>
      </c>
      <c r="W5">
        <f>W3*W4</f>
        <v>1839600.5</v>
      </c>
      <c r="X5">
        <f>X3*X4</f>
        <v>1871317.75</v>
      </c>
    </row>
    <row r="6" spans="1:27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>
        <f>N5*V7</f>
        <v>408518.64</v>
      </c>
      <c r="O6" s="9">
        <f t="shared" ref="O6:P6" si="1">O5*W7</f>
        <v>493286.2577999999</v>
      </c>
      <c r="P6" s="9">
        <f t="shared" si="1"/>
        <v>567279.19646999985</v>
      </c>
      <c r="Q6" t="s">
        <v>3</v>
      </c>
    </row>
    <row r="7" spans="1:27" x14ac:dyDescent="0.2">
      <c r="A7" s="1"/>
      <c r="B7" s="3"/>
      <c r="C7" s="1" t="s">
        <v>6</v>
      </c>
      <c r="D7" s="35">
        <v>25567</v>
      </c>
      <c r="E7" s="35">
        <v>43008</v>
      </c>
      <c r="F7" s="34">
        <f>E7+N40</f>
        <v>-72321.141999999993</v>
      </c>
      <c r="G7" s="34">
        <f>F7+O40</f>
        <v>4211.8540000000212</v>
      </c>
      <c r="H7" s="34">
        <f>G7+P40</f>
        <v>246679.41559749978</v>
      </c>
      <c r="I7" s="18"/>
      <c r="J7" s="1"/>
      <c r="K7" s="1"/>
      <c r="L7" s="1" t="s">
        <v>7</v>
      </c>
      <c r="M7" s="8">
        <f>M5-M6</f>
        <v>1418571</v>
      </c>
      <c r="N7" s="19">
        <f>N5-N6</f>
        <v>1634074.56</v>
      </c>
      <c r="O7" s="19">
        <f t="shared" ref="O7:P7" si="2">O5-O6</f>
        <v>1855695.9221999999</v>
      </c>
      <c r="P7" s="19">
        <f t="shared" si="2"/>
        <v>2134050.3105299994</v>
      </c>
      <c r="U7" s="50" t="s">
        <v>98</v>
      </c>
      <c r="V7">
        <v>0.2</v>
      </c>
      <c r="W7">
        <v>0.21</v>
      </c>
      <c r="X7">
        <v>0.21</v>
      </c>
    </row>
    <row r="8" spans="1:27" x14ac:dyDescent="0.2">
      <c r="A8" s="1"/>
      <c r="B8" s="1"/>
      <c r="C8" s="1" t="s">
        <v>8</v>
      </c>
      <c r="D8" s="13">
        <v>32375</v>
      </c>
      <c r="E8" s="13">
        <v>35525</v>
      </c>
      <c r="F8" s="34">
        <f>N5*$V$23</f>
        <v>40851.864000000001</v>
      </c>
      <c r="G8" s="34">
        <f t="shared" ref="G8:H8" si="3">O5*$V$23</f>
        <v>46979.643599999996</v>
      </c>
      <c r="H8" s="34">
        <f t="shared" si="3"/>
        <v>54026.590139999986</v>
      </c>
      <c r="I8" s="18"/>
      <c r="J8" s="1"/>
      <c r="K8" s="3" t="s">
        <v>9</v>
      </c>
      <c r="L8" s="1"/>
      <c r="M8" s="11"/>
      <c r="N8" s="11"/>
      <c r="O8" s="11"/>
      <c r="P8" s="11"/>
      <c r="U8" s="50" t="s">
        <v>99</v>
      </c>
    </row>
    <row r="9" spans="1:27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>
        <f>N5*$V$24</f>
        <v>163407.45600000001</v>
      </c>
      <c r="G9" s="34">
        <f t="shared" ref="G9:H9" si="4">O5*$V$24</f>
        <v>187918.57439999998</v>
      </c>
      <c r="H9" s="34">
        <f t="shared" si="4"/>
        <v>216106.36055999994</v>
      </c>
      <c r="I9" s="18"/>
      <c r="J9" s="1"/>
      <c r="K9" s="1"/>
      <c r="L9" s="1" t="s">
        <v>45</v>
      </c>
      <c r="M9" s="13">
        <v>439512</v>
      </c>
      <c r="N9" s="12">
        <f>V9*N5</f>
        <v>510648.3</v>
      </c>
      <c r="O9" s="12">
        <f t="shared" ref="O9:P9" si="5">W9*O5</f>
        <v>610735.36679999996</v>
      </c>
      <c r="P9" s="12">
        <f t="shared" si="5"/>
        <v>729358.96688999981</v>
      </c>
      <c r="U9" s="50" t="s">
        <v>100</v>
      </c>
      <c r="V9">
        <v>0.25</v>
      </c>
      <c r="W9">
        <v>0.26</v>
      </c>
      <c r="X9">
        <v>0.27</v>
      </c>
    </row>
    <row r="10" spans="1:27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>
        <f>SUM(F7:F9)</f>
        <v>131938.17800000001</v>
      </c>
      <c r="G10" s="21">
        <f t="shared" ref="G10:H10" si="6">SUM(G7:G9)</f>
        <v>239110.07199999999</v>
      </c>
      <c r="H10" s="21">
        <f t="shared" si="6"/>
        <v>516812.36629749974</v>
      </c>
      <c r="I10" s="18"/>
      <c r="J10" s="1"/>
      <c r="K10" s="1"/>
      <c r="L10" s="18" t="s">
        <v>71</v>
      </c>
      <c r="M10" s="13">
        <v>82514</v>
      </c>
      <c r="N10" s="12">
        <f>V10*N5</f>
        <v>102129.66</v>
      </c>
      <c r="O10" s="12">
        <f t="shared" ref="O10:P10" si="7">W10*O5</f>
        <v>117449.109</v>
      </c>
      <c r="P10" s="12">
        <f t="shared" si="7"/>
        <v>135066.47534999996</v>
      </c>
      <c r="U10" s="50" t="s">
        <v>101</v>
      </c>
      <c r="V10">
        <v>0.05</v>
      </c>
      <c r="W10">
        <v>0.05</v>
      </c>
      <c r="X10">
        <v>0.05</v>
      </c>
    </row>
    <row r="11" spans="1:27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J11" s="1"/>
      <c r="K11" s="1"/>
      <c r="L11" s="18" t="s">
        <v>128</v>
      </c>
      <c r="M11" s="70"/>
      <c r="N11" s="70">
        <v>175000</v>
      </c>
      <c r="O11" s="70">
        <v>175000</v>
      </c>
      <c r="P11" s="70">
        <v>175000</v>
      </c>
      <c r="U11" s="50" t="s">
        <v>102</v>
      </c>
      <c r="V11">
        <v>50000</v>
      </c>
      <c r="W11">
        <v>50000</v>
      </c>
      <c r="X11">
        <v>50000</v>
      </c>
    </row>
    <row r="12" spans="1:27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>
        <f>E12-N32</f>
        <v>1570185</v>
      </c>
      <c r="G12" s="34">
        <f>F12-O32</f>
        <v>1670185</v>
      </c>
      <c r="H12" s="34">
        <f>G12-P32</f>
        <v>1670185</v>
      </c>
      <c r="I12" s="18"/>
      <c r="L12" s="18" t="s">
        <v>73</v>
      </c>
      <c r="M12" s="37">
        <v>572776</v>
      </c>
      <c r="N12" s="67">
        <v>600000</v>
      </c>
      <c r="O12" s="67">
        <f>N12+W11</f>
        <v>650000</v>
      </c>
      <c r="P12" s="67">
        <f>O12+X11</f>
        <v>700000</v>
      </c>
      <c r="R12" s="41" t="s">
        <v>3</v>
      </c>
      <c r="U12" s="59" t="s">
        <v>103</v>
      </c>
      <c r="V12" s="60">
        <v>675000</v>
      </c>
      <c r="W12" s="60">
        <v>725000</v>
      </c>
      <c r="X12" s="60">
        <v>775000</v>
      </c>
    </row>
    <row r="13" spans="1:27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>
        <f>E13+N13</f>
        <v>339330</v>
      </c>
      <c r="G13" s="34">
        <f>F13+O13</f>
        <v>481218</v>
      </c>
      <c r="H13" s="34">
        <f>G13+P13</f>
        <v>623106</v>
      </c>
      <c r="I13" s="18"/>
      <c r="J13" s="1"/>
      <c r="K13" s="1"/>
      <c r="L13" s="1" t="s">
        <v>12</v>
      </c>
      <c r="M13" s="13">
        <v>87221</v>
      </c>
      <c r="N13" s="67">
        <f>V14+V15</f>
        <v>131888</v>
      </c>
      <c r="O13" s="67">
        <f t="shared" ref="O13:P13" si="8">W14+W15</f>
        <v>141888</v>
      </c>
      <c r="P13" s="67">
        <f t="shared" si="8"/>
        <v>141888</v>
      </c>
    </row>
    <row r="14" spans="1:27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>
        <f>F12-F13</f>
        <v>1230855</v>
      </c>
      <c r="G14" s="21">
        <f t="shared" ref="G14:H14" si="9">G12-G13</f>
        <v>1188967</v>
      </c>
      <c r="H14" s="21">
        <f t="shared" si="9"/>
        <v>1047079</v>
      </c>
      <c r="I14" s="18"/>
      <c r="J14" s="1"/>
      <c r="K14" s="1"/>
      <c r="L14" s="1" t="s">
        <v>14</v>
      </c>
      <c r="M14" s="14">
        <f>SUM(M9:M13)</f>
        <v>1182023</v>
      </c>
      <c r="N14" s="12">
        <f>SUM(N9:N13)</f>
        <v>1519665.96</v>
      </c>
      <c r="O14" s="12">
        <f>SUM(O9:O13)</f>
        <v>1695072.4757999999</v>
      </c>
      <c r="P14" s="12">
        <f>SUM(P9:P13)</f>
        <v>1881313.4422399998</v>
      </c>
      <c r="Q14" s="21">
        <f t="shared" ref="Q14" si="10">Q7-Q13</f>
        <v>0</v>
      </c>
      <c r="U14" s="50" t="s">
        <v>104</v>
      </c>
      <c r="V14">
        <v>95221</v>
      </c>
      <c r="W14">
        <v>105221</v>
      </c>
      <c r="X14">
        <v>105221</v>
      </c>
    </row>
    <row r="15" spans="1:27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3" t="s">
        <v>16</v>
      </c>
      <c r="L15" s="1"/>
      <c r="M15" s="15">
        <f>M7-M14</f>
        <v>236548</v>
      </c>
      <c r="N15" s="21">
        <f>N7-N14</f>
        <v>114408.60000000009</v>
      </c>
      <c r="O15" s="21">
        <f>O7-O14</f>
        <v>160623.44640000002</v>
      </c>
      <c r="P15" s="21">
        <f>P7-P14</f>
        <v>252736.86828999966</v>
      </c>
      <c r="Q15" s="61">
        <f t="shared" ref="Q15" si="11">Y50</f>
        <v>0</v>
      </c>
      <c r="U15" s="56" t="s">
        <v>105</v>
      </c>
      <c r="V15" s="57">
        <v>36667</v>
      </c>
      <c r="W15" s="57">
        <v>36667</v>
      </c>
      <c r="X15" s="57">
        <v>36667</v>
      </c>
    </row>
    <row r="16" spans="1:27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>
        <f>F10+F14</f>
        <v>1362793.1780000001</v>
      </c>
      <c r="G16" s="21">
        <f t="shared" ref="G16:H16" si="12">G10+G14</f>
        <v>1428077.0719999999</v>
      </c>
      <c r="H16" s="21">
        <f t="shared" si="12"/>
        <v>1563891.3662974997</v>
      </c>
      <c r="I16" s="18"/>
      <c r="J16" s="1"/>
      <c r="K16" s="1"/>
      <c r="L16" s="1" t="s">
        <v>18</v>
      </c>
      <c r="M16" s="14">
        <v>7535</v>
      </c>
      <c r="N16" s="66">
        <f>V17</f>
        <v>49500</v>
      </c>
      <c r="O16" s="66">
        <f t="shared" ref="O16:P16" si="13">W17</f>
        <v>48003</v>
      </c>
      <c r="P16" s="66">
        <f t="shared" si="13"/>
        <v>46431</v>
      </c>
    </row>
    <row r="17" spans="1:24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3" t="s">
        <v>19</v>
      </c>
      <c r="L17" s="1"/>
      <c r="M17" s="15">
        <f>M15-M16</f>
        <v>229013</v>
      </c>
      <c r="N17" s="21">
        <f>N15-N16</f>
        <v>64908.600000000093</v>
      </c>
      <c r="O17" s="21">
        <f t="shared" ref="O17:P17" si="14">O15-O16</f>
        <v>112620.44640000002</v>
      </c>
      <c r="P17" s="21">
        <f t="shared" si="14"/>
        <v>206305.86828999966</v>
      </c>
      <c r="U17" s="56" t="s">
        <v>106</v>
      </c>
      <c r="V17" s="57">
        <v>49500</v>
      </c>
      <c r="W17" s="57">
        <v>48003</v>
      </c>
      <c r="X17" s="57">
        <v>46431</v>
      </c>
    </row>
    <row r="18" spans="1:24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1"/>
      <c r="L18" s="1" t="s">
        <v>21</v>
      </c>
      <c r="M18" s="69">
        <v>0.25</v>
      </c>
      <c r="N18" s="71">
        <f>$M$18*N17</f>
        <v>16227.150000000023</v>
      </c>
      <c r="O18" s="71">
        <f t="shared" ref="O18:P18" si="15">$M$18*O17</f>
        <v>28155.111600000004</v>
      </c>
      <c r="P18" s="71">
        <f t="shared" si="15"/>
        <v>51576.467072499916</v>
      </c>
      <c r="Q18" s="21">
        <f t="shared" ref="O18:Q19" si="16">Q16-Q17</f>
        <v>0</v>
      </c>
    </row>
    <row r="19" spans="1:24" ht="13.5" thickBot="1" x14ac:dyDescent="0.25">
      <c r="B19" s="3" t="s">
        <v>44</v>
      </c>
      <c r="C19" s="1"/>
      <c r="D19" s="4"/>
      <c r="E19" s="4"/>
      <c r="F19" s="11"/>
      <c r="G19" s="11"/>
      <c r="H19" s="11"/>
      <c r="I19" s="18"/>
      <c r="J19" s="1"/>
      <c r="K19" s="3" t="s">
        <v>22</v>
      </c>
      <c r="L19" s="1"/>
      <c r="M19" s="15">
        <f>M17-M18</f>
        <v>229012.75</v>
      </c>
      <c r="N19" s="21">
        <f>N17-N18</f>
        <v>48681.45000000007</v>
      </c>
      <c r="O19" s="21">
        <f t="shared" si="16"/>
        <v>84465.334800000011</v>
      </c>
      <c r="P19" s="21">
        <f t="shared" si="16"/>
        <v>154729.40121749975</v>
      </c>
    </row>
    <row r="20" spans="1:24" x14ac:dyDescent="0.2">
      <c r="A20" s="1"/>
      <c r="B20" s="3"/>
      <c r="C20" s="30" t="s">
        <v>42</v>
      </c>
      <c r="D20" s="17">
        <v>44625</v>
      </c>
      <c r="E20" s="17">
        <v>53286</v>
      </c>
      <c r="F20" s="34">
        <f>N5*$V$31</f>
        <v>81703.728000000003</v>
      </c>
      <c r="G20" s="34">
        <f t="shared" ref="G20:H20" si="17">O5*$V$31</f>
        <v>93959.287199999992</v>
      </c>
      <c r="H20" s="34">
        <f t="shared" si="17"/>
        <v>108053.18027999997</v>
      </c>
      <c r="I20" s="18"/>
      <c r="J20" s="3" t="s">
        <v>24</v>
      </c>
      <c r="K20" s="1"/>
      <c r="L20" s="1"/>
      <c r="M20" s="4"/>
      <c r="N20" s="11"/>
      <c r="O20" s="11"/>
      <c r="P20" s="11"/>
    </row>
    <row r="21" spans="1:24" x14ac:dyDescent="0.2">
      <c r="C21" s="1" t="s">
        <v>52</v>
      </c>
      <c r="D21" s="17">
        <v>0</v>
      </c>
      <c r="E21" s="17">
        <v>0</v>
      </c>
      <c r="F21" s="34">
        <f>E21</f>
        <v>0</v>
      </c>
      <c r="G21" s="34">
        <f t="shared" ref="G21:H21" si="18">F21</f>
        <v>0</v>
      </c>
      <c r="H21" s="34">
        <f t="shared" si="18"/>
        <v>0</v>
      </c>
      <c r="I21" s="18"/>
      <c r="J21" s="3"/>
      <c r="K21" s="1"/>
      <c r="L21" s="1"/>
      <c r="M21" s="4"/>
      <c r="N21" s="11"/>
      <c r="O21" s="11"/>
      <c r="P21" s="11"/>
      <c r="U21" s="98" t="s">
        <v>108</v>
      </c>
      <c r="V21" s="97"/>
      <c r="W21" s="97"/>
      <c r="X21" s="97"/>
    </row>
    <row r="22" spans="1:24" ht="13.5" thickBot="1" x14ac:dyDescent="0.25">
      <c r="C22" s="1" t="s">
        <v>53</v>
      </c>
      <c r="D22" s="17">
        <v>201796</v>
      </c>
      <c r="E22" s="17">
        <v>159579</v>
      </c>
      <c r="F22" s="34"/>
      <c r="G22" s="34"/>
      <c r="H22" s="34"/>
      <c r="I22" s="18"/>
      <c r="J22" s="1"/>
      <c r="K22" s="3" t="s">
        <v>56</v>
      </c>
      <c r="L22" s="1"/>
      <c r="M22" s="4"/>
      <c r="N22" s="11"/>
      <c r="O22" s="11"/>
      <c r="P22" s="11"/>
      <c r="V22" s="50" t="s">
        <v>111</v>
      </c>
    </row>
    <row r="23" spans="1:24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34">
        <f t="shared" ref="F23:H23" si="19">SUM(F20:F22)</f>
        <v>81703.728000000003</v>
      </c>
      <c r="G23" s="34">
        <f t="shared" si="19"/>
        <v>93959.287199999992</v>
      </c>
      <c r="H23" s="34">
        <f t="shared" si="19"/>
        <v>108053.18027999997</v>
      </c>
      <c r="I23" s="18"/>
      <c r="J23" s="1"/>
      <c r="K23" s="1" t="s">
        <v>22</v>
      </c>
      <c r="L23" s="1"/>
      <c r="M23" s="43">
        <f>M19</f>
        <v>229012.75</v>
      </c>
      <c r="N23" s="12">
        <f>N19</f>
        <v>48681.45000000007</v>
      </c>
      <c r="O23" s="12">
        <f t="shared" ref="O23:P23" si="20">O19</f>
        <v>84465.334800000011</v>
      </c>
      <c r="P23" s="12">
        <f t="shared" si="20"/>
        <v>154729.40121749975</v>
      </c>
      <c r="U23" s="50" t="s">
        <v>109</v>
      </c>
      <c r="V23">
        <v>0.02</v>
      </c>
    </row>
    <row r="24" spans="1:24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67">
        <v>960060</v>
      </c>
      <c r="G24" s="67">
        <v>928623</v>
      </c>
      <c r="H24" s="67">
        <v>895614</v>
      </c>
      <c r="I24" s="18"/>
      <c r="J24" s="1"/>
      <c r="K24" s="1" t="s">
        <v>51</v>
      </c>
      <c r="L24" s="1"/>
      <c r="M24" s="43">
        <f>M13</f>
        <v>87221</v>
      </c>
      <c r="N24" s="12">
        <f>N13</f>
        <v>131888</v>
      </c>
      <c r="O24" s="12">
        <f t="shared" ref="O24:P24" si="21">O13</f>
        <v>141888</v>
      </c>
      <c r="P24" s="12">
        <f t="shared" si="21"/>
        <v>141888</v>
      </c>
      <c r="U24" s="50" t="s">
        <v>110</v>
      </c>
      <c r="V24">
        <v>0.08</v>
      </c>
    </row>
    <row r="25" spans="1:24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15">
        <f t="shared" ref="F25:H25" si="22">F23+F24</f>
        <v>1041763.728</v>
      </c>
      <c r="G25" s="15">
        <f t="shared" si="22"/>
        <v>1022582.2872</v>
      </c>
      <c r="H25" s="15">
        <f t="shared" si="22"/>
        <v>1003667.18028</v>
      </c>
      <c r="I25" s="18"/>
      <c r="J25" s="1"/>
      <c r="K25" s="1" t="s">
        <v>28</v>
      </c>
      <c r="L25" s="1"/>
      <c r="M25" s="44"/>
      <c r="N25" s="29"/>
      <c r="O25" s="29"/>
      <c r="P25" s="29"/>
    </row>
    <row r="26" spans="1:24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31</v>
      </c>
      <c r="M26" s="13">
        <f>D8-E8</f>
        <v>-3150</v>
      </c>
      <c r="N26" s="12">
        <f t="shared" ref="N26:P27" si="23">-(F8-E8)</f>
        <v>-5326.8640000000014</v>
      </c>
      <c r="O26" s="12">
        <f t="shared" si="23"/>
        <v>-6127.7795999999944</v>
      </c>
      <c r="P26" s="12">
        <f t="shared" si="23"/>
        <v>-7046.9465399999899</v>
      </c>
    </row>
    <row r="27" spans="1:24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29</v>
      </c>
      <c r="M27" s="13">
        <f>D9-E9</f>
        <v>-12687</v>
      </c>
      <c r="N27" s="12">
        <f t="shared" si="23"/>
        <v>-19470.456000000006</v>
      </c>
      <c r="O27" s="12">
        <f t="shared" si="23"/>
        <v>-24511.118399999978</v>
      </c>
      <c r="P27" s="12">
        <f t="shared" si="23"/>
        <v>-28187.78615999996</v>
      </c>
      <c r="W27">
        <v>2015</v>
      </c>
    </row>
    <row r="28" spans="1:24" x14ac:dyDescent="0.2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62">
        <v>150000</v>
      </c>
      <c r="G28" s="62">
        <v>150000</v>
      </c>
      <c r="H28" s="62">
        <v>150000</v>
      </c>
      <c r="I28" s="18"/>
      <c r="J28" s="1"/>
      <c r="K28" s="1"/>
      <c r="L28" s="1" t="s">
        <v>32</v>
      </c>
      <c r="M28" s="17">
        <f>E20-D20</f>
        <v>8661</v>
      </c>
      <c r="N28" s="20">
        <f>F20-E20</f>
        <v>28417.728000000003</v>
      </c>
      <c r="O28" s="20">
        <f>G20-F20</f>
        <v>12255.559199999989</v>
      </c>
      <c r="P28" s="20">
        <f>H20-G20</f>
        <v>14093.89307999998</v>
      </c>
      <c r="U28" s="50" t="s">
        <v>113</v>
      </c>
      <c r="W28">
        <v>100000</v>
      </c>
    </row>
    <row r="29" spans="1:24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>
        <f>E29+(N19+N38)</f>
        <v>171029.45000000007</v>
      </c>
      <c r="G29" s="33">
        <f>F29+(O19+O38)</f>
        <v>255494.78480000008</v>
      </c>
      <c r="H29" s="33">
        <f>G29+(P19+P38)</f>
        <v>410224.18601749983</v>
      </c>
      <c r="I29" s="18"/>
      <c r="J29" s="1"/>
      <c r="L29" s="1" t="s">
        <v>54</v>
      </c>
      <c r="M29" s="17">
        <f>E21-D21</f>
        <v>0</v>
      </c>
      <c r="N29" s="20">
        <f>M29</f>
        <v>0</v>
      </c>
      <c r="O29" s="20">
        <f t="shared" ref="O29:P29" si="24">N29</f>
        <v>0</v>
      </c>
      <c r="P29" s="20">
        <f t="shared" si="24"/>
        <v>0</v>
      </c>
    </row>
    <row r="30" spans="1:24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33">
        <f t="shared" ref="F30:H30" si="25">SUM(F28:F29)</f>
        <v>321029.45000000007</v>
      </c>
      <c r="G30" s="33">
        <f t="shared" si="25"/>
        <v>405494.78480000008</v>
      </c>
      <c r="H30" s="33">
        <f t="shared" si="25"/>
        <v>560224.18601749977</v>
      </c>
      <c r="I30" s="18"/>
      <c r="J30" s="1"/>
      <c r="K30" s="1"/>
      <c r="L30" s="3" t="s">
        <v>56</v>
      </c>
      <c r="M30" s="15">
        <f>M23+M24+M26+M27+M28+M29</f>
        <v>309057.75</v>
      </c>
      <c r="N30" s="15">
        <f t="shared" ref="N30:P30" si="26">N23+N24+N26+N27+N28+N29</f>
        <v>184189.85800000007</v>
      </c>
      <c r="O30" s="15">
        <f t="shared" si="26"/>
        <v>207969.99600000001</v>
      </c>
      <c r="P30" s="15">
        <f t="shared" si="26"/>
        <v>275476.56159749976</v>
      </c>
      <c r="V30">
        <v>2015</v>
      </c>
      <c r="W30">
        <v>2016</v>
      </c>
      <c r="X30">
        <v>2017</v>
      </c>
    </row>
    <row r="31" spans="1:24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3" t="s">
        <v>57</v>
      </c>
      <c r="L31" s="1"/>
      <c r="M31" s="45"/>
      <c r="N31" s="11"/>
      <c r="O31" s="11"/>
      <c r="P31" s="11"/>
      <c r="U31" s="50" t="s">
        <v>112</v>
      </c>
      <c r="V31">
        <v>0.04</v>
      </c>
    </row>
    <row r="32" spans="1:24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>
        <f>F25+F30</f>
        <v>1362793.1780000001</v>
      </c>
      <c r="G32" s="21">
        <f t="shared" ref="G32:H32" si="27">G25+G30</f>
        <v>1428077.0720000002</v>
      </c>
      <c r="H32" s="21">
        <f t="shared" si="27"/>
        <v>1563891.3662974997</v>
      </c>
      <c r="I32" s="18"/>
      <c r="J32" s="1"/>
      <c r="K32" s="1" t="s">
        <v>35</v>
      </c>
      <c r="L32" s="1"/>
      <c r="M32" s="13">
        <f>D12-E12</f>
        <v>-74400</v>
      </c>
      <c r="N32" s="12">
        <v>-1100000</v>
      </c>
      <c r="O32" s="12">
        <v>-100000</v>
      </c>
      <c r="P32" s="12">
        <v>0</v>
      </c>
      <c r="U32" s="50" t="s">
        <v>114</v>
      </c>
      <c r="V32" s="58">
        <v>600000</v>
      </c>
      <c r="W32" s="58">
        <v>600000</v>
      </c>
      <c r="X32" s="58">
        <v>600000</v>
      </c>
    </row>
    <row r="33" spans="1:24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 t="s">
        <v>37</v>
      </c>
      <c r="L33" s="1"/>
      <c r="M33" s="46">
        <v>0</v>
      </c>
      <c r="N33" s="20" t="s">
        <v>3</v>
      </c>
      <c r="O33" s="20" t="s">
        <v>3</v>
      </c>
      <c r="P33" s="20" t="s">
        <v>3</v>
      </c>
    </row>
    <row r="34" spans="1:24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1"/>
      <c r="L34" s="3" t="s">
        <v>57</v>
      </c>
      <c r="M34" s="47">
        <f>SUM(M32:M33)</f>
        <v>-74400</v>
      </c>
      <c r="N34" s="21">
        <f>SUM(N32:N33)</f>
        <v>-1100000</v>
      </c>
      <c r="O34" s="21">
        <f t="shared" ref="O34:P34" si="28">SUM(O32:O33)</f>
        <v>-100000</v>
      </c>
      <c r="P34" s="21">
        <f t="shared" si="28"/>
        <v>0</v>
      </c>
      <c r="U34" s="50" t="s">
        <v>115</v>
      </c>
    </row>
    <row r="35" spans="1:24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3" t="s">
        <v>58</v>
      </c>
      <c r="L35" s="1"/>
      <c r="M35" s="45"/>
      <c r="N35" s="11"/>
      <c r="O35" s="11"/>
      <c r="P35" s="11"/>
      <c r="U35" s="50" t="s">
        <v>116</v>
      </c>
      <c r="V35" s="58">
        <f>990000-29940</f>
        <v>960060</v>
      </c>
      <c r="W35" s="58">
        <f>V35-W36</f>
        <v>928623</v>
      </c>
      <c r="X35" s="58">
        <f>W35-X36</f>
        <v>895614</v>
      </c>
    </row>
    <row r="36" spans="1:24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55</v>
      </c>
      <c r="M36" s="43">
        <f>E22-D22</f>
        <v>-42217</v>
      </c>
      <c r="N36" s="64">
        <v>800481</v>
      </c>
      <c r="O36" s="64">
        <v>-31437</v>
      </c>
      <c r="P36" s="64">
        <v>-33009</v>
      </c>
      <c r="U36" s="50" t="s">
        <v>117</v>
      </c>
      <c r="V36" s="58">
        <v>29940</v>
      </c>
      <c r="W36" s="58">
        <v>31437</v>
      </c>
      <c r="X36" s="58">
        <v>33009</v>
      </c>
    </row>
    <row r="37" spans="1:24" x14ac:dyDescent="0.2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/>
      <c r="K37" s="1"/>
      <c r="L37" s="1" t="s">
        <v>38</v>
      </c>
      <c r="M37" s="46">
        <v>0</v>
      </c>
      <c r="N37" s="20">
        <v>0</v>
      </c>
      <c r="O37" s="20">
        <v>0</v>
      </c>
      <c r="P37" s="20">
        <v>0</v>
      </c>
    </row>
    <row r="38" spans="1:24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 t="s">
        <v>3</v>
      </c>
      <c r="L38" s="1" t="s">
        <v>69</v>
      </c>
      <c r="M38" s="46">
        <v>-175000</v>
      </c>
      <c r="N38" s="20"/>
      <c r="O38" s="20"/>
      <c r="P38" s="20"/>
    </row>
    <row r="39" spans="1:24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1"/>
      <c r="L39" s="3" t="s">
        <v>58</v>
      </c>
      <c r="M39" s="15">
        <f>SUM(M36:M38)</f>
        <v>-217217</v>
      </c>
      <c r="N39" s="20">
        <f t="shared" ref="N39:P39" si="29">SUM(N36:N38)</f>
        <v>800481</v>
      </c>
      <c r="O39" s="20">
        <f t="shared" si="29"/>
        <v>-31437</v>
      </c>
      <c r="P39" s="20">
        <f t="shared" si="29"/>
        <v>-33009</v>
      </c>
      <c r="U39" s="97"/>
      <c r="V39" s="97"/>
      <c r="W39" s="97"/>
      <c r="X39" s="97"/>
    </row>
    <row r="40" spans="1:24" ht="13.5" thickBot="1" x14ac:dyDescent="0.25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3" t="s">
        <v>39</v>
      </c>
      <c r="L40" s="1"/>
      <c r="M40" s="15">
        <f>M30+M34+M39</f>
        <v>17440.75</v>
      </c>
      <c r="N40" s="21">
        <f>N30+N34+N39</f>
        <v>-115329.14199999999</v>
      </c>
      <c r="O40" s="21">
        <f>O30+O34+O39</f>
        <v>76532.996000000014</v>
      </c>
      <c r="P40" s="21">
        <f>P30+P34+P39</f>
        <v>242467.56159749976</v>
      </c>
      <c r="T40" s="50" t="s">
        <v>118</v>
      </c>
    </row>
    <row r="41" spans="1:24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1"/>
      <c r="N41" s="1"/>
      <c r="O41" s="1"/>
      <c r="P41" s="1"/>
    </row>
    <row r="42" spans="1:24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4" t="s">
        <v>3</v>
      </c>
      <c r="N42" s="4" t="s">
        <v>3</v>
      </c>
      <c r="O42" s="4" t="s">
        <v>3</v>
      </c>
      <c r="P42" s="4" t="s">
        <v>3</v>
      </c>
    </row>
    <row r="43" spans="1:24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4"/>
      <c r="O43" s="4"/>
      <c r="P43" s="4"/>
      <c r="Q43" s="4">
        <f>P19+P38</f>
        <v>154729.40121749975</v>
      </c>
    </row>
    <row r="44" spans="1:24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1"/>
      <c r="N44" s="4"/>
      <c r="O44" s="41"/>
      <c r="P44" s="4"/>
      <c r="Q44" s="4" t="s">
        <v>3</v>
      </c>
    </row>
    <row r="45" spans="1:24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K45" s="1"/>
      <c r="L45" s="68"/>
      <c r="M45" s="32"/>
      <c r="N45" s="4"/>
      <c r="P45" s="4"/>
    </row>
    <row r="46" spans="1:24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N46" s="4"/>
      <c r="O46" s="4"/>
      <c r="P46" s="4" t="s">
        <v>3</v>
      </c>
    </row>
    <row r="47" spans="1:24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K47" s="1"/>
      <c r="L47" s="4"/>
      <c r="M47" s="4"/>
      <c r="N47" s="4"/>
      <c r="O47" s="4"/>
      <c r="P47" s="4" t="s">
        <v>3</v>
      </c>
      <c r="T47" s="50" t="s">
        <v>119</v>
      </c>
      <c r="U47">
        <v>2014</v>
      </c>
      <c r="V47">
        <v>2015</v>
      </c>
      <c r="W47">
        <v>2016</v>
      </c>
      <c r="X47">
        <v>2017</v>
      </c>
    </row>
    <row r="48" spans="1:24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L48" s="41"/>
      <c r="M48" s="41"/>
      <c r="N48" s="41"/>
      <c r="O48" s="4" t="s">
        <v>3</v>
      </c>
      <c r="P48" s="4" t="s">
        <v>3</v>
      </c>
      <c r="T48" s="50" t="s">
        <v>122</v>
      </c>
      <c r="U48" s="41">
        <f>E22</f>
        <v>159579</v>
      </c>
      <c r="V48" s="41">
        <f>U48-U51</f>
        <v>117362</v>
      </c>
      <c r="W48" s="41">
        <f t="shared" ref="W48:X48" si="30">V48-V51</f>
        <v>73151.598017282973</v>
      </c>
      <c r="X48" s="41">
        <f t="shared" si="30"/>
        <v>26853.669612293765</v>
      </c>
    </row>
    <row r="49" spans="1:24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K49" s="1"/>
      <c r="L49" s="1"/>
      <c r="M49" s="32"/>
      <c r="N49" s="4"/>
      <c r="O49" s="4" t="s">
        <v>3</v>
      </c>
      <c r="P49" s="4" t="s">
        <v>3</v>
      </c>
      <c r="Q49" s="1"/>
      <c r="T49" s="50" t="s">
        <v>120</v>
      </c>
      <c r="U49">
        <f>M16/E22</f>
        <v>4.7217992342350808E-2</v>
      </c>
      <c r="V49">
        <f>U49</f>
        <v>4.7217992342350808E-2</v>
      </c>
      <c r="W49">
        <f t="shared" ref="W49:X49" si="31">V49</f>
        <v>4.7217992342350808E-2</v>
      </c>
      <c r="X49">
        <f t="shared" si="31"/>
        <v>4.7217992342350808E-2</v>
      </c>
    </row>
    <row r="50" spans="1:24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N50" s="4"/>
      <c r="O50" s="4" t="s">
        <v>3</v>
      </c>
      <c r="P50" s="4" t="s">
        <v>3</v>
      </c>
      <c r="T50" s="50" t="s">
        <v>121</v>
      </c>
      <c r="U50" s="41">
        <f>M16</f>
        <v>7535</v>
      </c>
      <c r="V50" s="63">
        <f>V48*V49</f>
        <v>5541.5980172829759</v>
      </c>
      <c r="W50" s="63">
        <f t="shared" ref="W50:X50" si="32">W48*W49</f>
        <v>3454.071595010792</v>
      </c>
      <c r="X50" s="63">
        <f t="shared" si="32"/>
        <v>1267.9763661173056</v>
      </c>
    </row>
    <row r="51" spans="1:24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K51" s="1"/>
      <c r="L51" s="1"/>
      <c r="M51" s="32"/>
      <c r="N51" s="4" t="s">
        <v>3</v>
      </c>
      <c r="O51" s="4" t="s">
        <v>3</v>
      </c>
      <c r="P51" s="4" t="s">
        <v>3</v>
      </c>
      <c r="T51" s="50" t="s">
        <v>123</v>
      </c>
      <c r="U51" s="41">
        <f>D22-E22</f>
        <v>42217</v>
      </c>
      <c r="V51" s="63">
        <f>$U$52-V50</f>
        <v>44210.401982717027</v>
      </c>
      <c r="W51" s="63">
        <f t="shared" ref="W51:X51" si="33">$U$52-W50</f>
        <v>46297.928404989209</v>
      </c>
      <c r="X51" s="63">
        <f t="shared" si="33"/>
        <v>48484.023633882694</v>
      </c>
    </row>
    <row r="52" spans="1:24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N52" s="4" t="s">
        <v>3</v>
      </c>
      <c r="O52" s="4" t="s">
        <v>3</v>
      </c>
      <c r="P52" s="4" t="s">
        <v>3</v>
      </c>
      <c r="T52" s="50" t="s">
        <v>124</v>
      </c>
      <c r="U52" s="41">
        <f>U50+U51</f>
        <v>49752</v>
      </c>
      <c r="V52" s="41">
        <f t="shared" ref="V52:X52" si="34">V50+V51</f>
        <v>49752</v>
      </c>
      <c r="W52" s="41">
        <f t="shared" si="34"/>
        <v>49752</v>
      </c>
      <c r="X52" s="41">
        <f t="shared" si="34"/>
        <v>49752</v>
      </c>
    </row>
    <row r="53" spans="1:24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K53" s="1"/>
      <c r="L53" s="1"/>
      <c r="M53" s="32"/>
      <c r="N53" s="4" t="s">
        <v>3</v>
      </c>
      <c r="O53" s="4" t="s">
        <v>3</v>
      </c>
      <c r="P53" s="4" t="s">
        <v>3</v>
      </c>
    </row>
    <row r="54" spans="1:24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N54" s="4" t="s">
        <v>3</v>
      </c>
      <c r="O54" s="4" t="s">
        <v>3</v>
      </c>
      <c r="P54" s="4" t="s">
        <v>3</v>
      </c>
    </row>
    <row r="55" spans="1:24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K55" s="1"/>
      <c r="L55" s="1"/>
      <c r="M55" s="32"/>
      <c r="N55" s="4" t="s">
        <v>3</v>
      </c>
      <c r="O55" s="4" t="s">
        <v>3</v>
      </c>
      <c r="P55" s="4" t="s">
        <v>3</v>
      </c>
    </row>
    <row r="56" spans="1:24" x14ac:dyDescent="0.2">
      <c r="A56" s="1"/>
      <c r="B56" s="3" t="s">
        <v>79</v>
      </c>
      <c r="D56" s="3"/>
      <c r="E56" s="1"/>
      <c r="I56" s="18"/>
      <c r="J56" s="1"/>
      <c r="N56" s="4" t="s">
        <v>3</v>
      </c>
      <c r="O56" s="4" t="s">
        <v>3</v>
      </c>
      <c r="P56" s="4" t="s">
        <v>3</v>
      </c>
    </row>
    <row r="57" spans="1:24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N57" s="4"/>
      <c r="O57" s="4"/>
      <c r="P57" s="4"/>
      <c r="T57" s="50"/>
    </row>
    <row r="58" spans="1:24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K58" s="1"/>
      <c r="L58" s="1"/>
      <c r="M58" s="32"/>
      <c r="N58" s="4" t="s">
        <v>3</v>
      </c>
      <c r="O58" s="4" t="s">
        <v>3</v>
      </c>
      <c r="P58" s="4" t="s">
        <v>3</v>
      </c>
      <c r="V58" s="41"/>
      <c r="W58" s="41"/>
      <c r="X58" s="41"/>
    </row>
    <row r="59" spans="1:24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J59" s="1"/>
      <c r="N59" s="4" t="s">
        <v>3</v>
      </c>
      <c r="O59" s="4" t="s">
        <v>3</v>
      </c>
      <c r="P59" s="4" t="s">
        <v>3</v>
      </c>
      <c r="W59" s="41"/>
    </row>
    <row r="60" spans="1:24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K60" s="1"/>
      <c r="L60" s="1"/>
      <c r="M60" s="32"/>
      <c r="N60" s="4" t="s">
        <v>3</v>
      </c>
      <c r="O60" s="4" t="s">
        <v>3</v>
      </c>
      <c r="P60" s="4" t="s">
        <v>3</v>
      </c>
    </row>
    <row r="61" spans="1:24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4" t="s">
        <v>3</v>
      </c>
      <c r="O61" s="4" t="s">
        <v>3</v>
      </c>
      <c r="P61" s="4" t="s">
        <v>3</v>
      </c>
    </row>
    <row r="62" spans="1:24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  <c r="N62" s="1"/>
    </row>
    <row r="63" spans="1:24" x14ac:dyDescent="0.2">
      <c r="I63" s="18"/>
    </row>
    <row r="64" spans="1:24" ht="20.25" x14ac:dyDescent="0.2">
      <c r="K64" s="48" t="s">
        <v>82</v>
      </c>
    </row>
    <row r="67" spans="16:16" x14ac:dyDescent="0.2">
      <c r="P67" s="1"/>
    </row>
  </sheetData>
  <mergeCells count="3">
    <mergeCell ref="T1:X1"/>
    <mergeCell ref="U21:X21"/>
    <mergeCell ref="U39:X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5731-1892-7447-B578-55DBAA872803}">
  <dimension ref="A1:D32"/>
  <sheetViews>
    <sheetView workbookViewId="0">
      <selection activeCell="B24" sqref="B24"/>
    </sheetView>
  </sheetViews>
  <sheetFormatPr defaultColWidth="11.42578125" defaultRowHeight="12.75" x14ac:dyDescent="0.2"/>
  <cols>
    <col min="1" max="1" width="17.42578125" customWidth="1"/>
    <col min="2" max="2" width="13.28515625" customWidth="1"/>
    <col min="4" max="4" width="11.7109375" bestFit="1" customWidth="1"/>
  </cols>
  <sheetData>
    <row r="1" spans="1:3" x14ac:dyDescent="0.2">
      <c r="A1" s="51"/>
    </row>
    <row r="2" spans="1:3" x14ac:dyDescent="0.2">
      <c r="A2" s="53" t="s">
        <v>86</v>
      </c>
      <c r="B2" s="99" t="s">
        <v>88</v>
      </c>
      <c r="C2" s="100">
        <v>0.9</v>
      </c>
    </row>
    <row r="3" spans="1:3" x14ac:dyDescent="0.2">
      <c r="A3" s="52" t="s">
        <v>87</v>
      </c>
      <c r="B3" s="100"/>
      <c r="C3" s="100"/>
    </row>
    <row r="5" spans="1:3" x14ac:dyDescent="0.2">
      <c r="C5" s="55">
        <f>C2*C6</f>
        <v>990000</v>
      </c>
    </row>
    <row r="6" spans="1:3" x14ac:dyDescent="0.2">
      <c r="C6" s="54">
        <v>1100000</v>
      </c>
    </row>
    <row r="9" spans="1:3" x14ac:dyDescent="0.2">
      <c r="A9" s="50" t="s">
        <v>89</v>
      </c>
    </row>
    <row r="10" spans="1:3" x14ac:dyDescent="0.2">
      <c r="A10" s="50" t="s">
        <v>90</v>
      </c>
    </row>
    <row r="13" spans="1:3" x14ac:dyDescent="0.2">
      <c r="A13" s="50" t="s">
        <v>12</v>
      </c>
    </row>
    <row r="14" spans="1:3" x14ac:dyDescent="0.2">
      <c r="A14" s="50" t="s">
        <v>91</v>
      </c>
    </row>
    <row r="17" spans="1:4" x14ac:dyDescent="0.2">
      <c r="A17" s="50" t="s">
        <v>92</v>
      </c>
    </row>
    <row r="19" spans="1:4" x14ac:dyDescent="0.2">
      <c r="A19" s="50" t="s">
        <v>93</v>
      </c>
    </row>
    <row r="23" spans="1:4" x14ac:dyDescent="0.2">
      <c r="A23" s="50" t="s">
        <v>129</v>
      </c>
      <c r="B23">
        <v>2015</v>
      </c>
      <c r="C23">
        <v>2016</v>
      </c>
      <c r="D23">
        <v>2017</v>
      </c>
    </row>
    <row r="24" spans="1:4" x14ac:dyDescent="0.2">
      <c r="B24">
        <f>990000-B25</f>
        <v>960000</v>
      </c>
      <c r="C24">
        <f>B24-B25</f>
        <v>930000</v>
      </c>
      <c r="D24" s="73">
        <f>C24-C25</f>
        <v>897059.83868121565</v>
      </c>
    </row>
    <row r="25" spans="1:4" x14ac:dyDescent="0.2">
      <c r="A25" s="50" t="s">
        <v>116</v>
      </c>
      <c r="B25">
        <v>30000</v>
      </c>
      <c r="C25" s="73">
        <f>-B31-C26</f>
        <v>32940.161318784405</v>
      </c>
      <c r="D25" s="73">
        <f>-B31-D26</f>
        <v>34587.169384723617</v>
      </c>
    </row>
    <row r="26" spans="1:4" x14ac:dyDescent="0.2">
      <c r="A26" s="50" t="s">
        <v>130</v>
      </c>
      <c r="B26">
        <f>0.05*B30</f>
        <v>49500</v>
      </c>
      <c r="C26">
        <f t="shared" ref="C26:D26" si="0">0.05*C24</f>
        <v>46500</v>
      </c>
      <c r="D26" s="73">
        <f t="shared" si="0"/>
        <v>44852.991934060788</v>
      </c>
    </row>
    <row r="28" spans="1:4" x14ac:dyDescent="0.2">
      <c r="A28" s="50" t="s">
        <v>132</v>
      </c>
      <c r="B28">
        <v>20</v>
      </c>
    </row>
    <row r="29" spans="1:4" x14ac:dyDescent="0.2">
      <c r="A29" s="50" t="s">
        <v>120</v>
      </c>
      <c r="B29">
        <v>0.05</v>
      </c>
    </row>
    <row r="30" spans="1:4" x14ac:dyDescent="0.2">
      <c r="A30" s="50" t="s">
        <v>131</v>
      </c>
      <c r="B30">
        <v>990000</v>
      </c>
    </row>
    <row r="31" spans="1:4" x14ac:dyDescent="0.2">
      <c r="A31" s="50" t="s">
        <v>133</v>
      </c>
      <c r="B31" s="72">
        <f>PMT(B29,B28,B30,B32,0)</f>
        <v>-79440.161318784405</v>
      </c>
    </row>
    <row r="32" spans="1:4" x14ac:dyDescent="0.2">
      <c r="A32" s="50" t="s">
        <v>134</v>
      </c>
      <c r="B32">
        <v>0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showGridLines="0" zoomScale="90" zoomScaleNormal="90" zoomScaleSheetLayoutView="90" workbookViewId="0">
      <selection sqref="A1:XFD1048576"/>
    </sheetView>
  </sheetViews>
  <sheetFormatPr defaultColWidth="8.85546875" defaultRowHeight="12.75" x14ac:dyDescent="0.2"/>
  <cols>
    <col min="1" max="2" width="3.7109375" customWidth="1"/>
    <col min="3" max="3" width="35.28515625" customWidth="1"/>
    <col min="4" max="8" width="11.140625" customWidth="1"/>
    <col min="9" max="11" width="3.42578125" customWidth="1"/>
    <col min="12" max="12" width="39.42578125" customWidth="1"/>
    <col min="13" max="16" width="12.28515625" customWidth="1"/>
    <col min="17" max="17" width="0.28515625" customWidth="1"/>
  </cols>
  <sheetData>
    <row r="1" spans="1:18" ht="18.75" x14ac:dyDescent="0.3">
      <c r="A1" s="28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8" ht="13.5" customHeight="1" thickBot="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3" t="s">
        <v>1</v>
      </c>
      <c r="K3" s="1"/>
      <c r="L3" s="1"/>
      <c r="M3" s="1"/>
      <c r="N3" s="1"/>
      <c r="O3" s="1"/>
      <c r="P3" s="1"/>
    </row>
    <row r="4" spans="1:18" ht="15.75" customHeight="1" thickBot="1" x14ac:dyDescent="0.25">
      <c r="A4" s="1"/>
      <c r="B4" s="1"/>
      <c r="C4" s="1"/>
      <c r="D4" s="2">
        <v>2013</v>
      </c>
      <c r="E4" s="7">
        <v>2014</v>
      </c>
      <c r="F4" s="7">
        <v>2015</v>
      </c>
      <c r="G4" s="7">
        <v>2016</v>
      </c>
      <c r="H4" s="7">
        <v>2017</v>
      </c>
      <c r="I4" s="49"/>
      <c r="J4" s="1"/>
      <c r="K4" s="1"/>
      <c r="L4" s="1"/>
      <c r="M4" s="7">
        <v>2014</v>
      </c>
      <c r="N4" s="7">
        <v>2015</v>
      </c>
      <c r="O4" s="7">
        <v>2016</v>
      </c>
      <c r="P4" s="7">
        <v>2017</v>
      </c>
    </row>
    <row r="5" spans="1:18" ht="13.5" customHeight="1" x14ac:dyDescent="0.2">
      <c r="A5" s="3" t="s">
        <v>2</v>
      </c>
      <c r="B5" s="1"/>
      <c r="C5" s="1"/>
      <c r="D5" s="1"/>
      <c r="E5" s="1"/>
      <c r="F5" s="18"/>
      <c r="G5" s="18"/>
      <c r="H5" s="18"/>
      <c r="I5" s="18"/>
      <c r="J5" s="1"/>
      <c r="K5" s="3" t="s">
        <v>50</v>
      </c>
      <c r="L5" s="1"/>
      <c r="M5" s="8">
        <v>1776168</v>
      </c>
      <c r="N5" s="19" t="s">
        <v>3</v>
      </c>
      <c r="O5" s="19" t="s">
        <v>3</v>
      </c>
      <c r="P5" s="19" t="s">
        <v>3</v>
      </c>
    </row>
    <row r="6" spans="1:18" ht="13.5" thickBot="1" x14ac:dyDescent="0.25">
      <c r="A6" s="1"/>
      <c r="B6" s="3" t="s">
        <v>4</v>
      </c>
      <c r="C6" s="1"/>
      <c r="D6" s="1"/>
      <c r="E6" s="1"/>
      <c r="F6" s="18"/>
      <c r="G6" s="18"/>
      <c r="H6" s="18"/>
      <c r="I6" s="18"/>
      <c r="J6" s="1"/>
      <c r="K6" s="1"/>
      <c r="L6" s="1" t="s">
        <v>5</v>
      </c>
      <c r="M6" s="10">
        <v>357597</v>
      </c>
      <c r="N6" s="9" t="s">
        <v>3</v>
      </c>
      <c r="O6" s="9" t="s">
        <v>3</v>
      </c>
      <c r="P6" s="9" t="s">
        <v>3</v>
      </c>
      <c r="Q6" t="s">
        <v>3</v>
      </c>
    </row>
    <row r="7" spans="1:18" x14ac:dyDescent="0.2">
      <c r="A7" s="1"/>
      <c r="B7" s="3"/>
      <c r="C7" s="1" t="s">
        <v>6</v>
      </c>
      <c r="D7" s="35">
        <v>25567</v>
      </c>
      <c r="E7" s="35">
        <v>43008</v>
      </c>
      <c r="F7" s="34" t="s">
        <v>3</v>
      </c>
      <c r="G7" s="34" t="s">
        <v>3</v>
      </c>
      <c r="H7" s="34" t="s">
        <v>3</v>
      </c>
      <c r="I7" s="18"/>
      <c r="J7" s="1"/>
      <c r="K7" s="1"/>
      <c r="L7" s="1" t="s">
        <v>7</v>
      </c>
      <c r="M7" s="8">
        <f>M5-M6</f>
        <v>1418571</v>
      </c>
      <c r="N7" s="19" t="s">
        <v>3</v>
      </c>
      <c r="O7" s="19" t="s">
        <v>3</v>
      </c>
      <c r="P7" s="19" t="s">
        <v>3</v>
      </c>
    </row>
    <row r="8" spans="1:18" x14ac:dyDescent="0.2">
      <c r="A8" s="1"/>
      <c r="B8" s="1"/>
      <c r="C8" s="1" t="s">
        <v>8</v>
      </c>
      <c r="D8" s="13">
        <v>32375</v>
      </c>
      <c r="E8" s="13">
        <v>35525</v>
      </c>
      <c r="F8" s="34" t="s">
        <v>3</v>
      </c>
      <c r="G8" s="34" t="s">
        <v>3</v>
      </c>
      <c r="H8" s="34" t="s">
        <v>3</v>
      </c>
      <c r="I8" s="18"/>
      <c r="J8" s="1"/>
      <c r="K8" s="3" t="s">
        <v>9</v>
      </c>
      <c r="L8" s="1"/>
      <c r="M8" s="11"/>
      <c r="N8" s="11"/>
      <c r="O8" s="11"/>
      <c r="P8" s="11"/>
    </row>
    <row r="9" spans="1:18" ht="13.5" thickBot="1" x14ac:dyDescent="0.25">
      <c r="A9" s="1"/>
      <c r="B9" s="1"/>
      <c r="C9" s="1" t="s">
        <v>10</v>
      </c>
      <c r="D9" s="17">
        <v>131250</v>
      </c>
      <c r="E9" s="17">
        <v>143937</v>
      </c>
      <c r="F9" s="34" t="s">
        <v>3</v>
      </c>
      <c r="G9" s="34" t="s">
        <v>3</v>
      </c>
      <c r="H9" s="34" t="s">
        <v>3</v>
      </c>
      <c r="I9" s="18"/>
      <c r="J9" s="1"/>
      <c r="K9" s="1"/>
      <c r="L9" s="1" t="s">
        <v>45</v>
      </c>
      <c r="M9" s="13">
        <v>439512</v>
      </c>
      <c r="N9" s="12" t="s">
        <v>3</v>
      </c>
      <c r="O9" s="12" t="s">
        <v>3</v>
      </c>
      <c r="P9" s="12" t="s">
        <v>3</v>
      </c>
    </row>
    <row r="10" spans="1:18" ht="13.5" thickBot="1" x14ac:dyDescent="0.25">
      <c r="A10" s="1"/>
      <c r="B10" s="1"/>
      <c r="C10" s="3" t="s">
        <v>11</v>
      </c>
      <c r="D10" s="15">
        <f>SUM(D7:D9)</f>
        <v>189192</v>
      </c>
      <c r="E10" s="15">
        <f>SUM(E7:E9)</f>
        <v>222470</v>
      </c>
      <c r="F10" s="21" t="s">
        <v>3</v>
      </c>
      <c r="G10" s="21" t="s">
        <v>3</v>
      </c>
      <c r="H10" s="21" t="s">
        <v>3</v>
      </c>
      <c r="I10" s="18"/>
      <c r="J10" s="1"/>
      <c r="K10" s="1"/>
      <c r="L10" s="18" t="s">
        <v>71</v>
      </c>
      <c r="M10" s="13">
        <v>82514</v>
      </c>
      <c r="N10" s="12" t="s">
        <v>3</v>
      </c>
      <c r="O10" s="12" t="s">
        <v>3</v>
      </c>
      <c r="P10" s="12" t="s">
        <v>3</v>
      </c>
    </row>
    <row r="11" spans="1:18" x14ac:dyDescent="0.2">
      <c r="A11" s="1"/>
      <c r="B11" s="3" t="s">
        <v>13</v>
      </c>
      <c r="C11" s="1"/>
      <c r="D11" s="4"/>
      <c r="E11" s="4"/>
      <c r="F11" s="11"/>
      <c r="G11" s="11"/>
      <c r="H11" s="11"/>
      <c r="I11" s="18"/>
      <c r="L11" s="18" t="s">
        <v>73</v>
      </c>
      <c r="M11" s="37">
        <v>572776</v>
      </c>
      <c r="N11" s="12" t="s">
        <v>3</v>
      </c>
      <c r="O11" s="12" t="s">
        <v>3</v>
      </c>
      <c r="P11" s="12" t="s">
        <v>3</v>
      </c>
    </row>
    <row r="12" spans="1:18" ht="13.5" customHeight="1" x14ac:dyDescent="0.2">
      <c r="A12" s="1"/>
      <c r="B12" s="1"/>
      <c r="C12" s="1" t="s">
        <v>15</v>
      </c>
      <c r="D12" s="35">
        <v>395785</v>
      </c>
      <c r="E12" s="35">
        <v>470185</v>
      </c>
      <c r="F12" s="34" t="s">
        <v>3</v>
      </c>
      <c r="G12" s="34" t="s">
        <v>3</v>
      </c>
      <c r="H12" s="34" t="s">
        <v>3</v>
      </c>
      <c r="I12" s="18"/>
      <c r="J12" s="1"/>
      <c r="K12" s="1"/>
      <c r="L12" s="1" t="s">
        <v>12</v>
      </c>
      <c r="M12" s="13">
        <v>87221</v>
      </c>
      <c r="N12" s="12" t="s">
        <v>3</v>
      </c>
      <c r="O12" s="12" t="s">
        <v>3</v>
      </c>
      <c r="P12" s="12" t="s">
        <v>3</v>
      </c>
      <c r="R12" s="41" t="s">
        <v>3</v>
      </c>
    </row>
    <row r="13" spans="1:18" ht="13.5" thickBot="1" x14ac:dyDescent="0.25">
      <c r="A13" s="1"/>
      <c r="B13" s="1"/>
      <c r="C13" s="1" t="s">
        <v>17</v>
      </c>
      <c r="D13" s="35">
        <v>120221</v>
      </c>
      <c r="E13" s="35">
        <v>207442</v>
      </c>
      <c r="F13" s="34" t="s">
        <v>3</v>
      </c>
      <c r="G13" s="34" t="s">
        <v>3</v>
      </c>
      <c r="H13" s="34" t="s">
        <v>3</v>
      </c>
      <c r="I13" s="18"/>
      <c r="J13" s="1"/>
      <c r="K13" s="1"/>
      <c r="L13" s="1" t="s">
        <v>14</v>
      </c>
      <c r="M13" s="14">
        <f>SUM(M9:M12)</f>
        <v>1182023</v>
      </c>
      <c r="N13" s="12" t="s">
        <v>3</v>
      </c>
      <c r="O13" s="12" t="s">
        <v>3</v>
      </c>
      <c r="P13" s="12" t="s">
        <v>3</v>
      </c>
    </row>
    <row r="14" spans="1:18" ht="13.5" thickBot="1" x14ac:dyDescent="0.25">
      <c r="A14" s="1"/>
      <c r="B14" s="1"/>
      <c r="C14" s="3" t="s">
        <v>20</v>
      </c>
      <c r="D14" s="5">
        <f>D12-D13</f>
        <v>275564</v>
      </c>
      <c r="E14" s="5">
        <f>E12-E13</f>
        <v>262743</v>
      </c>
      <c r="F14" s="21" t="s">
        <v>3</v>
      </c>
      <c r="G14" s="21" t="s">
        <v>3</v>
      </c>
      <c r="H14" s="21" t="s">
        <v>3</v>
      </c>
      <c r="I14" s="18"/>
      <c r="J14" s="1"/>
      <c r="K14" s="3" t="s">
        <v>16</v>
      </c>
      <c r="L14" s="1"/>
      <c r="M14" s="15">
        <f>M7-M13</f>
        <v>236548</v>
      </c>
      <c r="N14" s="21" t="s">
        <v>3</v>
      </c>
      <c r="O14" s="21" t="s">
        <v>3</v>
      </c>
      <c r="P14" s="21" t="s">
        <v>3</v>
      </c>
    </row>
    <row r="15" spans="1:18" ht="13.5" thickBot="1" x14ac:dyDescent="0.25">
      <c r="A15" s="1"/>
      <c r="B15" s="3" t="s">
        <v>3</v>
      </c>
      <c r="C15" s="1" t="s">
        <v>3</v>
      </c>
      <c r="D15" s="4"/>
      <c r="E15" s="4"/>
      <c r="F15" s="11"/>
      <c r="G15" s="11"/>
      <c r="H15" s="11"/>
      <c r="I15" s="18"/>
      <c r="J15" s="1"/>
      <c r="K15" s="1"/>
      <c r="L15" s="1" t="s">
        <v>18</v>
      </c>
      <c r="M15" s="14">
        <v>7535</v>
      </c>
      <c r="N15" s="42" t="s">
        <v>3</v>
      </c>
      <c r="O15" s="42" t="s">
        <v>3</v>
      </c>
      <c r="P15" s="42" t="s">
        <v>3</v>
      </c>
    </row>
    <row r="16" spans="1:18" ht="13.5" thickBot="1" x14ac:dyDescent="0.25">
      <c r="A16" s="1" t="s">
        <v>3</v>
      </c>
      <c r="B16" s="3" t="s">
        <v>23</v>
      </c>
      <c r="C16" s="1"/>
      <c r="D16" s="5">
        <f>D10+D14</f>
        <v>464756</v>
      </c>
      <c r="E16" s="5">
        <f>E10+E14</f>
        <v>485213</v>
      </c>
      <c r="F16" s="21" t="s">
        <v>3</v>
      </c>
      <c r="G16" s="21" t="s">
        <v>3</v>
      </c>
      <c r="H16" s="21" t="s">
        <v>3</v>
      </c>
      <c r="I16" s="18"/>
      <c r="J16" s="1"/>
      <c r="K16" s="3" t="s">
        <v>19</v>
      </c>
      <c r="L16" s="1"/>
      <c r="M16" s="15">
        <f>M14-M15</f>
        <v>229013</v>
      </c>
      <c r="N16" s="21" t="s">
        <v>3</v>
      </c>
      <c r="O16" s="21" t="s">
        <v>3</v>
      </c>
      <c r="P16" s="21" t="s">
        <v>3</v>
      </c>
    </row>
    <row r="17" spans="1:16" ht="13.5" thickBot="1" x14ac:dyDescent="0.25">
      <c r="A17" s="1"/>
      <c r="B17" s="1"/>
      <c r="C17" s="1"/>
      <c r="D17" s="4"/>
      <c r="E17" s="4"/>
      <c r="F17" s="11"/>
      <c r="G17" s="11"/>
      <c r="H17" s="11"/>
      <c r="I17" s="18"/>
      <c r="J17" s="1"/>
      <c r="K17" s="1"/>
      <c r="L17" s="1" t="s">
        <v>21</v>
      </c>
      <c r="M17" s="14">
        <v>0</v>
      </c>
      <c r="N17" s="16" t="s">
        <v>3</v>
      </c>
      <c r="O17" s="16" t="s">
        <v>3</v>
      </c>
      <c r="P17" s="16" t="s">
        <v>3</v>
      </c>
    </row>
    <row r="18" spans="1:16" ht="13.5" thickBot="1" x14ac:dyDescent="0.25">
      <c r="A18" s="3" t="s">
        <v>25</v>
      </c>
      <c r="B18" s="1"/>
      <c r="C18" s="1"/>
      <c r="D18" s="4"/>
      <c r="E18" s="4"/>
      <c r="F18" s="11"/>
      <c r="G18" s="11"/>
      <c r="H18" s="11"/>
      <c r="I18" s="18"/>
      <c r="J18" s="1"/>
      <c r="K18" s="3" t="s">
        <v>22</v>
      </c>
      <c r="L18" s="1"/>
      <c r="M18" s="15">
        <f>M16-M17</f>
        <v>229013</v>
      </c>
      <c r="N18" s="21" t="s">
        <v>3</v>
      </c>
      <c r="O18" s="21" t="s">
        <v>3</v>
      </c>
      <c r="P18" s="21" t="s">
        <v>3</v>
      </c>
    </row>
    <row r="19" spans="1:16" x14ac:dyDescent="0.2">
      <c r="B19" s="3" t="s">
        <v>44</v>
      </c>
      <c r="C19" s="1"/>
      <c r="D19" s="4"/>
      <c r="E19" s="4"/>
      <c r="F19" s="11"/>
      <c r="G19" s="11"/>
      <c r="H19" s="11"/>
      <c r="I19" s="18"/>
      <c r="J19" s="3" t="s">
        <v>24</v>
      </c>
      <c r="K19" s="1"/>
      <c r="L19" s="1"/>
      <c r="M19" s="4"/>
      <c r="N19" s="11"/>
      <c r="O19" s="11"/>
      <c r="P19" s="11"/>
    </row>
    <row r="20" spans="1:16" x14ac:dyDescent="0.2">
      <c r="A20" s="1"/>
      <c r="B20" s="3"/>
      <c r="C20" s="30" t="s">
        <v>42</v>
      </c>
      <c r="D20" s="17">
        <v>44625</v>
      </c>
      <c r="E20" s="17">
        <v>53286</v>
      </c>
      <c r="F20" s="34" t="s">
        <v>3</v>
      </c>
      <c r="G20" s="34" t="s">
        <v>3</v>
      </c>
      <c r="H20" s="34" t="s">
        <v>3</v>
      </c>
      <c r="I20" s="18"/>
      <c r="J20" s="3"/>
      <c r="K20" s="1"/>
      <c r="L20" s="1"/>
      <c r="M20" s="4"/>
      <c r="N20" s="11"/>
      <c r="O20" s="11"/>
      <c r="P20" s="11"/>
    </row>
    <row r="21" spans="1:16" x14ac:dyDescent="0.2">
      <c r="C21" s="1" t="s">
        <v>52</v>
      </c>
      <c r="D21" s="17">
        <v>0</v>
      </c>
      <c r="E21" s="17">
        <v>0</v>
      </c>
      <c r="F21" s="34" t="s">
        <v>3</v>
      </c>
      <c r="G21" s="34" t="s">
        <v>3</v>
      </c>
      <c r="H21" s="34" t="s">
        <v>3</v>
      </c>
      <c r="I21" s="18"/>
      <c r="J21" s="1"/>
      <c r="K21" s="3" t="s">
        <v>56</v>
      </c>
      <c r="L21" s="1"/>
      <c r="M21" s="4"/>
      <c r="N21" s="11"/>
      <c r="O21" s="11"/>
      <c r="P21" s="11"/>
    </row>
    <row r="22" spans="1:16" ht="13.5" thickBot="1" x14ac:dyDescent="0.25">
      <c r="C22" s="1" t="s">
        <v>53</v>
      </c>
      <c r="D22" s="17">
        <v>201796</v>
      </c>
      <c r="E22" s="17">
        <v>159579</v>
      </c>
      <c r="F22" s="34" t="s">
        <v>3</v>
      </c>
      <c r="G22" s="34" t="s">
        <v>3</v>
      </c>
      <c r="H22" s="34" t="s">
        <v>3</v>
      </c>
      <c r="I22" s="18"/>
      <c r="J22" s="1"/>
      <c r="K22" s="1" t="s">
        <v>22</v>
      </c>
      <c r="L22" s="1"/>
      <c r="M22" s="43">
        <f>M18</f>
        <v>229013</v>
      </c>
      <c r="N22" s="12" t="s">
        <v>3</v>
      </c>
      <c r="O22" s="12" t="s">
        <v>3</v>
      </c>
      <c r="P22" s="12" t="s">
        <v>3</v>
      </c>
    </row>
    <row r="23" spans="1:16" ht="13.5" thickBot="1" x14ac:dyDescent="0.25">
      <c r="A23" s="1"/>
      <c r="B23" s="3"/>
      <c r="C23" s="3" t="s">
        <v>43</v>
      </c>
      <c r="D23" s="15">
        <f>SUM(D20:D22)</f>
        <v>246421</v>
      </c>
      <c r="E23" s="15">
        <f>SUM(E20:E22)</f>
        <v>212865</v>
      </c>
      <c r="F23" s="21" t="s">
        <v>3</v>
      </c>
      <c r="G23" s="21" t="s">
        <v>3</v>
      </c>
      <c r="H23" s="21" t="s">
        <v>3</v>
      </c>
      <c r="I23" s="18"/>
      <c r="J23" s="1"/>
      <c r="K23" s="1" t="s">
        <v>51</v>
      </c>
      <c r="L23" s="1"/>
      <c r="M23" s="43">
        <f>M12</f>
        <v>87221</v>
      </c>
      <c r="N23" s="12" t="s">
        <v>3</v>
      </c>
      <c r="O23" s="12" t="s">
        <v>3</v>
      </c>
      <c r="P23" s="12" t="s">
        <v>3</v>
      </c>
    </row>
    <row r="24" spans="1:16" ht="13.5" thickBot="1" x14ac:dyDescent="0.25">
      <c r="A24" s="1"/>
      <c r="B24" s="3" t="s">
        <v>26</v>
      </c>
      <c r="C24" s="1"/>
      <c r="D24" s="13">
        <v>0</v>
      </c>
      <c r="E24" s="13">
        <v>0</v>
      </c>
      <c r="F24" s="12" t="s">
        <v>3</v>
      </c>
      <c r="G24" s="12" t="s">
        <v>3</v>
      </c>
      <c r="H24" s="12" t="s">
        <v>3</v>
      </c>
      <c r="I24" s="18"/>
      <c r="J24" s="1"/>
      <c r="K24" s="1" t="s">
        <v>28</v>
      </c>
      <c r="L24" s="1"/>
      <c r="M24" s="44"/>
      <c r="N24" s="29"/>
      <c r="O24" s="29"/>
      <c r="P24" s="29"/>
    </row>
    <row r="25" spans="1:16" ht="13.5" thickBot="1" x14ac:dyDescent="0.25">
      <c r="A25" s="1"/>
      <c r="B25" s="1"/>
      <c r="C25" s="3" t="s">
        <v>27</v>
      </c>
      <c r="D25" s="15">
        <f>D23+D24</f>
        <v>246421</v>
      </c>
      <c r="E25" s="15">
        <f>E23+E24</f>
        <v>212865</v>
      </c>
      <c r="F25" s="21" t="s">
        <v>3</v>
      </c>
      <c r="G25" s="21" t="s">
        <v>3</v>
      </c>
      <c r="H25" s="21" t="s">
        <v>3</v>
      </c>
      <c r="I25" s="18"/>
      <c r="J25" s="1"/>
      <c r="K25" s="1"/>
      <c r="L25" s="1" t="s">
        <v>31</v>
      </c>
      <c r="M25" s="13">
        <f t="shared" ref="M25:M26" si="0">D8-E8</f>
        <v>-3150</v>
      </c>
      <c r="N25" s="12" t="s">
        <v>3</v>
      </c>
      <c r="O25" s="12" t="s">
        <v>3</v>
      </c>
      <c r="P25" s="12" t="s">
        <v>3</v>
      </c>
    </row>
    <row r="26" spans="1:16" x14ac:dyDescent="0.2">
      <c r="A26" s="1"/>
      <c r="B26" s="1"/>
      <c r="C26" s="3"/>
      <c r="D26" s="4"/>
      <c r="E26" s="4"/>
      <c r="F26" s="11"/>
      <c r="G26" s="11"/>
      <c r="H26" s="11"/>
      <c r="I26" s="18"/>
      <c r="J26" s="1"/>
      <c r="K26" s="1"/>
      <c r="L26" s="1" t="s">
        <v>29</v>
      </c>
      <c r="M26" s="13">
        <f t="shared" si="0"/>
        <v>-12687</v>
      </c>
      <c r="N26" s="12" t="s">
        <v>3</v>
      </c>
      <c r="O26" s="12" t="s">
        <v>3</v>
      </c>
      <c r="P26" s="12" t="s">
        <v>3</v>
      </c>
    </row>
    <row r="27" spans="1:16" x14ac:dyDescent="0.2">
      <c r="A27" s="1"/>
      <c r="B27" s="3" t="s">
        <v>30</v>
      </c>
      <c r="C27" s="1"/>
      <c r="D27" s="4"/>
      <c r="E27" s="4"/>
      <c r="F27" s="11"/>
      <c r="G27" s="11"/>
      <c r="H27" s="11"/>
      <c r="I27" s="18"/>
      <c r="J27" s="1"/>
      <c r="K27" s="1"/>
      <c r="L27" s="1" t="s">
        <v>32</v>
      </c>
      <c r="M27" s="17">
        <f t="shared" ref="M27:M28" si="1">E20-D20</f>
        <v>8661</v>
      </c>
      <c r="N27" s="20" t="s">
        <v>3</v>
      </c>
      <c r="O27" s="20" t="s">
        <v>3</v>
      </c>
      <c r="P27" s="20" t="s">
        <v>3</v>
      </c>
    </row>
    <row r="28" spans="1:16" ht="13.5" thickBot="1" x14ac:dyDescent="0.25">
      <c r="A28" s="1"/>
      <c r="B28" s="1" t="s">
        <v>3</v>
      </c>
      <c r="C28" s="1" t="s">
        <v>75</v>
      </c>
      <c r="D28" s="13">
        <v>150000</v>
      </c>
      <c r="E28" s="13">
        <v>150000</v>
      </c>
      <c r="F28" s="12" t="s">
        <v>3</v>
      </c>
      <c r="G28" s="12" t="s">
        <v>3</v>
      </c>
      <c r="H28" s="12" t="s">
        <v>3</v>
      </c>
      <c r="I28" s="18"/>
      <c r="J28" s="1"/>
      <c r="L28" s="1" t="s">
        <v>54</v>
      </c>
      <c r="M28" s="17">
        <f t="shared" si="1"/>
        <v>0</v>
      </c>
      <c r="N28" s="20" t="s">
        <v>3</v>
      </c>
      <c r="O28" s="20" t="s">
        <v>3</v>
      </c>
      <c r="P28" s="20" t="s">
        <v>3</v>
      </c>
    </row>
    <row r="29" spans="1:16" ht="13.5" thickBot="1" x14ac:dyDescent="0.25">
      <c r="A29" s="1"/>
      <c r="B29" s="1"/>
      <c r="C29" s="1" t="s">
        <v>33</v>
      </c>
      <c r="D29" s="36">
        <v>68335</v>
      </c>
      <c r="E29" s="36">
        <v>122348</v>
      </c>
      <c r="F29" s="33" t="s">
        <v>3</v>
      </c>
      <c r="G29" s="33" t="s">
        <v>3</v>
      </c>
      <c r="H29" s="33" t="s">
        <v>3</v>
      </c>
      <c r="I29" s="18"/>
      <c r="J29" s="1"/>
      <c r="K29" s="1"/>
      <c r="L29" s="3" t="s">
        <v>56</v>
      </c>
      <c r="M29" s="15">
        <f>M22+M23+M25+M26+M27+M28</f>
        <v>309058</v>
      </c>
      <c r="N29" s="31" t="s">
        <v>3</v>
      </c>
      <c r="O29" s="31" t="s">
        <v>3</v>
      </c>
      <c r="P29" s="31" t="s">
        <v>3</v>
      </c>
    </row>
    <row r="30" spans="1:16" ht="13.5" thickBot="1" x14ac:dyDescent="0.25">
      <c r="A30" s="1"/>
      <c r="B30" s="1"/>
      <c r="C30" s="3" t="s">
        <v>34</v>
      </c>
      <c r="D30" s="5">
        <f>SUM(D28:D29)</f>
        <v>218335</v>
      </c>
      <c r="E30" s="5">
        <f>SUM(E28:E29)</f>
        <v>272348</v>
      </c>
      <c r="F30" s="21" t="s">
        <v>3</v>
      </c>
      <c r="G30" s="21" t="s">
        <v>3</v>
      </c>
      <c r="H30" s="21" t="s">
        <v>3</v>
      </c>
      <c r="I30" s="18"/>
      <c r="J30" s="1"/>
      <c r="K30" s="3" t="s">
        <v>57</v>
      </c>
      <c r="L30" s="1"/>
      <c r="M30" s="45"/>
      <c r="N30" s="11"/>
      <c r="O30" s="11"/>
      <c r="P30" s="11"/>
    </row>
    <row r="31" spans="1:16" ht="13.5" thickBot="1" x14ac:dyDescent="0.25">
      <c r="A31" s="1"/>
      <c r="B31" s="3"/>
      <c r="C31" s="1"/>
      <c r="D31" s="4"/>
      <c r="E31" s="4"/>
      <c r="F31" s="11"/>
      <c r="G31" s="11"/>
      <c r="H31" s="11"/>
      <c r="I31" s="18"/>
      <c r="J31" s="1"/>
      <c r="K31" s="1" t="s">
        <v>35</v>
      </c>
      <c r="L31" s="1"/>
      <c r="M31" s="13">
        <f>D12-E12</f>
        <v>-74400</v>
      </c>
      <c r="N31" s="12" t="s">
        <v>3</v>
      </c>
      <c r="O31" s="12" t="s">
        <v>3</v>
      </c>
      <c r="P31" s="12" t="s">
        <v>3</v>
      </c>
    </row>
    <row r="32" spans="1:16" ht="13.5" thickBot="1" x14ac:dyDescent="0.25">
      <c r="A32" s="1"/>
      <c r="B32" s="3" t="s">
        <v>36</v>
      </c>
      <c r="C32" s="1"/>
      <c r="D32" s="5">
        <f>D25+D30</f>
        <v>464756</v>
      </c>
      <c r="E32" s="5">
        <f>E25+E30</f>
        <v>485213</v>
      </c>
      <c r="F32" s="21" t="s">
        <v>3</v>
      </c>
      <c r="G32" s="21" t="s">
        <v>3</v>
      </c>
      <c r="H32" s="21" t="s">
        <v>3</v>
      </c>
      <c r="I32" s="18"/>
      <c r="J32" s="1"/>
      <c r="K32" s="1" t="s">
        <v>37</v>
      </c>
      <c r="L32" s="1"/>
      <c r="M32" s="46">
        <v>0</v>
      </c>
      <c r="N32" s="20" t="s">
        <v>3</v>
      </c>
      <c r="O32" s="20" t="s">
        <v>3</v>
      </c>
      <c r="P32" s="20" t="s">
        <v>3</v>
      </c>
    </row>
    <row r="33" spans="1:16" ht="13.5" thickBot="1" x14ac:dyDescent="0.25">
      <c r="A33" s="1"/>
      <c r="B33" s="1"/>
      <c r="C33" s="1"/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18"/>
      <c r="J33" s="1"/>
      <c r="K33" s="1"/>
      <c r="L33" s="3" t="s">
        <v>57</v>
      </c>
      <c r="M33" s="47">
        <f>SUM(M31:M32)</f>
        <v>-74400</v>
      </c>
      <c r="N33" s="21" t="s">
        <v>3</v>
      </c>
      <c r="O33" s="21" t="s">
        <v>3</v>
      </c>
      <c r="P33" s="21" t="s">
        <v>3</v>
      </c>
    </row>
    <row r="34" spans="1:16" ht="13.5" thickBot="1" x14ac:dyDescent="0.25">
      <c r="A34" s="1"/>
      <c r="B34" s="1"/>
      <c r="C34" s="1"/>
      <c r="D34" s="1"/>
      <c r="E34" s="1"/>
      <c r="F34" s="1"/>
      <c r="G34" s="1"/>
      <c r="H34" s="1"/>
      <c r="I34" s="18"/>
      <c r="J34" s="1"/>
      <c r="K34" s="3" t="s">
        <v>58</v>
      </c>
      <c r="L34" s="1"/>
      <c r="M34" s="45"/>
      <c r="N34" s="11"/>
      <c r="O34" s="11"/>
      <c r="P34" s="11"/>
    </row>
    <row r="35" spans="1:16" ht="13.5" thickBot="1" x14ac:dyDescent="0.25">
      <c r="A35" s="6" t="s">
        <v>77</v>
      </c>
      <c r="B35" s="1"/>
      <c r="C35" s="1"/>
      <c r="D35" s="1"/>
      <c r="E35" s="7">
        <v>2014</v>
      </c>
      <c r="F35" s="7">
        <v>2015</v>
      </c>
      <c r="G35" s="7">
        <v>2016</v>
      </c>
      <c r="H35" s="7">
        <v>2017</v>
      </c>
      <c r="I35" s="18"/>
      <c r="J35" s="1"/>
      <c r="K35" s="1"/>
      <c r="L35" s="1" t="s">
        <v>55</v>
      </c>
      <c r="M35" s="43">
        <f>E22-D22</f>
        <v>-42217</v>
      </c>
      <c r="N35" s="12" t="s">
        <v>3</v>
      </c>
      <c r="O35" s="12" t="s">
        <v>3</v>
      </c>
      <c r="P35" s="12" t="s">
        <v>3</v>
      </c>
    </row>
    <row r="36" spans="1:16" x14ac:dyDescent="0.2">
      <c r="A36" s="1"/>
      <c r="B36" s="3" t="s">
        <v>76</v>
      </c>
      <c r="D36" s="3"/>
      <c r="E36" s="1"/>
      <c r="F36" s="3"/>
      <c r="G36" s="3"/>
      <c r="H36" s="3"/>
      <c r="I36" s="18"/>
      <c r="J36" s="1"/>
      <c r="K36" s="1"/>
      <c r="L36" s="1" t="s">
        <v>38</v>
      </c>
      <c r="M36" s="46">
        <v>0</v>
      </c>
      <c r="N36" s="20" t="s">
        <v>3</v>
      </c>
      <c r="O36" s="20" t="s">
        <v>3</v>
      </c>
      <c r="P36" s="20" t="str">
        <f t="shared" ref="P36" si="2">H61</f>
        <v xml:space="preserve"> </v>
      </c>
    </row>
    <row r="37" spans="1:16" ht="13.5" thickBot="1" x14ac:dyDescent="0.25">
      <c r="A37" s="3"/>
      <c r="C37" s="3" t="s">
        <v>60</v>
      </c>
      <c r="D37" s="3"/>
      <c r="E37" s="23">
        <v>126869</v>
      </c>
      <c r="F37" s="25" t="s">
        <v>3</v>
      </c>
      <c r="G37" s="25" t="s">
        <v>3</v>
      </c>
      <c r="H37" s="25" t="s">
        <v>3</v>
      </c>
      <c r="I37" s="18"/>
      <c r="J37" s="1" t="s">
        <v>3</v>
      </c>
      <c r="L37" s="1" t="s">
        <v>69</v>
      </c>
      <c r="M37" s="46">
        <v>-175000</v>
      </c>
      <c r="N37" s="20" t="s">
        <v>3</v>
      </c>
      <c r="O37" s="20" t="s">
        <v>3</v>
      </c>
      <c r="P37" s="20" t="s">
        <v>3</v>
      </c>
    </row>
    <row r="38" spans="1:16" ht="13.5" thickBot="1" x14ac:dyDescent="0.25">
      <c r="A38" s="3"/>
      <c r="C38" s="3" t="s">
        <v>61</v>
      </c>
      <c r="E38" s="24">
        <v>14</v>
      </c>
      <c r="F38" s="26" t="s">
        <v>3</v>
      </c>
      <c r="G38" s="26" t="s">
        <v>3</v>
      </c>
      <c r="H38" s="26" t="s">
        <v>3</v>
      </c>
      <c r="I38" s="18"/>
      <c r="J38" s="1"/>
      <c r="K38" s="1"/>
      <c r="L38" s="3" t="s">
        <v>58</v>
      </c>
      <c r="M38" s="15">
        <f>SUM(M35:M37)</f>
        <v>-217217</v>
      </c>
      <c r="N38" s="21" t="s">
        <v>3</v>
      </c>
      <c r="O38" s="21" t="s">
        <v>3</v>
      </c>
      <c r="P38" s="21" t="s">
        <v>3</v>
      </c>
    </row>
    <row r="39" spans="1:16" ht="13.5" thickBot="1" x14ac:dyDescent="0.25">
      <c r="A39" s="3"/>
      <c r="B39" s="3" t="s">
        <v>47</v>
      </c>
      <c r="D39" s="3"/>
      <c r="E39" s="1"/>
      <c r="F39" s="22" t="s">
        <v>3</v>
      </c>
      <c r="G39" s="22" t="s">
        <v>3</v>
      </c>
      <c r="H39" s="22" t="s">
        <v>3</v>
      </c>
      <c r="I39" s="18"/>
      <c r="J39" s="1"/>
      <c r="K39" s="3" t="s">
        <v>39</v>
      </c>
      <c r="L39" s="1"/>
      <c r="M39" s="15">
        <f>M29+M33+M38</f>
        <v>17441</v>
      </c>
      <c r="N39" s="21" t="s">
        <v>3</v>
      </c>
      <c r="O39" s="21" t="s">
        <v>3</v>
      </c>
      <c r="P39" s="21" t="s">
        <v>3</v>
      </c>
    </row>
    <row r="40" spans="1:16" x14ac:dyDescent="0.2">
      <c r="A40" s="3"/>
      <c r="B40" s="3" t="s">
        <v>83</v>
      </c>
      <c r="D40" s="3"/>
      <c r="E40" s="1" t="s">
        <v>3</v>
      </c>
      <c r="F40" s="22" t="s">
        <v>3</v>
      </c>
      <c r="G40" s="22" t="s">
        <v>3</v>
      </c>
      <c r="H40" s="22" t="s">
        <v>3</v>
      </c>
      <c r="I40" s="18"/>
      <c r="J40" s="1"/>
      <c r="K40" s="1"/>
      <c r="L40" s="1"/>
      <c r="M40" s="1"/>
      <c r="N40" s="1"/>
      <c r="O40" s="1"/>
      <c r="P40" s="1"/>
    </row>
    <row r="41" spans="1:16" x14ac:dyDescent="0.2">
      <c r="A41" s="3"/>
      <c r="B41" s="3" t="s">
        <v>46</v>
      </c>
      <c r="D41" s="3"/>
      <c r="E41" s="1"/>
      <c r="I41" s="18"/>
      <c r="J41" s="1"/>
      <c r="K41" s="1"/>
      <c r="L41" s="1"/>
      <c r="M41" s="4" t="s">
        <v>3</v>
      </c>
      <c r="N41" s="4" t="s">
        <v>3</v>
      </c>
      <c r="O41" s="4" t="s">
        <v>3</v>
      </c>
      <c r="P41" s="4" t="s">
        <v>3</v>
      </c>
    </row>
    <row r="42" spans="1:16" x14ac:dyDescent="0.2">
      <c r="A42" s="3"/>
      <c r="C42" s="3" t="s">
        <v>84</v>
      </c>
      <c r="D42" s="3"/>
      <c r="E42" s="1"/>
      <c r="F42" s="22" t="s">
        <v>3</v>
      </c>
      <c r="G42" s="22" t="s">
        <v>3</v>
      </c>
      <c r="H42" s="22" t="s">
        <v>3</v>
      </c>
      <c r="I42" s="18"/>
      <c r="J42" s="1"/>
      <c r="K42" s="1"/>
      <c r="L42" s="1"/>
      <c r="M42" s="1"/>
      <c r="N42" s="1"/>
      <c r="O42" s="1"/>
      <c r="P42" s="1"/>
    </row>
    <row r="43" spans="1:16" x14ac:dyDescent="0.2">
      <c r="A43" s="3"/>
      <c r="C43" s="3" t="s">
        <v>70</v>
      </c>
      <c r="D43" s="3"/>
      <c r="E43" s="1"/>
      <c r="F43" s="38" t="s">
        <v>3</v>
      </c>
      <c r="G43" s="38" t="s">
        <v>3</v>
      </c>
      <c r="H43" s="38" t="s">
        <v>3</v>
      </c>
      <c r="I43" s="18"/>
      <c r="J43" s="1"/>
      <c r="K43" s="1"/>
      <c r="L43" s="1"/>
      <c r="M43" s="1"/>
      <c r="N43" s="1"/>
      <c r="O43" s="1"/>
      <c r="P43" s="1"/>
    </row>
    <row r="44" spans="1:16" x14ac:dyDescent="0.2">
      <c r="A44" s="3"/>
      <c r="B44" s="3" t="s">
        <v>41</v>
      </c>
      <c r="D44" s="3"/>
      <c r="E44" s="1"/>
      <c r="I44" s="18"/>
      <c r="J44" s="1"/>
      <c r="K44" s="1"/>
      <c r="L44" s="1"/>
      <c r="M44" s="32"/>
      <c r="N44" s="4" t="s">
        <v>3</v>
      </c>
      <c r="O44" s="4" t="s">
        <v>3</v>
      </c>
      <c r="P44" s="4" t="s">
        <v>3</v>
      </c>
    </row>
    <row r="45" spans="1:16" x14ac:dyDescent="0.2">
      <c r="A45" s="3"/>
      <c r="C45" s="3" t="s">
        <v>62</v>
      </c>
      <c r="E45" s="27">
        <v>87221</v>
      </c>
      <c r="F45" s="39" t="s">
        <v>3</v>
      </c>
      <c r="G45" s="39" t="s">
        <v>3</v>
      </c>
      <c r="H45" s="39" t="s">
        <v>3</v>
      </c>
      <c r="I45" s="18"/>
      <c r="J45" s="1"/>
      <c r="N45" s="4" t="s">
        <v>3</v>
      </c>
      <c r="O45" s="4" t="s">
        <v>3</v>
      </c>
      <c r="P45" s="4" t="s">
        <v>3</v>
      </c>
    </row>
    <row r="46" spans="1:16" x14ac:dyDescent="0.2">
      <c r="A46" s="3"/>
      <c r="C46" s="3" t="s">
        <v>63</v>
      </c>
      <c r="E46" s="27"/>
      <c r="F46" s="39" t="s">
        <v>3</v>
      </c>
      <c r="G46" s="39" t="s">
        <v>3</v>
      </c>
      <c r="H46" s="39" t="s">
        <v>3</v>
      </c>
      <c r="I46" s="18"/>
      <c r="J46" s="1"/>
      <c r="K46" s="1"/>
      <c r="L46" s="1"/>
      <c r="M46" s="32"/>
      <c r="N46" s="4" t="s">
        <v>3</v>
      </c>
      <c r="O46" s="4" t="s">
        <v>3</v>
      </c>
      <c r="P46" s="4" t="s">
        <v>3</v>
      </c>
    </row>
    <row r="47" spans="1:16" x14ac:dyDescent="0.2">
      <c r="A47" s="3"/>
      <c r="C47" s="3" t="s">
        <v>80</v>
      </c>
      <c r="E47" s="27">
        <v>0</v>
      </c>
      <c r="F47" s="39" t="s">
        <v>3</v>
      </c>
      <c r="G47" s="39" t="s">
        <v>3</v>
      </c>
      <c r="H47" s="39" t="s">
        <v>3</v>
      </c>
      <c r="I47" s="18"/>
      <c r="J47" s="1"/>
      <c r="N47" s="4" t="s">
        <v>3</v>
      </c>
      <c r="O47" s="4" t="s">
        <v>3</v>
      </c>
      <c r="P47" s="4" t="s">
        <v>3</v>
      </c>
    </row>
    <row r="48" spans="1:16" x14ac:dyDescent="0.2">
      <c r="A48" s="3"/>
      <c r="C48" s="3" t="s">
        <v>59</v>
      </c>
      <c r="E48" s="27">
        <f>E45+E47</f>
        <v>87221</v>
      </c>
      <c r="F48" s="39" t="s">
        <v>3</v>
      </c>
      <c r="G48" s="39" t="s">
        <v>3</v>
      </c>
      <c r="H48" s="39" t="s">
        <v>3</v>
      </c>
      <c r="I48" s="18"/>
      <c r="J48" s="1"/>
      <c r="K48" s="1"/>
      <c r="L48" s="1"/>
      <c r="M48" s="32"/>
      <c r="N48" s="4" t="s">
        <v>3</v>
      </c>
      <c r="O48" s="4" t="s">
        <v>3</v>
      </c>
      <c r="P48" s="4" t="s">
        <v>3</v>
      </c>
    </row>
    <row r="49" spans="1:17" x14ac:dyDescent="0.2">
      <c r="A49" s="3"/>
      <c r="B49" s="3" t="s">
        <v>78</v>
      </c>
      <c r="D49" s="3"/>
      <c r="E49" s="1"/>
      <c r="F49" s="39" t="s">
        <v>3</v>
      </c>
      <c r="G49" s="39" t="s">
        <v>3</v>
      </c>
      <c r="H49" s="39" t="s">
        <v>3</v>
      </c>
      <c r="I49" s="18"/>
      <c r="J49" s="1"/>
      <c r="N49" s="4" t="s">
        <v>3</v>
      </c>
      <c r="O49" s="4" t="s">
        <v>3</v>
      </c>
      <c r="P49" s="4" t="s">
        <v>3</v>
      </c>
      <c r="Q49" s="1"/>
    </row>
    <row r="50" spans="1:17" x14ac:dyDescent="0.2">
      <c r="A50" s="3"/>
      <c r="B50" s="3" t="s">
        <v>74</v>
      </c>
      <c r="D50" s="3"/>
      <c r="E50" s="1"/>
      <c r="F50" s="39" t="s">
        <v>3</v>
      </c>
      <c r="G50" s="39" t="s">
        <v>3</v>
      </c>
      <c r="H50" s="39" t="s">
        <v>3</v>
      </c>
      <c r="I50" s="18"/>
      <c r="J50" s="1"/>
      <c r="K50" s="1"/>
      <c r="L50" s="1"/>
      <c r="M50" s="32"/>
      <c r="N50" s="4" t="s">
        <v>3</v>
      </c>
      <c r="O50" s="4" t="s">
        <v>3</v>
      </c>
      <c r="P50" s="4" t="s">
        <v>3</v>
      </c>
    </row>
    <row r="51" spans="1:17" x14ac:dyDescent="0.2">
      <c r="A51" s="3"/>
      <c r="B51" s="3" t="s">
        <v>48</v>
      </c>
      <c r="D51" s="3"/>
      <c r="E51" s="1"/>
      <c r="F51" s="39" t="s">
        <v>3</v>
      </c>
      <c r="G51" s="39" t="s">
        <v>3</v>
      </c>
      <c r="H51" s="39" t="s">
        <v>3</v>
      </c>
      <c r="I51" s="18"/>
      <c r="J51" s="1"/>
      <c r="N51" s="4" t="s">
        <v>3</v>
      </c>
      <c r="O51" s="4" t="s">
        <v>3</v>
      </c>
      <c r="P51" s="4" t="s">
        <v>3</v>
      </c>
    </row>
    <row r="52" spans="1:17" x14ac:dyDescent="0.2">
      <c r="A52" s="3"/>
      <c r="B52" s="3" t="s">
        <v>49</v>
      </c>
      <c r="D52" s="3"/>
      <c r="E52" s="1"/>
      <c r="F52" s="39" t="s">
        <v>3</v>
      </c>
      <c r="G52" s="39" t="s">
        <v>3</v>
      </c>
      <c r="H52" s="39" t="s">
        <v>3</v>
      </c>
      <c r="I52" s="18"/>
      <c r="J52" s="1"/>
      <c r="K52" s="1"/>
      <c r="L52" s="1"/>
      <c r="M52" s="32"/>
      <c r="N52" s="4" t="s">
        <v>3</v>
      </c>
      <c r="O52" s="4" t="s">
        <v>3</v>
      </c>
      <c r="P52" s="4" t="s">
        <v>3</v>
      </c>
    </row>
    <row r="53" spans="1:17" x14ac:dyDescent="0.2">
      <c r="A53" s="1"/>
      <c r="B53" s="40" t="s">
        <v>72</v>
      </c>
      <c r="D53" s="3"/>
      <c r="E53" s="1"/>
      <c r="F53" s="39" t="s">
        <v>3</v>
      </c>
      <c r="G53" s="39" t="s">
        <v>3</v>
      </c>
      <c r="H53" s="39" t="s">
        <v>3</v>
      </c>
      <c r="I53" s="18"/>
      <c r="J53" s="1"/>
      <c r="N53" s="4" t="s">
        <v>3</v>
      </c>
      <c r="O53" s="4" t="s">
        <v>3</v>
      </c>
      <c r="P53" s="4" t="s">
        <v>3</v>
      </c>
    </row>
    <row r="54" spans="1:17" x14ac:dyDescent="0.2">
      <c r="A54" s="1"/>
      <c r="B54" s="3" t="s">
        <v>85</v>
      </c>
      <c r="D54" s="3"/>
      <c r="E54" s="1"/>
      <c r="F54" s="39" t="s">
        <v>3</v>
      </c>
      <c r="G54" s="39" t="s">
        <v>3</v>
      </c>
      <c r="H54" s="39" t="s">
        <v>3</v>
      </c>
      <c r="I54" s="18"/>
      <c r="J54" s="1"/>
      <c r="K54" s="1"/>
      <c r="L54" s="1"/>
      <c r="M54" s="32"/>
      <c r="N54" s="4" t="s">
        <v>3</v>
      </c>
      <c r="O54" s="4" t="s">
        <v>3</v>
      </c>
      <c r="P54" s="4" t="s">
        <v>3</v>
      </c>
    </row>
    <row r="55" spans="1:17" x14ac:dyDescent="0.2">
      <c r="A55" s="1"/>
      <c r="B55" s="3" t="s">
        <v>35</v>
      </c>
      <c r="D55" s="3"/>
      <c r="E55" s="1"/>
      <c r="F55" s="39" t="s">
        <v>3</v>
      </c>
      <c r="G55" s="39" t="s">
        <v>3</v>
      </c>
      <c r="H55" s="39" t="s">
        <v>3</v>
      </c>
      <c r="I55" s="18"/>
      <c r="J55" s="1"/>
      <c r="N55" s="4" t="s">
        <v>3</v>
      </c>
      <c r="O55" s="4" t="s">
        <v>3</v>
      </c>
      <c r="P55" s="4" t="s">
        <v>3</v>
      </c>
    </row>
    <row r="56" spans="1:17" x14ac:dyDescent="0.2">
      <c r="A56" s="1"/>
      <c r="B56" s="3" t="s">
        <v>79</v>
      </c>
      <c r="D56" s="3"/>
      <c r="E56" s="1"/>
      <c r="I56" s="18"/>
      <c r="J56" s="1"/>
      <c r="N56" s="4"/>
      <c r="O56" s="4"/>
      <c r="P56" s="4"/>
    </row>
    <row r="57" spans="1:17" x14ac:dyDescent="0.2">
      <c r="A57" s="1"/>
      <c r="C57" s="3" t="s">
        <v>65</v>
      </c>
      <c r="D57" s="3"/>
      <c r="E57" s="1"/>
      <c r="F57" s="39" t="s">
        <v>3</v>
      </c>
      <c r="G57" s="39" t="s">
        <v>3</v>
      </c>
      <c r="H57" s="39" t="s">
        <v>3</v>
      </c>
      <c r="I57" s="18"/>
      <c r="J57" s="1"/>
      <c r="K57" s="1"/>
      <c r="L57" s="1"/>
      <c r="M57" s="32"/>
      <c r="N57" s="4" t="s">
        <v>3</v>
      </c>
      <c r="O57" s="4" t="s">
        <v>3</v>
      </c>
      <c r="P57" s="4" t="s">
        <v>3</v>
      </c>
    </row>
    <row r="58" spans="1:17" x14ac:dyDescent="0.2">
      <c r="A58" s="1"/>
      <c r="C58" s="3" t="s">
        <v>64</v>
      </c>
      <c r="D58" s="3"/>
      <c r="E58" s="1"/>
      <c r="F58" s="39" t="s">
        <v>3</v>
      </c>
      <c r="G58" s="39" t="s">
        <v>3</v>
      </c>
      <c r="H58" s="39" t="s">
        <v>3</v>
      </c>
      <c r="I58" s="18"/>
      <c r="J58" s="1"/>
      <c r="N58" s="4" t="s">
        <v>3</v>
      </c>
      <c r="O58" s="4" t="s">
        <v>3</v>
      </c>
      <c r="P58" s="4" t="s">
        <v>3</v>
      </c>
    </row>
    <row r="59" spans="1:17" x14ac:dyDescent="0.2">
      <c r="A59" s="1"/>
      <c r="C59" s="3" t="s">
        <v>66</v>
      </c>
      <c r="D59" s="3"/>
      <c r="E59" s="1"/>
      <c r="F59" s="39" t="s">
        <v>3</v>
      </c>
      <c r="G59" s="39" t="s">
        <v>3</v>
      </c>
      <c r="H59" s="39" t="s">
        <v>3</v>
      </c>
      <c r="I59" s="18"/>
      <c r="K59" s="1"/>
      <c r="L59" s="1"/>
      <c r="M59" s="32"/>
      <c r="N59" s="4" t="s">
        <v>3</v>
      </c>
      <c r="O59" s="4" t="s">
        <v>3</v>
      </c>
      <c r="P59" s="4" t="s">
        <v>3</v>
      </c>
    </row>
    <row r="60" spans="1:17" x14ac:dyDescent="0.2">
      <c r="C60" s="3" t="s">
        <v>67</v>
      </c>
      <c r="D60" s="3"/>
      <c r="E60" s="1"/>
      <c r="F60" s="39" t="s">
        <v>3</v>
      </c>
      <c r="G60" s="39" t="s">
        <v>3</v>
      </c>
      <c r="H60" s="39" t="s">
        <v>3</v>
      </c>
      <c r="I60" s="18"/>
      <c r="N60" s="4" t="s">
        <v>3</v>
      </c>
      <c r="O60" s="4" t="s">
        <v>3</v>
      </c>
      <c r="P60" s="4" t="s">
        <v>3</v>
      </c>
    </row>
    <row r="61" spans="1:17" x14ac:dyDescent="0.2">
      <c r="B61" s="3" t="s">
        <v>40</v>
      </c>
      <c r="D61" s="3"/>
      <c r="E61" s="1"/>
      <c r="F61" s="39" t="s">
        <v>3</v>
      </c>
      <c r="G61" s="39" t="s">
        <v>3</v>
      </c>
      <c r="H61" s="39" t="s">
        <v>3</v>
      </c>
      <c r="I61" s="18"/>
      <c r="N61" s="1"/>
    </row>
    <row r="62" spans="1:17" x14ac:dyDescent="0.2">
      <c r="B62" s="3" t="s">
        <v>68</v>
      </c>
      <c r="D62" s="3"/>
      <c r="E62" s="1"/>
      <c r="F62" s="39" t="s">
        <v>3</v>
      </c>
      <c r="G62" s="39" t="s">
        <v>3</v>
      </c>
      <c r="H62" s="39" t="s">
        <v>3</v>
      </c>
      <c r="I62" s="18"/>
    </row>
    <row r="63" spans="1:17" ht="20.25" x14ac:dyDescent="0.2">
      <c r="I63" s="18"/>
      <c r="K63" s="48" t="s">
        <v>82</v>
      </c>
    </row>
    <row r="66" spans="16:16" x14ac:dyDescent="0.2">
      <c r="P66" s="1"/>
    </row>
  </sheetData>
  <phoneticPr fontId="2" type="noConversion"/>
  <pageMargins left="0.75" right="0.75" top="1" bottom="1" header="0.5" footer="0.5"/>
  <pageSetup scale="58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COVER</vt:lpstr>
      <vt:lpstr>Summary</vt:lpstr>
      <vt:lpstr>PF Baseline</vt:lpstr>
      <vt:lpstr>PF Rent_No Growth</vt:lpstr>
      <vt:lpstr>PF Rent Growth</vt:lpstr>
      <vt:lpstr>PF Purchase_No Growth</vt:lpstr>
      <vt:lpstr>PF Purchase Growth</vt:lpstr>
      <vt:lpstr>PF Purchase_CCorp</vt:lpstr>
      <vt:lpstr>Loan Details</vt:lpstr>
      <vt:lpstr>Pro Forma Modeling Template</vt:lpstr>
      <vt:lpstr>'Pro Forma Modeling Template'!Print_Area</vt:lpstr>
    </vt:vector>
  </TitlesOfParts>
  <Company>Franklin Covey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Patterson</dc:creator>
  <cp:lastModifiedBy>Ellen Burnes</cp:lastModifiedBy>
  <cp:lastPrinted>2016-01-11T16:36:16Z</cp:lastPrinted>
  <dcterms:created xsi:type="dcterms:W3CDTF">2004-01-13T19:42:15Z</dcterms:created>
  <dcterms:modified xsi:type="dcterms:W3CDTF">2024-11-04T19:09:57Z</dcterms:modified>
</cp:coreProperties>
</file>