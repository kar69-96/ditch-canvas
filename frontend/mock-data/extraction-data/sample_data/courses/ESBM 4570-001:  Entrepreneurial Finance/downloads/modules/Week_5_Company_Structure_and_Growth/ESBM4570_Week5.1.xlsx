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365coloradoedu-my.sharepoint.com/personal/elbu4667_colorado_edu/Documents/ESBM4570/F2024/Course Materials/"/>
    </mc:Choice>
  </mc:AlternateContent>
  <xr:revisionPtr revIDLastSave="0" documentId="8_{00A934EB-1CF4-4D4E-BBFD-44565D9AED75}" xr6:coauthVersionLast="47" xr6:coauthVersionMax="47" xr10:uidLastSave="{00000000-0000-0000-0000-000000000000}"/>
  <bookViews>
    <workbookView xWindow="380" yWindow="500" windowWidth="28040" windowHeight="15160" xr2:uid="{6A82F92D-347A-F444-80C3-7E69F89F2789}"/>
  </bookViews>
  <sheets>
    <sheet name="COVER" sheetId="1" r:id="rId1"/>
    <sheet name="Calculator" sheetId="2" r:id="rId2"/>
    <sheet name="Trade Credit Example" sheetId="4" r:id="rId3"/>
    <sheet name="BS_McDuff" sheetId="3" r:id="rId4"/>
    <sheet name="eBay" sheetId="5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5" l="1"/>
  <c r="G25" i="3"/>
  <c r="G19" i="3"/>
  <c r="G7" i="3"/>
  <c r="G12" i="3"/>
  <c r="C23" i="3"/>
  <c r="C13" i="3"/>
  <c r="C9" i="3"/>
  <c r="F5" i="2"/>
  <c r="C25" i="3" l="1"/>
</calcChain>
</file>

<file path=xl/sharedStrings.xml><?xml version="1.0" encoding="utf-8"?>
<sst xmlns="http://schemas.openxmlformats.org/spreadsheetml/2006/main" count="101" uniqueCount="65">
  <si>
    <t>CPI Today</t>
  </si>
  <si>
    <t>*</t>
  </si>
  <si>
    <t>1963 value</t>
  </si>
  <si>
    <t>=</t>
  </si>
  <si>
    <t>Today's Value</t>
  </si>
  <si>
    <t>CPI Converter Tool</t>
  </si>
  <si>
    <t>Fun Link to CPI Converter Calculator</t>
  </si>
  <si>
    <t>ASSETS</t>
  </si>
  <si>
    <t>Current Assets</t>
  </si>
  <si>
    <t>Cash</t>
  </si>
  <si>
    <t>Inventory</t>
  </si>
  <si>
    <t>Lumber</t>
  </si>
  <si>
    <t>Hardware</t>
  </si>
  <si>
    <t>Other</t>
  </si>
  <si>
    <t>Total Inventory</t>
  </si>
  <si>
    <t>PrePaid Expenses</t>
  </si>
  <si>
    <t>Insurance (1 year)</t>
  </si>
  <si>
    <t>Rent (3 months)</t>
  </si>
  <si>
    <t>Total Prepaid Expenses</t>
  </si>
  <si>
    <t>Total Current Assets</t>
  </si>
  <si>
    <t>Fixed Assets</t>
  </si>
  <si>
    <t>Panel Truck</t>
  </si>
  <si>
    <t>Lathes</t>
  </si>
  <si>
    <t>Other tools</t>
  </si>
  <si>
    <t>Shop fixtures</t>
  </si>
  <si>
    <t>Total Fixed Assets</t>
  </si>
  <si>
    <t>Total Assets</t>
  </si>
  <si>
    <t>Current Liabilities</t>
  </si>
  <si>
    <t>Notes Payable</t>
  </si>
  <si>
    <t>Long Term Liabilities</t>
  </si>
  <si>
    <t>Loan from Uncle</t>
  </si>
  <si>
    <t>Total Current Liabilities</t>
  </si>
  <si>
    <t>Total Long Term Liabilities</t>
  </si>
  <si>
    <t>Shareholders' Equity</t>
  </si>
  <si>
    <t>McDuff Initial Investment</t>
  </si>
  <si>
    <t>Total Liabilities &amp; Equity</t>
  </si>
  <si>
    <t>Retained Earnings</t>
  </si>
  <si>
    <t>Accounts Receivable</t>
  </si>
  <si>
    <t>Total Shareholders' Equity</t>
  </si>
  <si>
    <t>LIABILITIES &amp; SHAREHOLDERS' EQUITY</t>
  </si>
  <si>
    <t>Your Shoe Store</t>
  </si>
  <si>
    <t>Beginning</t>
  </si>
  <si>
    <t>End of 60 Days</t>
  </si>
  <si>
    <t>Accounts Payable</t>
  </si>
  <si>
    <t>Taxes Payble</t>
  </si>
  <si>
    <t>Debt Outstanding</t>
  </si>
  <si>
    <t>Evaluating JUST relative to this AP and Shoe Sale</t>
  </si>
  <si>
    <t>CPI in 1995</t>
  </si>
  <si>
    <t>CPI start year</t>
  </si>
  <si>
    <t>CPI today</t>
  </si>
  <si>
    <t>CPI 1963</t>
  </si>
  <si>
    <t xml:space="preserve">?? </t>
  </si>
  <si>
    <t>where does use of website go??</t>
  </si>
  <si>
    <t>filing cabinet</t>
  </si>
  <si>
    <t>old school desk</t>
  </si>
  <si>
    <t>laptop computer</t>
  </si>
  <si>
    <t>Pierre Investment</t>
  </si>
  <si>
    <t>Short Term Inv</t>
  </si>
  <si>
    <t>$M</t>
  </si>
  <si>
    <t>Long term Inv</t>
  </si>
  <si>
    <t>1995 value</t>
  </si>
  <si>
    <t>Tools and Frameworks to support Case 3</t>
  </si>
  <si>
    <t>Financing Operations and Growth</t>
  </si>
  <si>
    <t>ESBM 4570</t>
  </si>
  <si>
    <t>Burnes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</si>
</sst>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i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1" xfId="0" applyBorder="1"/>
    <xf numFmtId="165" fontId="0" fillId="0" borderId="0" xfId="1" applyNumberFormat="1" applyFont="1" applyAlignment="1">
      <alignment horizontal="center" vertical="center"/>
    </xf>
    <xf numFmtId="0" fontId="0" fillId="2" borderId="0" xfId="0" applyFill="1"/>
    <xf numFmtId="0" fontId="2" fillId="2" borderId="0" xfId="2" applyFill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/>
    <xf numFmtId="0" fontId="0" fillId="3" borderId="0" xfId="0" applyFill="1"/>
    <xf numFmtId="0" fontId="5" fillId="0" borderId="0" xfId="0" applyFont="1" applyAlignment="1">
      <alignment horizontal="center"/>
    </xf>
    <xf numFmtId="0" fontId="0" fillId="0" borderId="0" xfId="0" applyAlignment="1">
      <alignment horizontal="left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2013dollars.com/us/inflation/1963?amount=3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7F490-7E5B-B942-8522-193BB162B135}">
  <dimension ref="A1:C6"/>
  <sheetViews>
    <sheetView tabSelected="1" workbookViewId="0">
      <selection activeCell="D10" sqref="D10"/>
    </sheetView>
  </sheetViews>
  <sheetFormatPr baseColWidth="10" defaultRowHeight="16" x14ac:dyDescent="0.2"/>
  <cols>
    <col min="3" max="3" width="14.83203125" customWidth="1"/>
  </cols>
  <sheetData>
    <row r="1" spans="1:3" x14ac:dyDescent="0.2">
      <c r="A1" t="s">
        <v>61</v>
      </c>
    </row>
    <row r="2" spans="1:3" x14ac:dyDescent="0.2">
      <c r="A2" t="s">
        <v>62</v>
      </c>
    </row>
    <row r="3" spans="1:3" x14ac:dyDescent="0.2">
      <c r="C3" s="1"/>
    </row>
    <row r="4" spans="1:3" x14ac:dyDescent="0.2">
      <c r="A4" t="s">
        <v>63</v>
      </c>
    </row>
    <row r="6" spans="1:3" x14ac:dyDescent="0.2">
      <c r="A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E8BC4-20BC-3145-A47D-D76ED3B35C6F}">
  <dimension ref="A2:F15"/>
  <sheetViews>
    <sheetView workbookViewId="0">
      <selection activeCell="E21" sqref="E21"/>
    </sheetView>
  </sheetViews>
  <sheetFormatPr baseColWidth="10" defaultRowHeight="16" x14ac:dyDescent="0.2"/>
  <cols>
    <col min="2" max="2" width="17.1640625" customWidth="1"/>
    <col min="6" max="6" width="11.5" bestFit="1" customWidth="1"/>
  </cols>
  <sheetData>
    <row r="2" spans="1:6" x14ac:dyDescent="0.2">
      <c r="B2" s="5" t="s">
        <v>0</v>
      </c>
      <c r="C2" s="3" t="s">
        <v>1</v>
      </c>
      <c r="D2" s="3" t="s">
        <v>2</v>
      </c>
      <c r="E2" s="4" t="s">
        <v>3</v>
      </c>
      <c r="F2" s="3" t="s">
        <v>4</v>
      </c>
    </row>
    <row r="3" spans="1:6" x14ac:dyDescent="0.2">
      <c r="B3" t="s">
        <v>48</v>
      </c>
      <c r="C3" s="3"/>
      <c r="D3" s="3"/>
      <c r="E3" s="3"/>
      <c r="F3" s="3"/>
    </row>
    <row r="5" spans="1:6" x14ac:dyDescent="0.2">
      <c r="A5" t="s">
        <v>49</v>
      </c>
      <c r="B5" s="5">
        <v>314.79599999999999</v>
      </c>
      <c r="C5" s="3" t="s">
        <v>1</v>
      </c>
      <c r="D5" s="3"/>
      <c r="E5" s="4" t="s">
        <v>3</v>
      </c>
      <c r="F5" s="6">
        <f>(B5/B6)*D5</f>
        <v>0</v>
      </c>
    </row>
    <row r="6" spans="1:6" x14ac:dyDescent="0.2">
      <c r="A6" t="s">
        <v>50</v>
      </c>
      <c r="B6">
        <v>30.6</v>
      </c>
      <c r="C6" s="3"/>
      <c r="D6" s="3"/>
      <c r="E6" s="3"/>
      <c r="F6" s="6"/>
    </row>
    <row r="9" spans="1:6" x14ac:dyDescent="0.2">
      <c r="B9" s="7" t="s">
        <v>6</v>
      </c>
      <c r="C9" s="7"/>
      <c r="D9" s="7"/>
    </row>
    <row r="10" spans="1:6" x14ac:dyDescent="0.2">
      <c r="B10" s="8" t="s">
        <v>5</v>
      </c>
      <c r="C10" s="7"/>
      <c r="D10" s="7"/>
    </row>
    <row r="13" spans="1:6" x14ac:dyDescent="0.2">
      <c r="D13" t="s">
        <v>60</v>
      </c>
      <c r="F13" t="s">
        <v>4</v>
      </c>
    </row>
    <row r="14" spans="1:6" x14ac:dyDescent="0.2">
      <c r="D14" s="3"/>
      <c r="F14" s="18"/>
    </row>
    <row r="15" spans="1:6" x14ac:dyDescent="0.2">
      <c r="A15" t="s">
        <v>47</v>
      </c>
      <c r="B15">
        <v>152.4</v>
      </c>
      <c r="D15" s="3"/>
      <c r="F15" s="18"/>
    </row>
  </sheetData>
  <mergeCells count="10">
    <mergeCell ref="D14:D15"/>
    <mergeCell ref="F14:F15"/>
    <mergeCell ref="C2:C3"/>
    <mergeCell ref="D2:D3"/>
    <mergeCell ref="E2:E3"/>
    <mergeCell ref="F2:F3"/>
    <mergeCell ref="C5:C6"/>
    <mergeCell ref="E5:E6"/>
    <mergeCell ref="D5:D6"/>
    <mergeCell ref="F5:F6"/>
  </mergeCells>
  <hyperlinks>
    <hyperlink ref="B10" r:id="rId1" xr:uid="{43D31AC0-E962-7E4C-9D1F-FC614671C5B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6F1CC-83FB-604E-9B65-EC385C78FC08}">
  <dimension ref="A1:G12"/>
  <sheetViews>
    <sheetView workbookViewId="0">
      <selection activeCell="H19" sqref="H19"/>
    </sheetView>
  </sheetViews>
  <sheetFormatPr baseColWidth="10" defaultRowHeight="16" x14ac:dyDescent="0.2"/>
  <cols>
    <col min="1" max="1" width="23.1640625" customWidth="1"/>
    <col min="3" max="3" width="15" customWidth="1"/>
    <col min="4" max="4" width="5.6640625" customWidth="1"/>
    <col min="5" max="5" width="21.1640625" customWidth="1"/>
    <col min="6" max="6" width="13.33203125" customWidth="1"/>
    <col min="7" max="7" width="15" customWidth="1"/>
  </cols>
  <sheetData>
    <row r="1" spans="1:7" x14ac:dyDescent="0.2">
      <c r="A1" t="s">
        <v>40</v>
      </c>
      <c r="B1" s="11" t="s">
        <v>46</v>
      </c>
    </row>
    <row r="2" spans="1:7" x14ac:dyDescent="0.2">
      <c r="B2" s="11"/>
    </row>
    <row r="3" spans="1:7" x14ac:dyDescent="0.2">
      <c r="A3" s="2" t="s">
        <v>7</v>
      </c>
      <c r="B3" s="2"/>
      <c r="C3" s="2"/>
      <c r="E3" s="14" t="s">
        <v>39</v>
      </c>
      <c r="F3" s="14"/>
      <c r="G3" s="14"/>
    </row>
    <row r="4" spans="1:7" x14ac:dyDescent="0.2">
      <c r="B4" t="s">
        <v>41</v>
      </c>
      <c r="C4" t="s">
        <v>42</v>
      </c>
      <c r="F4" t="s">
        <v>41</v>
      </c>
      <c r="G4" t="s">
        <v>42</v>
      </c>
    </row>
    <row r="5" spans="1:7" x14ac:dyDescent="0.2">
      <c r="A5" t="s">
        <v>8</v>
      </c>
      <c r="E5" t="s">
        <v>27</v>
      </c>
    </row>
    <row r="6" spans="1:7" x14ac:dyDescent="0.2">
      <c r="A6" s="10" t="s">
        <v>9</v>
      </c>
      <c r="C6" s="16"/>
      <c r="E6" t="s">
        <v>43</v>
      </c>
      <c r="F6" s="16"/>
      <c r="G6" s="16"/>
    </row>
    <row r="7" spans="1:7" x14ac:dyDescent="0.2">
      <c r="A7" s="10" t="s">
        <v>10</v>
      </c>
      <c r="B7" s="16"/>
      <c r="C7">
        <v>0</v>
      </c>
      <c r="E7" t="s">
        <v>44</v>
      </c>
      <c r="G7" s="16"/>
    </row>
    <row r="8" spans="1:7" x14ac:dyDescent="0.2">
      <c r="A8" s="10" t="s">
        <v>37</v>
      </c>
      <c r="B8">
        <v>0</v>
      </c>
      <c r="C8">
        <v>0</v>
      </c>
    </row>
    <row r="9" spans="1:7" x14ac:dyDescent="0.2">
      <c r="E9" t="s">
        <v>29</v>
      </c>
    </row>
    <row r="10" spans="1:7" x14ac:dyDescent="0.2">
      <c r="E10" t="s">
        <v>45</v>
      </c>
      <c r="F10">
        <v>0</v>
      </c>
      <c r="G10">
        <v>0</v>
      </c>
    </row>
    <row r="12" spans="1:7" x14ac:dyDescent="0.2">
      <c r="E12" t="s">
        <v>33</v>
      </c>
      <c r="G12" s="16"/>
    </row>
  </sheetData>
  <mergeCells count="2">
    <mergeCell ref="E3:G3"/>
    <mergeCell ref="A3:C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4188-D27A-3E4E-A0C9-779ED788E88F}">
  <dimension ref="A2:G25"/>
  <sheetViews>
    <sheetView workbookViewId="0">
      <selection activeCell="F27" sqref="F27"/>
    </sheetView>
  </sheetViews>
  <sheetFormatPr baseColWidth="10" defaultRowHeight="16" x14ac:dyDescent="0.2"/>
  <cols>
    <col min="1" max="1" width="20.1640625" customWidth="1"/>
    <col min="4" max="4" width="4.83203125" customWidth="1"/>
    <col min="5" max="5" width="26.6640625" customWidth="1"/>
  </cols>
  <sheetData>
    <row r="2" spans="1:7" x14ac:dyDescent="0.2">
      <c r="A2" s="14" t="s">
        <v>7</v>
      </c>
      <c r="B2" s="14"/>
      <c r="C2" s="14"/>
      <c r="E2" s="14" t="s">
        <v>39</v>
      </c>
      <c r="F2" s="14"/>
      <c r="G2" s="14"/>
    </row>
    <row r="3" spans="1:7" x14ac:dyDescent="0.2">
      <c r="A3" t="s">
        <v>8</v>
      </c>
      <c r="E3" t="s">
        <v>27</v>
      </c>
    </row>
    <row r="4" spans="1:7" x14ac:dyDescent="0.2">
      <c r="A4" t="s">
        <v>9</v>
      </c>
      <c r="C4" s="11">
        <v>3000</v>
      </c>
      <c r="E4" s="11" t="s">
        <v>37</v>
      </c>
      <c r="G4">
        <v>0</v>
      </c>
    </row>
    <row r="5" spans="1:7" x14ac:dyDescent="0.2">
      <c r="A5" t="s">
        <v>10</v>
      </c>
      <c r="E5" s="11" t="s">
        <v>28</v>
      </c>
      <c r="G5">
        <v>1000</v>
      </c>
    </row>
    <row r="6" spans="1:7" x14ac:dyDescent="0.2">
      <c r="A6" s="9" t="s">
        <v>11</v>
      </c>
      <c r="B6">
        <v>800</v>
      </c>
      <c r="E6" s="11"/>
    </row>
    <row r="7" spans="1:7" x14ac:dyDescent="0.2">
      <c r="A7" s="9" t="s">
        <v>12</v>
      </c>
      <c r="B7">
        <v>700</v>
      </c>
      <c r="E7" s="13" t="s">
        <v>31</v>
      </c>
      <c r="G7" s="11">
        <f>SUM(G4:G5)</f>
        <v>1000</v>
      </c>
    </row>
    <row r="8" spans="1:7" x14ac:dyDescent="0.2">
      <c r="A8" s="9" t="s">
        <v>13</v>
      </c>
      <c r="B8">
        <v>500</v>
      </c>
    </row>
    <row r="9" spans="1:7" x14ac:dyDescent="0.2">
      <c r="A9" t="s">
        <v>14</v>
      </c>
      <c r="C9" s="11">
        <f>SUM(B6:B8)</f>
        <v>2000</v>
      </c>
      <c r="E9" t="s">
        <v>29</v>
      </c>
    </row>
    <row r="10" spans="1:7" x14ac:dyDescent="0.2">
      <c r="A10" s="10" t="s">
        <v>15</v>
      </c>
      <c r="E10" t="s">
        <v>30</v>
      </c>
      <c r="G10">
        <v>4000</v>
      </c>
    </row>
    <row r="11" spans="1:7" x14ac:dyDescent="0.2">
      <c r="A11" s="9" t="s">
        <v>16</v>
      </c>
      <c r="B11">
        <v>800</v>
      </c>
    </row>
    <row r="12" spans="1:7" x14ac:dyDescent="0.2">
      <c r="A12" s="9" t="s">
        <v>17</v>
      </c>
      <c r="B12">
        <v>1500</v>
      </c>
      <c r="E12" s="13" t="s">
        <v>32</v>
      </c>
      <c r="G12" s="11">
        <f>G10</f>
        <v>4000</v>
      </c>
    </row>
    <row r="13" spans="1:7" x14ac:dyDescent="0.2">
      <c r="A13" s="9" t="s">
        <v>18</v>
      </c>
      <c r="C13" s="11">
        <f>SUM(B11:B12)</f>
        <v>2300</v>
      </c>
    </row>
    <row r="15" spans="1:7" x14ac:dyDescent="0.2">
      <c r="A15" s="13" t="s">
        <v>19</v>
      </c>
      <c r="E15" t="s">
        <v>33</v>
      </c>
    </row>
    <row r="16" spans="1:7" x14ac:dyDescent="0.2">
      <c r="E16" t="s">
        <v>34</v>
      </c>
      <c r="G16">
        <v>5300</v>
      </c>
    </row>
    <row r="17" spans="1:7" x14ac:dyDescent="0.2">
      <c r="A17" t="s">
        <v>20</v>
      </c>
      <c r="E17" t="s">
        <v>36</v>
      </c>
      <c r="G17">
        <v>0</v>
      </c>
    </row>
    <row r="18" spans="1:7" x14ac:dyDescent="0.2">
      <c r="A18" s="9" t="s">
        <v>21</v>
      </c>
      <c r="C18">
        <v>1200</v>
      </c>
    </row>
    <row r="19" spans="1:7" x14ac:dyDescent="0.2">
      <c r="A19" s="9" t="s">
        <v>22</v>
      </c>
      <c r="C19">
        <v>1200</v>
      </c>
      <c r="E19" s="13" t="s">
        <v>38</v>
      </c>
      <c r="G19" s="11">
        <f>SUM(G16:G17)</f>
        <v>5300</v>
      </c>
    </row>
    <row r="20" spans="1:7" x14ac:dyDescent="0.2">
      <c r="A20" s="9" t="s">
        <v>23</v>
      </c>
      <c r="C20">
        <v>300</v>
      </c>
    </row>
    <row r="21" spans="1:7" x14ac:dyDescent="0.2">
      <c r="A21" s="9" t="s">
        <v>24</v>
      </c>
      <c r="C21">
        <v>300</v>
      </c>
    </row>
    <row r="23" spans="1:7" x14ac:dyDescent="0.2">
      <c r="A23" s="13" t="s">
        <v>25</v>
      </c>
      <c r="C23" s="11">
        <f>SUM(C18:C21)</f>
        <v>3000</v>
      </c>
    </row>
    <row r="25" spans="1:7" x14ac:dyDescent="0.2">
      <c r="A25" s="12" t="s">
        <v>26</v>
      </c>
      <c r="C25" s="12">
        <f>C4+C9+C13+C23</f>
        <v>10300</v>
      </c>
      <c r="E25" s="12" t="s">
        <v>35</v>
      </c>
      <c r="G25" s="12">
        <f>G7+G12+G19</f>
        <v>10300</v>
      </c>
    </row>
  </sheetData>
  <mergeCells count="2">
    <mergeCell ref="A2:C2"/>
    <mergeCell ref="E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D6D13-6D2C-984C-B9EE-A7D4B88E1350}">
  <dimension ref="A1:L26"/>
  <sheetViews>
    <sheetView workbookViewId="0">
      <selection activeCell="A27" sqref="A27"/>
    </sheetView>
  </sheetViews>
  <sheetFormatPr baseColWidth="10" defaultRowHeight="16" x14ac:dyDescent="0.2"/>
  <cols>
    <col min="1" max="1" width="20.1640625" customWidth="1"/>
    <col min="4" max="4" width="4.83203125" customWidth="1"/>
    <col min="5" max="5" width="26.6640625" customWidth="1"/>
  </cols>
  <sheetData>
    <row r="1" spans="1:12" x14ac:dyDescent="0.2">
      <c r="I1" s="16" t="s">
        <v>51</v>
      </c>
      <c r="J1" s="16" t="s">
        <v>52</v>
      </c>
      <c r="K1" s="16"/>
      <c r="L1" s="16"/>
    </row>
    <row r="2" spans="1:12" x14ac:dyDescent="0.2">
      <c r="A2" s="14" t="s">
        <v>7</v>
      </c>
      <c r="B2" s="14"/>
      <c r="C2" s="14"/>
      <c r="E2" s="14" t="s">
        <v>39</v>
      </c>
      <c r="F2" s="14"/>
      <c r="G2" s="14"/>
    </row>
    <row r="3" spans="1:12" x14ac:dyDescent="0.2">
      <c r="A3" s="17"/>
      <c r="B3" s="17">
        <v>1995</v>
      </c>
      <c r="C3" s="17">
        <v>2000</v>
      </c>
      <c r="E3" s="17"/>
      <c r="F3" s="17">
        <v>1995</v>
      </c>
      <c r="G3" s="17">
        <v>2000</v>
      </c>
    </row>
    <row r="4" spans="1:12" x14ac:dyDescent="0.2">
      <c r="A4" t="s">
        <v>8</v>
      </c>
      <c r="C4" t="s">
        <v>58</v>
      </c>
      <c r="E4" t="s">
        <v>27</v>
      </c>
    </row>
    <row r="5" spans="1:12" x14ac:dyDescent="0.2">
      <c r="A5" t="s">
        <v>9</v>
      </c>
      <c r="C5" s="15">
        <v>202</v>
      </c>
      <c r="E5" s="11" t="s">
        <v>37</v>
      </c>
    </row>
    <row r="6" spans="1:12" x14ac:dyDescent="0.2">
      <c r="A6" t="s">
        <v>57</v>
      </c>
      <c r="C6">
        <v>354</v>
      </c>
      <c r="E6" s="11" t="s">
        <v>28</v>
      </c>
    </row>
    <row r="7" spans="1:12" x14ac:dyDescent="0.2">
      <c r="A7" t="s">
        <v>10</v>
      </c>
      <c r="E7" s="11"/>
    </row>
    <row r="8" spans="1:12" x14ac:dyDescent="0.2">
      <c r="A8" s="9"/>
      <c r="E8" s="13" t="s">
        <v>31</v>
      </c>
      <c r="G8" s="11"/>
    </row>
    <row r="9" spans="1:12" x14ac:dyDescent="0.2">
      <c r="A9" s="9"/>
    </row>
    <row r="10" spans="1:12" x14ac:dyDescent="0.2">
      <c r="A10" t="s">
        <v>14</v>
      </c>
      <c r="C10" s="11"/>
      <c r="E10" t="s">
        <v>29</v>
      </c>
    </row>
    <row r="11" spans="1:12" x14ac:dyDescent="0.2">
      <c r="A11" s="10" t="s">
        <v>15</v>
      </c>
      <c r="E11" t="s">
        <v>30</v>
      </c>
    </row>
    <row r="12" spans="1:12" x14ac:dyDescent="0.2">
      <c r="A12" s="9"/>
    </row>
    <row r="13" spans="1:12" x14ac:dyDescent="0.2">
      <c r="A13" s="9"/>
      <c r="E13" s="13" t="s">
        <v>32</v>
      </c>
      <c r="G13" s="11"/>
    </row>
    <row r="14" spans="1:12" x14ac:dyDescent="0.2">
      <c r="A14" s="9"/>
      <c r="C14" s="11"/>
    </row>
    <row r="16" spans="1:12" x14ac:dyDescent="0.2">
      <c r="A16" s="13" t="s">
        <v>19</v>
      </c>
      <c r="E16" t="s">
        <v>33</v>
      </c>
    </row>
    <row r="17" spans="1:7" x14ac:dyDescent="0.2">
      <c r="E17" t="s">
        <v>56</v>
      </c>
    </row>
    <row r="18" spans="1:7" x14ac:dyDescent="0.2">
      <c r="A18" t="s">
        <v>20</v>
      </c>
      <c r="E18" t="s">
        <v>36</v>
      </c>
    </row>
    <row r="19" spans="1:7" x14ac:dyDescent="0.2">
      <c r="A19" s="9" t="s">
        <v>53</v>
      </c>
    </row>
    <row r="20" spans="1:7" x14ac:dyDescent="0.2">
      <c r="A20" s="9" t="s">
        <v>54</v>
      </c>
      <c r="E20" s="13" t="s">
        <v>38</v>
      </c>
      <c r="G20" s="11"/>
    </row>
    <row r="21" spans="1:7" x14ac:dyDescent="0.2">
      <c r="A21" s="9" t="s">
        <v>55</v>
      </c>
    </row>
    <row r="22" spans="1:7" x14ac:dyDescent="0.2">
      <c r="A22" s="9" t="s">
        <v>59</v>
      </c>
      <c r="C22">
        <v>218</v>
      </c>
    </row>
    <row r="24" spans="1:7" x14ac:dyDescent="0.2">
      <c r="A24" s="13" t="s">
        <v>25</v>
      </c>
      <c r="C24" s="11"/>
    </row>
    <row r="26" spans="1:7" x14ac:dyDescent="0.2">
      <c r="A26" s="12" t="s">
        <v>26</v>
      </c>
      <c r="C26" s="12">
        <v>1182</v>
      </c>
      <c r="E26" s="12" t="s">
        <v>35</v>
      </c>
      <c r="G26" s="12">
        <f>G8+G13+G20</f>
        <v>0</v>
      </c>
    </row>
  </sheetData>
  <mergeCells count="2">
    <mergeCell ref="A2:C2"/>
    <mergeCell ref="E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Calculator</vt:lpstr>
      <vt:lpstr>Trade Credit Example</vt:lpstr>
      <vt:lpstr>BS_McDuff</vt:lpstr>
      <vt:lpstr>eBay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Ellen Burnes</dc:creator>
  <cp:lastModifiedBy>Ellen Burnes</cp:lastModifiedBy>
  <dcterms:created xsi:type="dcterms:W3CDTF">2024-09-22T18:44:12Z</dcterms:created>
  <dcterms:modified xsi:type="dcterms:W3CDTF">2024-09-22T23:07:14Z</dcterms:modified>
</cp:coreProperties>
</file>