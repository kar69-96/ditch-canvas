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MBAX6110/F2024/Cases 2024/Bumble and Bee/"/>
    </mc:Choice>
  </mc:AlternateContent>
  <xr:revisionPtr revIDLastSave="0" documentId="8_{0531687E-1E70-AE4D-B1CB-69122259FCF8}" xr6:coauthVersionLast="47" xr6:coauthVersionMax="47" xr10:uidLastSave="{00000000-0000-0000-0000-000000000000}"/>
  <bookViews>
    <workbookView xWindow="0" yWindow="500" windowWidth="19200" windowHeight="11540" xr2:uid="{00000000-000D-0000-FFFF-FFFF00000000}"/>
  </bookViews>
  <sheets>
    <sheet name="Pro Forma Modeling Template" sheetId="4" r:id="rId1"/>
  </sheets>
  <definedNames>
    <definedName name="_xlnm.Print_Area" localSheetId="0">'Pro Forma Modeling Template'!$A$1:$Q$62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4" l="1"/>
  <c r="M35" i="4" l="1"/>
  <c r="E30" i="4"/>
  <c r="D30" i="4"/>
  <c r="E23" i="4"/>
  <c r="E25" i="4" s="1"/>
  <c r="D23" i="4"/>
  <c r="E14" i="4"/>
  <c r="D14" i="4"/>
  <c r="E10" i="4"/>
  <c r="D10" i="4"/>
  <c r="M13" i="4"/>
  <c r="M7" i="4"/>
  <c r="M14" i="4" l="1"/>
  <c r="M16" i="4" s="1"/>
  <c r="E32" i="4"/>
  <c r="E16" i="4"/>
  <c r="D25" i="4"/>
  <c r="D16" i="4"/>
  <c r="M18" i="4" l="1"/>
  <c r="D32" i="4"/>
  <c r="E48" i="4" l="1"/>
  <c r="M28" i="4"/>
  <c r="M26" i="4"/>
  <c r="M25" i="4"/>
  <c r="M23" i="4"/>
  <c r="M22" i="4" l="1"/>
  <c r="M31" i="4"/>
  <c r="M33" i="4" s="1"/>
  <c r="M38" i="4" l="1"/>
  <c r="M27" i="4" l="1"/>
  <c r="M29" i="4" s="1"/>
  <c r="M39" i="4" s="1"/>
</calcChain>
</file>

<file path=xl/sharedStrings.xml><?xml version="1.0" encoding="utf-8"?>
<sst xmlns="http://schemas.openxmlformats.org/spreadsheetml/2006/main" count="361" uniqueCount="86">
  <si>
    <t>Balance Sheet</t>
  </si>
  <si>
    <t>Income Statement</t>
  </si>
  <si>
    <t>Assets</t>
  </si>
  <si>
    <t xml:space="preserve"> </t>
  </si>
  <si>
    <t>Current Assets</t>
  </si>
  <si>
    <t>Cost of Goods Sold</t>
  </si>
  <si>
    <t>Cash</t>
  </si>
  <si>
    <t>Gross Margin</t>
  </si>
  <si>
    <t>Receivables</t>
  </si>
  <si>
    <t>Expenses</t>
  </si>
  <si>
    <t>Inventories</t>
  </si>
  <si>
    <t>Total Current Assets</t>
  </si>
  <si>
    <t>Depreciation</t>
  </si>
  <si>
    <t>Fixed Assets</t>
  </si>
  <si>
    <t>Total Expenses</t>
  </si>
  <si>
    <t>PP&amp;E</t>
  </si>
  <si>
    <t>EBIT</t>
  </si>
  <si>
    <t>Less Depreciation</t>
  </si>
  <si>
    <t>Net Interest Expense</t>
  </si>
  <si>
    <t>Taxable Income</t>
  </si>
  <si>
    <t>Total Fixed Assets</t>
  </si>
  <si>
    <t>Taxes</t>
  </si>
  <si>
    <t>Net Income</t>
  </si>
  <si>
    <t>Total Assets</t>
  </si>
  <si>
    <t>Cash Flow Statement</t>
  </si>
  <si>
    <t>Liabilities &amp; Shareholder's Equity</t>
  </si>
  <si>
    <t>Long Term Liabilities</t>
  </si>
  <si>
    <t>Total Liabilities</t>
  </si>
  <si>
    <t>Change in Working Capital</t>
  </si>
  <si>
    <t>Decrease (increase) in Inventory</t>
  </si>
  <si>
    <t>Shareholder's Equity</t>
  </si>
  <si>
    <t>Decrease (increase) in Receivables</t>
  </si>
  <si>
    <t>Increase (decrease) in  Accts. Payable</t>
  </si>
  <si>
    <t>Retained Earnings</t>
  </si>
  <si>
    <t>Total Shareholder's Equity</t>
  </si>
  <si>
    <t>Additions to PP&amp;E</t>
  </si>
  <si>
    <t>Total Liabilities and Shareholder's Equity</t>
  </si>
  <si>
    <t>Other Investments</t>
  </si>
  <si>
    <t>Net issues of Stock</t>
  </si>
  <si>
    <t>Net increase (decrease) in cash</t>
  </si>
  <si>
    <t>Equity only financing</t>
  </si>
  <si>
    <t>Depreciation Expense</t>
  </si>
  <si>
    <t>Accounts Payable</t>
  </si>
  <si>
    <t>Total Current Liabilities</t>
  </si>
  <si>
    <t xml:space="preserve">Current Liabilities  </t>
  </si>
  <si>
    <t>Selling</t>
  </si>
  <si>
    <t>General and Administrative Expense</t>
  </si>
  <si>
    <t>COGS % as a % of Revenues</t>
  </si>
  <si>
    <t>Receivables as a % of Revenues</t>
  </si>
  <si>
    <t>Inventory as a % of Revenues</t>
  </si>
  <si>
    <t>Revenues</t>
  </si>
  <si>
    <t>Plus Depreciation</t>
  </si>
  <si>
    <t>Accrued Liabilities</t>
  </si>
  <si>
    <t>Bank Loan</t>
  </si>
  <si>
    <t>Increase (decrease) in  Accrued Liabilities</t>
  </si>
  <si>
    <t>Additions (reductions) to Debt</t>
  </si>
  <si>
    <t>Cash Provided (used) by Operations</t>
  </si>
  <si>
    <t>Cash Provided (used) by Investments</t>
  </si>
  <si>
    <t>Cash Provided (used) by Financing Activities</t>
  </si>
  <si>
    <t xml:space="preserve">       Total</t>
  </si>
  <si>
    <t>Unit Demand</t>
  </si>
  <si>
    <t>Average Selling Price</t>
  </si>
  <si>
    <t>Existing Equipment</t>
  </si>
  <si>
    <t>Building - 30 years</t>
  </si>
  <si>
    <t>(Reductions) to Debt - Bank Loan</t>
  </si>
  <si>
    <t>Additions  to Debt - Bank Loan</t>
  </si>
  <si>
    <t>Additions  to Debt - Long Term Debt</t>
  </si>
  <si>
    <t>(Reductions) to Debt - Long Term Debt</t>
  </si>
  <si>
    <t>Dividends - Owner Draws</t>
  </si>
  <si>
    <t>(Dividends - Owner Draws)</t>
  </si>
  <si>
    <t>Fixed G&amp;A Expense</t>
  </si>
  <si>
    <t>General &amp; Administrative Variable</t>
  </si>
  <si>
    <t>Accounts Payable as a % Revenues</t>
  </si>
  <si>
    <t>General &amp; Administrative Fixed</t>
  </si>
  <si>
    <t>Tax Rate NA due to LLC</t>
  </si>
  <si>
    <t>Member's Equity</t>
  </si>
  <si>
    <t>Revenue Growth of about 15% per year</t>
  </si>
  <si>
    <t>Assumptions</t>
  </si>
  <si>
    <t xml:space="preserve">Net Interest Expense </t>
  </si>
  <si>
    <t>Debt</t>
  </si>
  <si>
    <t xml:space="preserve">New Equipment </t>
  </si>
  <si>
    <t>Bubble and Bee Organic - Pro Forma Modeling Template</t>
  </si>
  <si>
    <r>
      <t>(</t>
    </r>
    <r>
      <rPr>
        <b/>
        <sz val="16"/>
        <rFont val="Times New Roman"/>
        <family val="1"/>
      </rPr>
      <t>Source:</t>
    </r>
    <r>
      <rPr>
        <sz val="16"/>
        <rFont val="Times New Roman"/>
        <family val="1"/>
      </rPr>
      <t xml:space="preserve"> Constructed by authors based on company records)</t>
    </r>
  </si>
  <si>
    <t>Selling Expense as a % of Revenues</t>
  </si>
  <si>
    <t>Variable G&amp;A as a % of  Revenue</t>
  </si>
  <si>
    <t>Accrued Liabilities % of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</si>
</sst>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4"/>
      <name val="Times New Roman"/>
      <family val="1"/>
    </font>
    <font>
      <sz val="10"/>
      <color theme="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/>
    <xf numFmtId="41" fontId="3" fillId="0" borderId="0" xfId="0" applyNumberFormat="1" applyFont="1"/>
    <xf numFmtId="41" fontId="3" fillId="0" borderId="1" xfId="0" applyNumberFormat="1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41" fontId="3" fillId="2" borderId="2" xfId="0" applyNumberFormat="1" applyFont="1" applyFill="1" applyBorder="1"/>
    <xf numFmtId="41" fontId="3" fillId="4" borderId="3" xfId="0" applyNumberFormat="1" applyFont="1" applyFill="1" applyBorder="1"/>
    <xf numFmtId="41" fontId="3" fillId="2" borderId="3" xfId="0" applyNumberFormat="1" applyFont="1" applyFill="1" applyBorder="1"/>
    <xf numFmtId="41" fontId="3" fillId="2" borderId="0" xfId="0" applyNumberFormat="1" applyFont="1" applyFill="1"/>
    <xf numFmtId="41" fontId="3" fillId="4" borderId="4" xfId="0" applyNumberFormat="1" applyFont="1" applyFill="1" applyBorder="1"/>
    <xf numFmtId="41" fontId="3" fillId="2" borderId="4" xfId="0" applyNumberFormat="1" applyFont="1" applyFill="1" applyBorder="1"/>
    <xf numFmtId="41" fontId="3" fillId="2" borderId="6" xfId="0" applyNumberFormat="1" applyFont="1" applyFill="1" applyBorder="1"/>
    <xf numFmtId="41" fontId="3" fillId="2" borderId="1" xfId="0" applyNumberFormat="1" applyFont="1" applyFill="1" applyBorder="1"/>
    <xf numFmtId="41" fontId="3" fillId="4" borderId="6" xfId="0" applyNumberFormat="1" applyFont="1" applyFill="1" applyBorder="1"/>
    <xf numFmtId="41" fontId="3" fillId="2" borderId="5" xfId="0" applyNumberFormat="1" applyFont="1" applyFill="1" applyBorder="1"/>
    <xf numFmtId="0" fontId="3" fillId="2" borderId="0" xfId="0" applyFont="1" applyFill="1"/>
    <xf numFmtId="41" fontId="3" fillId="4" borderId="2" xfId="0" applyNumberFormat="1" applyFont="1" applyFill="1" applyBorder="1"/>
    <xf numFmtId="41" fontId="3" fillId="4" borderId="5" xfId="0" applyNumberFormat="1" applyFont="1" applyFill="1" applyBorder="1"/>
    <xf numFmtId="41" fontId="3" fillId="4" borderId="1" xfId="0" applyNumberFormat="1" applyFont="1" applyFill="1" applyBorder="1"/>
    <xf numFmtId="9" fontId="4" fillId="4" borderId="4" xfId="3" applyFont="1" applyFill="1" applyBorder="1"/>
    <xf numFmtId="164" fontId="4" fillId="0" borderId="4" xfId="1" applyNumberFormat="1" applyFont="1" applyBorder="1" applyAlignment="1">
      <alignment horizontal="right"/>
    </xf>
    <xf numFmtId="44" fontId="4" fillId="0" borderId="4" xfId="2" applyFont="1" applyBorder="1" applyAlignment="1">
      <alignment horizontal="right"/>
    </xf>
    <xf numFmtId="164" fontId="4" fillId="5" borderId="4" xfId="1" applyNumberFormat="1" applyFont="1" applyFill="1" applyBorder="1" applyAlignment="1">
      <alignment horizontal="right"/>
    </xf>
    <xf numFmtId="44" fontId="4" fillId="5" borderId="4" xfId="2" applyFont="1" applyFill="1" applyBorder="1" applyAlignment="1">
      <alignment horizontal="right"/>
    </xf>
    <xf numFmtId="41" fontId="4" fillId="2" borderId="4" xfId="0" applyNumberFormat="1" applyFont="1" applyFill="1" applyBorder="1"/>
    <xf numFmtId="0" fontId="6" fillId="0" borderId="0" xfId="0" applyFont="1"/>
    <xf numFmtId="164" fontId="0" fillId="0" borderId="0" xfId="1" applyNumberFormat="1" applyFont="1"/>
    <xf numFmtId="0" fontId="7" fillId="0" borderId="0" xfId="0" applyFont="1"/>
    <xf numFmtId="41" fontId="3" fillId="3" borderId="1" xfId="0" applyNumberFormat="1" applyFont="1" applyFill="1" applyBorder="1"/>
    <xf numFmtId="43" fontId="3" fillId="0" borderId="0" xfId="0" applyNumberFormat="1" applyFont="1"/>
    <xf numFmtId="164" fontId="3" fillId="4" borderId="5" xfId="0" applyNumberFormat="1" applyFont="1" applyFill="1" applyBorder="1"/>
    <xf numFmtId="41" fontId="7" fillId="4" borderId="4" xfId="0" applyNumberFormat="1" applyFont="1" applyFill="1" applyBorder="1"/>
    <xf numFmtId="41" fontId="7" fillId="2" borderId="4" xfId="0" applyNumberFormat="1" applyFont="1" applyFill="1" applyBorder="1"/>
    <xf numFmtId="41" fontId="7" fillId="2" borderId="5" xfId="0" applyNumberFormat="1" applyFont="1" applyFill="1" applyBorder="1"/>
    <xf numFmtId="164" fontId="3" fillId="0" borderId="4" xfId="1" applyNumberFormat="1" applyFont="1" applyBorder="1"/>
    <xf numFmtId="164" fontId="4" fillId="4" borderId="4" xfId="1" applyNumberFormat="1" applyFont="1" applyFill="1" applyBorder="1"/>
    <xf numFmtId="41" fontId="4" fillId="4" borderId="4" xfId="0" applyNumberFormat="1" applyFont="1" applyFill="1" applyBorder="1"/>
    <xf numFmtId="0" fontId="4" fillId="2" borderId="0" xfId="0" applyFont="1" applyFill="1"/>
    <xf numFmtId="41" fontId="0" fillId="0" borderId="0" xfId="0" applyNumberFormat="1"/>
    <xf numFmtId="164" fontId="3" fillId="4" borderId="6" xfId="1" applyNumberFormat="1" applyFont="1" applyFill="1" applyBorder="1"/>
    <xf numFmtId="164" fontId="3" fillId="2" borderId="4" xfId="1" applyNumberFormat="1" applyFont="1" applyFill="1" applyBorder="1"/>
    <xf numFmtId="164" fontId="0" fillId="2" borderId="0" xfId="1" applyNumberFormat="1" applyFont="1" applyFill="1"/>
    <xf numFmtId="164" fontId="3" fillId="2" borderId="0" xfId="1" applyNumberFormat="1" applyFont="1" applyFill="1"/>
    <xf numFmtId="164" fontId="3" fillId="2" borderId="5" xfId="1" applyNumberFormat="1" applyFont="1" applyFill="1" applyBorder="1"/>
    <xf numFmtId="164" fontId="3" fillId="2" borderId="1" xfId="1" applyNumberFormat="1" applyFont="1" applyFill="1" applyBorder="1"/>
    <xf numFmtId="0" fontId="8" fillId="0" borderId="0" xfId="0" applyFont="1" applyAlignment="1">
      <alignment vertical="center"/>
    </xf>
    <xf numFmtId="0" fontId="4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6"/>
  <sheetViews>
    <sheetView showGridLines="0" tabSelected="1" zoomScale="90" zoomScaleNormal="90" zoomScaleSheetLayoutView="90" workbookViewId="0">
      <selection activeCell="S14" sqref="S14"/>
    </sheetView>
  </sheetViews>
  <sheetFormatPr baseColWidth="10" defaultColWidth="8.83203125" defaultRowHeight="13" x14ac:dyDescent="0.15"/>
  <cols>
    <col min="1" max="2" width="3.6640625" customWidth="1"/>
    <col min="3" max="3" width="35.33203125" customWidth="1"/>
    <col min="4" max="8" width="11.1640625" customWidth="1"/>
    <col min="9" max="11" width="3.5" customWidth="1"/>
    <col min="12" max="12" width="39.5" customWidth="1"/>
    <col min="13" max="16" width="12.33203125" customWidth="1"/>
    <col min="17" max="17" width="0.33203125" customWidth="1"/>
  </cols>
  <sheetData>
    <row r="1" spans="1:18" ht="18" x14ac:dyDescent="0.2">
      <c r="A1" s="28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8" ht="13.5" customHeight="1" thickBot="1" x14ac:dyDescent="0.2">
      <c r="A3" s="3" t="s">
        <v>0</v>
      </c>
      <c r="B3" s="1"/>
      <c r="C3" s="1"/>
      <c r="D3" s="1"/>
      <c r="E3" s="1"/>
      <c r="F3" s="1"/>
      <c r="G3" s="1"/>
      <c r="H3" s="1"/>
      <c r="I3" s="1"/>
      <c r="J3" s="3" t="s">
        <v>1</v>
      </c>
      <c r="K3" s="1"/>
      <c r="L3" s="1"/>
      <c r="M3" s="1"/>
      <c r="N3" s="1"/>
      <c r="O3" s="1"/>
      <c r="P3" s="1"/>
    </row>
    <row r="4" spans="1:18" ht="15.75" customHeight="1" thickBot="1" x14ac:dyDescent="0.2">
      <c r="A4" s="1"/>
      <c r="B4" s="1"/>
      <c r="C4" s="1"/>
      <c r="D4" s="2">
        <v>2013</v>
      </c>
      <c r="E4" s="7">
        <v>2014</v>
      </c>
      <c r="F4" s="7">
        <v>2015</v>
      </c>
      <c r="G4" s="7">
        <v>2016</v>
      </c>
      <c r="H4" s="7">
        <v>2017</v>
      </c>
      <c r="I4" s="49"/>
      <c r="J4" s="1"/>
      <c r="K4" s="1"/>
      <c r="L4" s="1"/>
      <c r="M4" s="7">
        <v>2014</v>
      </c>
      <c r="N4" s="7">
        <v>2015</v>
      </c>
      <c r="O4" s="7">
        <v>2016</v>
      </c>
      <c r="P4" s="7">
        <v>2017</v>
      </c>
    </row>
    <row r="5" spans="1:18" ht="13.5" customHeight="1" x14ac:dyDescent="0.15">
      <c r="A5" s="3" t="s">
        <v>2</v>
      </c>
      <c r="B5" s="1"/>
      <c r="C5" s="1"/>
      <c r="D5" s="1"/>
      <c r="E5" s="1"/>
      <c r="F5" s="18"/>
      <c r="G5" s="18"/>
      <c r="H5" s="18"/>
      <c r="I5" s="18"/>
      <c r="J5" s="1"/>
      <c r="K5" s="3" t="s">
        <v>50</v>
      </c>
      <c r="L5" s="1"/>
      <c r="M5" s="8">
        <v>1776168</v>
      </c>
      <c r="N5" s="19" t="s">
        <v>3</v>
      </c>
      <c r="O5" s="19" t="s">
        <v>3</v>
      </c>
      <c r="P5" s="19" t="s">
        <v>3</v>
      </c>
    </row>
    <row r="6" spans="1:18" ht="14" thickBot="1" x14ac:dyDescent="0.2">
      <c r="A6" s="1"/>
      <c r="B6" s="3" t="s">
        <v>4</v>
      </c>
      <c r="C6" s="1"/>
      <c r="D6" s="1"/>
      <c r="E6" s="1"/>
      <c r="F6" s="18"/>
      <c r="G6" s="18"/>
      <c r="H6" s="18"/>
      <c r="I6" s="18"/>
      <c r="J6" s="1"/>
      <c r="K6" s="1"/>
      <c r="L6" s="1" t="s">
        <v>5</v>
      </c>
      <c r="M6" s="10">
        <v>357597</v>
      </c>
      <c r="N6" s="9" t="s">
        <v>3</v>
      </c>
      <c r="O6" s="9" t="s">
        <v>3</v>
      </c>
      <c r="P6" s="9" t="s">
        <v>3</v>
      </c>
      <c r="Q6" t="s">
        <v>3</v>
      </c>
    </row>
    <row r="7" spans="1:18" x14ac:dyDescent="0.15">
      <c r="A7" s="1"/>
      <c r="B7" s="3"/>
      <c r="C7" s="1" t="s">
        <v>6</v>
      </c>
      <c r="D7" s="35">
        <v>25567</v>
      </c>
      <c r="E7" s="35">
        <v>43008</v>
      </c>
      <c r="F7" s="34" t="s">
        <v>3</v>
      </c>
      <c r="G7" s="34" t="s">
        <v>3</v>
      </c>
      <c r="H7" s="34" t="s">
        <v>3</v>
      </c>
      <c r="I7" s="18"/>
      <c r="J7" s="1"/>
      <c r="K7" s="1"/>
      <c r="L7" s="1" t="s">
        <v>7</v>
      </c>
      <c r="M7" s="8">
        <f>M5-M6</f>
        <v>1418571</v>
      </c>
      <c r="N7" s="19" t="s">
        <v>3</v>
      </c>
      <c r="O7" s="19" t="s">
        <v>3</v>
      </c>
      <c r="P7" s="19" t="s">
        <v>3</v>
      </c>
    </row>
    <row r="8" spans="1:18" x14ac:dyDescent="0.15">
      <c r="A8" s="1"/>
      <c r="B8" s="1"/>
      <c r="C8" s="1" t="s">
        <v>8</v>
      </c>
      <c r="D8" s="13">
        <v>32375</v>
      </c>
      <c r="E8" s="13">
        <v>35525</v>
      </c>
      <c r="F8" s="34" t="s">
        <v>3</v>
      </c>
      <c r="G8" s="34" t="s">
        <v>3</v>
      </c>
      <c r="H8" s="34" t="s">
        <v>3</v>
      </c>
      <c r="I8" s="18"/>
      <c r="J8" s="1"/>
      <c r="K8" s="3" t="s">
        <v>9</v>
      </c>
      <c r="L8" s="1"/>
      <c r="M8" s="11"/>
      <c r="N8" s="11"/>
      <c r="O8" s="11"/>
      <c r="P8" s="11"/>
    </row>
    <row r="9" spans="1:18" ht="14" thickBot="1" x14ac:dyDescent="0.2">
      <c r="A9" s="1"/>
      <c r="B9" s="1"/>
      <c r="C9" s="1" t="s">
        <v>10</v>
      </c>
      <c r="D9" s="17">
        <v>131250</v>
      </c>
      <c r="E9" s="17">
        <v>143937</v>
      </c>
      <c r="F9" s="34" t="s">
        <v>3</v>
      </c>
      <c r="G9" s="34" t="s">
        <v>3</v>
      </c>
      <c r="H9" s="34" t="s">
        <v>3</v>
      </c>
      <c r="I9" s="18"/>
      <c r="J9" s="1"/>
      <c r="K9" s="1"/>
      <c r="L9" s="1" t="s">
        <v>45</v>
      </c>
      <c r="M9" s="13">
        <v>439512</v>
      </c>
      <c r="N9" s="12" t="s">
        <v>3</v>
      </c>
      <c r="O9" s="12" t="s">
        <v>3</v>
      </c>
      <c r="P9" s="12" t="s">
        <v>3</v>
      </c>
    </row>
    <row r="10" spans="1:18" ht="14" thickBot="1" x14ac:dyDescent="0.2">
      <c r="A10" s="1"/>
      <c r="B10" s="1"/>
      <c r="C10" s="3" t="s">
        <v>11</v>
      </c>
      <c r="D10" s="15">
        <f>SUM(D7:D9)</f>
        <v>189192</v>
      </c>
      <c r="E10" s="15">
        <f>SUM(E7:E9)</f>
        <v>222470</v>
      </c>
      <c r="F10" s="21" t="s">
        <v>3</v>
      </c>
      <c r="G10" s="21" t="s">
        <v>3</v>
      </c>
      <c r="H10" s="21" t="s">
        <v>3</v>
      </c>
      <c r="I10" s="18"/>
      <c r="J10" s="1"/>
      <c r="K10" s="1"/>
      <c r="L10" s="18" t="s">
        <v>71</v>
      </c>
      <c r="M10" s="13">
        <v>82514</v>
      </c>
      <c r="N10" s="12" t="s">
        <v>3</v>
      </c>
      <c r="O10" s="12" t="s">
        <v>3</v>
      </c>
      <c r="P10" s="12" t="s">
        <v>3</v>
      </c>
    </row>
    <row r="11" spans="1:18" x14ac:dyDescent="0.15">
      <c r="A11" s="1"/>
      <c r="B11" s="3" t="s">
        <v>13</v>
      </c>
      <c r="C11" s="1"/>
      <c r="D11" s="4"/>
      <c r="E11" s="4"/>
      <c r="F11" s="11"/>
      <c r="G11" s="11"/>
      <c r="H11" s="11"/>
      <c r="I11" s="18"/>
      <c r="L11" s="18" t="s">
        <v>73</v>
      </c>
      <c r="M11" s="37">
        <v>572776</v>
      </c>
      <c r="N11" s="12" t="s">
        <v>3</v>
      </c>
      <c r="O11" s="12" t="s">
        <v>3</v>
      </c>
      <c r="P11" s="12" t="s">
        <v>3</v>
      </c>
    </row>
    <row r="12" spans="1:18" ht="13.5" customHeight="1" x14ac:dyDescent="0.15">
      <c r="A12" s="1"/>
      <c r="B12" s="1"/>
      <c r="C12" s="1" t="s">
        <v>15</v>
      </c>
      <c r="D12" s="35">
        <v>395785</v>
      </c>
      <c r="E12" s="35">
        <v>470185</v>
      </c>
      <c r="F12" s="34" t="s">
        <v>3</v>
      </c>
      <c r="G12" s="34" t="s">
        <v>3</v>
      </c>
      <c r="H12" s="34" t="s">
        <v>3</v>
      </c>
      <c r="I12" s="18"/>
      <c r="J12" s="1"/>
      <c r="K12" s="1"/>
      <c r="L12" s="1" t="s">
        <v>12</v>
      </c>
      <c r="M12" s="13">
        <v>87221</v>
      </c>
      <c r="N12" s="12" t="s">
        <v>3</v>
      </c>
      <c r="O12" s="12" t="s">
        <v>3</v>
      </c>
      <c r="P12" s="12" t="s">
        <v>3</v>
      </c>
      <c r="R12" s="41" t="s">
        <v>3</v>
      </c>
    </row>
    <row r="13" spans="1:18" ht="14" thickBot="1" x14ac:dyDescent="0.2">
      <c r="A13" s="1"/>
      <c r="B13" s="1"/>
      <c r="C13" s="1" t="s">
        <v>17</v>
      </c>
      <c r="D13" s="35">
        <v>120221</v>
      </c>
      <c r="E13" s="35">
        <v>207442</v>
      </c>
      <c r="F13" s="34" t="s">
        <v>3</v>
      </c>
      <c r="G13" s="34" t="s">
        <v>3</v>
      </c>
      <c r="H13" s="34" t="s">
        <v>3</v>
      </c>
      <c r="I13" s="18"/>
      <c r="J13" s="1"/>
      <c r="K13" s="1"/>
      <c r="L13" s="1" t="s">
        <v>14</v>
      </c>
      <c r="M13" s="14">
        <f>SUM(M9:M12)</f>
        <v>1182023</v>
      </c>
      <c r="N13" s="12" t="s">
        <v>3</v>
      </c>
      <c r="O13" s="12" t="s">
        <v>3</v>
      </c>
      <c r="P13" s="12" t="s">
        <v>3</v>
      </c>
    </row>
    <row r="14" spans="1:18" ht="14" thickBot="1" x14ac:dyDescent="0.2">
      <c r="A14" s="1"/>
      <c r="B14" s="1"/>
      <c r="C14" s="3" t="s">
        <v>20</v>
      </c>
      <c r="D14" s="5">
        <f>D12-D13</f>
        <v>275564</v>
      </c>
      <c r="E14" s="5">
        <f>E12-E13</f>
        <v>262743</v>
      </c>
      <c r="F14" s="21" t="s">
        <v>3</v>
      </c>
      <c r="G14" s="21" t="s">
        <v>3</v>
      </c>
      <c r="H14" s="21" t="s">
        <v>3</v>
      </c>
      <c r="I14" s="18"/>
      <c r="J14" s="1"/>
      <c r="K14" s="3" t="s">
        <v>16</v>
      </c>
      <c r="L14" s="1"/>
      <c r="M14" s="15">
        <f>M7-M13</f>
        <v>236548</v>
      </c>
      <c r="N14" s="21" t="s">
        <v>3</v>
      </c>
      <c r="O14" s="21" t="s">
        <v>3</v>
      </c>
      <c r="P14" s="21" t="s">
        <v>3</v>
      </c>
    </row>
    <row r="15" spans="1:18" ht="14" thickBot="1" x14ac:dyDescent="0.2">
      <c r="A15" s="1"/>
      <c r="B15" s="3" t="s">
        <v>3</v>
      </c>
      <c r="C15" s="1" t="s">
        <v>3</v>
      </c>
      <c r="D15" s="4"/>
      <c r="E15" s="4"/>
      <c r="F15" s="11"/>
      <c r="G15" s="11"/>
      <c r="H15" s="11"/>
      <c r="I15" s="18"/>
      <c r="J15" s="1"/>
      <c r="K15" s="1"/>
      <c r="L15" s="1" t="s">
        <v>18</v>
      </c>
      <c r="M15" s="14">
        <v>7535</v>
      </c>
      <c r="N15" s="42" t="s">
        <v>3</v>
      </c>
      <c r="O15" s="42" t="s">
        <v>3</v>
      </c>
      <c r="P15" s="42" t="s">
        <v>3</v>
      </c>
    </row>
    <row r="16" spans="1:18" ht="14" thickBot="1" x14ac:dyDescent="0.2">
      <c r="A16" s="1" t="s">
        <v>3</v>
      </c>
      <c r="B16" s="3" t="s">
        <v>23</v>
      </c>
      <c r="C16" s="1"/>
      <c r="D16" s="5">
        <f>D10+D14</f>
        <v>464756</v>
      </c>
      <c r="E16" s="5">
        <f>E10+E14</f>
        <v>485213</v>
      </c>
      <c r="F16" s="21" t="s">
        <v>3</v>
      </c>
      <c r="G16" s="21" t="s">
        <v>3</v>
      </c>
      <c r="H16" s="21" t="s">
        <v>3</v>
      </c>
      <c r="I16" s="18"/>
      <c r="J16" s="1"/>
      <c r="K16" s="3" t="s">
        <v>19</v>
      </c>
      <c r="L16" s="1"/>
      <c r="M16" s="15">
        <f>M14-M15</f>
        <v>229013</v>
      </c>
      <c r="N16" s="21" t="s">
        <v>3</v>
      </c>
      <c r="O16" s="21" t="s">
        <v>3</v>
      </c>
      <c r="P16" s="21" t="s">
        <v>3</v>
      </c>
    </row>
    <row r="17" spans="1:16" ht="14" thickBot="1" x14ac:dyDescent="0.2">
      <c r="A17" s="1"/>
      <c r="B17" s="1"/>
      <c r="C17" s="1"/>
      <c r="D17" s="4"/>
      <c r="E17" s="4"/>
      <c r="F17" s="11"/>
      <c r="G17" s="11"/>
      <c r="H17" s="11"/>
      <c r="I17" s="18"/>
      <c r="J17" s="1"/>
      <c r="K17" s="1"/>
      <c r="L17" s="1" t="s">
        <v>21</v>
      </c>
      <c r="M17" s="14">
        <v>0</v>
      </c>
      <c r="N17" s="16" t="s">
        <v>3</v>
      </c>
      <c r="O17" s="16" t="s">
        <v>3</v>
      </c>
      <c r="P17" s="16" t="s">
        <v>3</v>
      </c>
    </row>
    <row r="18" spans="1:16" ht="14" thickBot="1" x14ac:dyDescent="0.2">
      <c r="A18" s="3" t="s">
        <v>25</v>
      </c>
      <c r="B18" s="1"/>
      <c r="C18" s="1"/>
      <c r="D18" s="4"/>
      <c r="E18" s="4"/>
      <c r="F18" s="11"/>
      <c r="G18" s="11"/>
      <c r="H18" s="11"/>
      <c r="I18" s="18"/>
      <c r="J18" s="1"/>
      <c r="K18" s="3" t="s">
        <v>22</v>
      </c>
      <c r="L18" s="1"/>
      <c r="M18" s="15">
        <f>M16-M17</f>
        <v>229013</v>
      </c>
      <c r="N18" s="21" t="s">
        <v>3</v>
      </c>
      <c r="O18" s="21" t="s">
        <v>3</v>
      </c>
      <c r="P18" s="21" t="s">
        <v>3</v>
      </c>
    </row>
    <row r="19" spans="1:16" x14ac:dyDescent="0.15">
      <c r="B19" s="3" t="s">
        <v>44</v>
      </c>
      <c r="C19" s="1"/>
      <c r="D19" s="4"/>
      <c r="E19" s="4"/>
      <c r="F19" s="11"/>
      <c r="G19" s="11"/>
      <c r="H19" s="11"/>
      <c r="I19" s="18"/>
      <c r="J19" s="3" t="s">
        <v>24</v>
      </c>
      <c r="K19" s="1"/>
      <c r="L19" s="1"/>
      <c r="M19" s="4"/>
      <c r="N19" s="11"/>
      <c r="O19" s="11"/>
      <c r="P19" s="11"/>
    </row>
    <row r="20" spans="1:16" x14ac:dyDescent="0.15">
      <c r="A20" s="1"/>
      <c r="B20" s="3"/>
      <c r="C20" s="30" t="s">
        <v>42</v>
      </c>
      <c r="D20" s="17">
        <v>44625</v>
      </c>
      <c r="E20" s="17">
        <v>53286</v>
      </c>
      <c r="F20" s="34" t="s">
        <v>3</v>
      </c>
      <c r="G20" s="34" t="s">
        <v>3</v>
      </c>
      <c r="H20" s="34" t="s">
        <v>3</v>
      </c>
      <c r="I20" s="18"/>
      <c r="J20" s="3"/>
      <c r="K20" s="1"/>
      <c r="L20" s="1"/>
      <c r="M20" s="4"/>
      <c r="N20" s="11"/>
      <c r="O20" s="11"/>
      <c r="P20" s="11"/>
    </row>
    <row r="21" spans="1:16" x14ac:dyDescent="0.15">
      <c r="C21" s="1" t="s">
        <v>52</v>
      </c>
      <c r="D21" s="17">
        <v>0</v>
      </c>
      <c r="E21" s="17">
        <v>0</v>
      </c>
      <c r="F21" s="34" t="s">
        <v>3</v>
      </c>
      <c r="G21" s="34" t="s">
        <v>3</v>
      </c>
      <c r="H21" s="34" t="s">
        <v>3</v>
      </c>
      <c r="I21" s="18"/>
      <c r="J21" s="1"/>
      <c r="K21" s="3" t="s">
        <v>56</v>
      </c>
      <c r="L21" s="1"/>
      <c r="M21" s="4"/>
      <c r="N21" s="11"/>
      <c r="O21" s="11"/>
      <c r="P21" s="11"/>
    </row>
    <row r="22" spans="1:16" ht="14" thickBot="1" x14ac:dyDescent="0.2">
      <c r="C22" s="1" t="s">
        <v>53</v>
      </c>
      <c r="D22" s="17">
        <v>201796</v>
      </c>
      <c r="E22" s="17">
        <v>159579</v>
      </c>
      <c r="F22" s="34" t="s">
        <v>3</v>
      </c>
      <c r="G22" s="34" t="s">
        <v>3</v>
      </c>
      <c r="H22" s="34" t="s">
        <v>3</v>
      </c>
      <c r="I22" s="18"/>
      <c r="J22" s="1"/>
      <c r="K22" s="1" t="s">
        <v>22</v>
      </c>
      <c r="L22" s="1"/>
      <c r="M22" s="43">
        <f>M18</f>
        <v>229013</v>
      </c>
      <c r="N22" s="12" t="s">
        <v>3</v>
      </c>
      <c r="O22" s="12" t="s">
        <v>3</v>
      </c>
      <c r="P22" s="12" t="s">
        <v>3</v>
      </c>
    </row>
    <row r="23" spans="1:16" ht="14" thickBot="1" x14ac:dyDescent="0.2">
      <c r="A23" s="1"/>
      <c r="B23" s="3"/>
      <c r="C23" s="3" t="s">
        <v>43</v>
      </c>
      <c r="D23" s="15">
        <f>SUM(D20:D22)</f>
        <v>246421</v>
      </c>
      <c r="E23" s="15">
        <f>SUM(E20:E22)</f>
        <v>212865</v>
      </c>
      <c r="F23" s="21" t="s">
        <v>3</v>
      </c>
      <c r="G23" s="21" t="s">
        <v>3</v>
      </c>
      <c r="H23" s="21" t="s">
        <v>3</v>
      </c>
      <c r="I23" s="18"/>
      <c r="J23" s="1"/>
      <c r="K23" s="1" t="s">
        <v>51</v>
      </c>
      <c r="L23" s="1"/>
      <c r="M23" s="43">
        <f>M12</f>
        <v>87221</v>
      </c>
      <c r="N23" s="12" t="s">
        <v>3</v>
      </c>
      <c r="O23" s="12" t="s">
        <v>3</v>
      </c>
      <c r="P23" s="12" t="s">
        <v>3</v>
      </c>
    </row>
    <row r="24" spans="1:16" ht="14" thickBot="1" x14ac:dyDescent="0.2">
      <c r="A24" s="1"/>
      <c r="B24" s="3" t="s">
        <v>26</v>
      </c>
      <c r="C24" s="1"/>
      <c r="D24" s="13">
        <v>0</v>
      </c>
      <c r="E24" s="13">
        <v>0</v>
      </c>
      <c r="F24" s="12" t="s">
        <v>3</v>
      </c>
      <c r="G24" s="12" t="s">
        <v>3</v>
      </c>
      <c r="H24" s="12" t="s">
        <v>3</v>
      </c>
      <c r="I24" s="18"/>
      <c r="J24" s="1"/>
      <c r="K24" s="1" t="s">
        <v>28</v>
      </c>
      <c r="L24" s="1"/>
      <c r="M24" s="44"/>
      <c r="N24" s="29"/>
      <c r="O24" s="29"/>
      <c r="P24" s="29"/>
    </row>
    <row r="25" spans="1:16" ht="14" thickBot="1" x14ac:dyDescent="0.2">
      <c r="A25" s="1"/>
      <c r="B25" s="1"/>
      <c r="C25" s="3" t="s">
        <v>27</v>
      </c>
      <c r="D25" s="15">
        <f>D23+D24</f>
        <v>246421</v>
      </c>
      <c r="E25" s="15">
        <f>E23+E24</f>
        <v>212865</v>
      </c>
      <c r="F25" s="21" t="s">
        <v>3</v>
      </c>
      <c r="G25" s="21" t="s">
        <v>3</v>
      </c>
      <c r="H25" s="21" t="s">
        <v>3</v>
      </c>
      <c r="I25" s="18"/>
      <c r="J25" s="1"/>
      <c r="K25" s="1"/>
      <c r="L25" s="1" t="s">
        <v>31</v>
      </c>
      <c r="M25" s="13">
        <f t="shared" ref="M25:M26" si="0">D8-E8</f>
        <v>-3150</v>
      </c>
      <c r="N25" s="12" t="s">
        <v>3</v>
      </c>
      <c r="O25" s="12" t="s">
        <v>3</v>
      </c>
      <c r="P25" s="12" t="s">
        <v>3</v>
      </c>
    </row>
    <row r="26" spans="1:16" x14ac:dyDescent="0.15">
      <c r="A26" s="1"/>
      <c r="B26" s="1"/>
      <c r="C26" s="3"/>
      <c r="D26" s="4"/>
      <c r="E26" s="4"/>
      <c r="F26" s="11"/>
      <c r="G26" s="11"/>
      <c r="H26" s="11"/>
      <c r="I26" s="18"/>
      <c r="J26" s="1"/>
      <c r="K26" s="1"/>
      <c r="L26" s="1" t="s">
        <v>29</v>
      </c>
      <c r="M26" s="13">
        <f t="shared" si="0"/>
        <v>-12687</v>
      </c>
      <c r="N26" s="12" t="s">
        <v>3</v>
      </c>
      <c r="O26" s="12" t="s">
        <v>3</v>
      </c>
      <c r="P26" s="12" t="s">
        <v>3</v>
      </c>
    </row>
    <row r="27" spans="1:16" x14ac:dyDescent="0.15">
      <c r="A27" s="1"/>
      <c r="B27" s="3" t="s">
        <v>30</v>
      </c>
      <c r="C27" s="1"/>
      <c r="D27" s="4"/>
      <c r="E27" s="4"/>
      <c r="F27" s="11"/>
      <c r="G27" s="11"/>
      <c r="H27" s="11"/>
      <c r="I27" s="18"/>
      <c r="J27" s="1"/>
      <c r="K27" s="1"/>
      <c r="L27" s="1" t="s">
        <v>32</v>
      </c>
      <c r="M27" s="17">
        <f t="shared" ref="M27:M28" si="1">E20-D20</f>
        <v>8661</v>
      </c>
      <c r="N27" s="20" t="s">
        <v>3</v>
      </c>
      <c r="O27" s="20" t="s">
        <v>3</v>
      </c>
      <c r="P27" s="20" t="s">
        <v>3</v>
      </c>
    </row>
    <row r="28" spans="1:16" ht="14" thickBot="1" x14ac:dyDescent="0.2">
      <c r="A28" s="1"/>
      <c r="B28" s="1" t="s">
        <v>3</v>
      </c>
      <c r="C28" s="1" t="s">
        <v>75</v>
      </c>
      <c r="D28" s="13">
        <v>150000</v>
      </c>
      <c r="E28" s="13">
        <v>150000</v>
      </c>
      <c r="F28" s="12" t="s">
        <v>3</v>
      </c>
      <c r="G28" s="12" t="s">
        <v>3</v>
      </c>
      <c r="H28" s="12" t="s">
        <v>3</v>
      </c>
      <c r="I28" s="18"/>
      <c r="J28" s="1"/>
      <c r="L28" s="1" t="s">
        <v>54</v>
      </c>
      <c r="M28" s="17">
        <f t="shared" si="1"/>
        <v>0</v>
      </c>
      <c r="N28" s="20" t="s">
        <v>3</v>
      </c>
      <c r="O28" s="20" t="s">
        <v>3</v>
      </c>
      <c r="P28" s="20" t="s">
        <v>3</v>
      </c>
    </row>
    <row r="29" spans="1:16" ht="14" thickBot="1" x14ac:dyDescent="0.2">
      <c r="A29" s="1"/>
      <c r="B29" s="1"/>
      <c r="C29" s="1" t="s">
        <v>33</v>
      </c>
      <c r="D29" s="36">
        <v>68335</v>
      </c>
      <c r="E29" s="36">
        <v>122348</v>
      </c>
      <c r="F29" s="33" t="s">
        <v>3</v>
      </c>
      <c r="G29" s="33" t="s">
        <v>3</v>
      </c>
      <c r="H29" s="33" t="s">
        <v>3</v>
      </c>
      <c r="I29" s="18"/>
      <c r="J29" s="1"/>
      <c r="K29" s="1"/>
      <c r="L29" s="3" t="s">
        <v>56</v>
      </c>
      <c r="M29" s="15">
        <f>M22+M23+M25+M26+M27+M28</f>
        <v>309058</v>
      </c>
      <c r="N29" s="31" t="s">
        <v>3</v>
      </c>
      <c r="O29" s="31" t="s">
        <v>3</v>
      </c>
      <c r="P29" s="31" t="s">
        <v>3</v>
      </c>
    </row>
    <row r="30" spans="1:16" ht="14" thickBot="1" x14ac:dyDescent="0.2">
      <c r="A30" s="1"/>
      <c r="B30" s="1"/>
      <c r="C30" s="3" t="s">
        <v>34</v>
      </c>
      <c r="D30" s="5">
        <f>SUM(D28:D29)</f>
        <v>218335</v>
      </c>
      <c r="E30" s="5">
        <f>SUM(E28:E29)</f>
        <v>272348</v>
      </c>
      <c r="F30" s="21" t="s">
        <v>3</v>
      </c>
      <c r="G30" s="21" t="s">
        <v>3</v>
      </c>
      <c r="H30" s="21" t="s">
        <v>3</v>
      </c>
      <c r="I30" s="18"/>
      <c r="J30" s="1"/>
      <c r="K30" s="3" t="s">
        <v>57</v>
      </c>
      <c r="L30" s="1"/>
      <c r="M30" s="45"/>
      <c r="N30" s="11"/>
      <c r="O30" s="11"/>
      <c r="P30" s="11"/>
    </row>
    <row r="31" spans="1:16" ht="14" thickBot="1" x14ac:dyDescent="0.2">
      <c r="A31" s="1"/>
      <c r="B31" s="3"/>
      <c r="C31" s="1"/>
      <c r="D31" s="4"/>
      <c r="E31" s="4"/>
      <c r="F31" s="11"/>
      <c r="G31" s="11"/>
      <c r="H31" s="11"/>
      <c r="I31" s="18"/>
      <c r="J31" s="1"/>
      <c r="K31" s="1" t="s">
        <v>35</v>
      </c>
      <c r="L31" s="1"/>
      <c r="M31" s="13">
        <f>D12-E12</f>
        <v>-74400</v>
      </c>
      <c r="N31" s="12" t="s">
        <v>3</v>
      </c>
      <c r="O31" s="12" t="s">
        <v>3</v>
      </c>
      <c r="P31" s="12" t="s">
        <v>3</v>
      </c>
    </row>
    <row r="32" spans="1:16" ht="14" thickBot="1" x14ac:dyDescent="0.2">
      <c r="A32" s="1"/>
      <c r="B32" s="3" t="s">
        <v>36</v>
      </c>
      <c r="C32" s="1"/>
      <c r="D32" s="5">
        <f>D25+D30</f>
        <v>464756</v>
      </c>
      <c r="E32" s="5">
        <f>E25+E30</f>
        <v>485213</v>
      </c>
      <c r="F32" s="21" t="s">
        <v>3</v>
      </c>
      <c r="G32" s="21" t="s">
        <v>3</v>
      </c>
      <c r="H32" s="21" t="s">
        <v>3</v>
      </c>
      <c r="I32" s="18"/>
      <c r="J32" s="1"/>
      <c r="K32" s="1" t="s">
        <v>37</v>
      </c>
      <c r="L32" s="1"/>
      <c r="M32" s="46">
        <v>0</v>
      </c>
      <c r="N32" s="20" t="s">
        <v>3</v>
      </c>
      <c r="O32" s="20" t="s">
        <v>3</v>
      </c>
      <c r="P32" s="20" t="s">
        <v>3</v>
      </c>
    </row>
    <row r="33" spans="1:16" ht="14" thickBot="1" x14ac:dyDescent="0.2">
      <c r="A33" s="1"/>
      <c r="B33" s="1"/>
      <c r="C33" s="1"/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18"/>
      <c r="J33" s="1"/>
      <c r="K33" s="1"/>
      <c r="L33" s="3" t="s">
        <v>57</v>
      </c>
      <c r="M33" s="47">
        <f>SUM(M31:M32)</f>
        <v>-74400</v>
      </c>
      <c r="N33" s="21" t="s">
        <v>3</v>
      </c>
      <c r="O33" s="21" t="s">
        <v>3</v>
      </c>
      <c r="P33" s="21" t="s">
        <v>3</v>
      </c>
    </row>
    <row r="34" spans="1:16" ht="14" thickBot="1" x14ac:dyDescent="0.2">
      <c r="A34" s="1"/>
      <c r="B34" s="1"/>
      <c r="C34" s="1"/>
      <c r="D34" s="1"/>
      <c r="E34" s="1"/>
      <c r="F34" s="1"/>
      <c r="G34" s="1"/>
      <c r="H34" s="1"/>
      <c r="I34" s="18"/>
      <c r="J34" s="1"/>
      <c r="K34" s="3" t="s">
        <v>58</v>
      </c>
      <c r="L34" s="1"/>
      <c r="M34" s="45"/>
      <c r="N34" s="11"/>
      <c r="O34" s="11"/>
      <c r="P34" s="11"/>
    </row>
    <row r="35" spans="1:16" ht="14" thickBot="1" x14ac:dyDescent="0.2">
      <c r="A35" s="6" t="s">
        <v>77</v>
      </c>
      <c r="B35" s="1"/>
      <c r="C35" s="1"/>
      <c r="D35" s="1"/>
      <c r="E35" s="7">
        <v>2014</v>
      </c>
      <c r="F35" s="7">
        <v>2015</v>
      </c>
      <c r="G35" s="7">
        <v>2016</v>
      </c>
      <c r="H35" s="7">
        <v>2017</v>
      </c>
      <c r="I35" s="18"/>
      <c r="J35" s="1"/>
      <c r="K35" s="1"/>
      <c r="L35" s="1" t="s">
        <v>55</v>
      </c>
      <c r="M35" s="43">
        <f>E22-D22</f>
        <v>-42217</v>
      </c>
      <c r="N35" s="12" t="s">
        <v>3</v>
      </c>
      <c r="O35" s="12" t="s">
        <v>3</v>
      </c>
      <c r="P35" s="12" t="s">
        <v>3</v>
      </c>
    </row>
    <row r="36" spans="1:16" x14ac:dyDescent="0.15">
      <c r="A36" s="1"/>
      <c r="B36" s="3" t="s">
        <v>76</v>
      </c>
      <c r="D36" s="3"/>
      <c r="E36" s="1"/>
      <c r="F36" s="3"/>
      <c r="G36" s="3"/>
      <c r="H36" s="3"/>
      <c r="I36" s="18"/>
      <c r="J36" s="1"/>
      <c r="K36" s="1"/>
      <c r="L36" s="1" t="s">
        <v>38</v>
      </c>
      <c r="M36" s="46">
        <v>0</v>
      </c>
      <c r="N36" s="20" t="s">
        <v>3</v>
      </c>
      <c r="O36" s="20" t="s">
        <v>3</v>
      </c>
      <c r="P36" s="20" t="str">
        <f t="shared" ref="P36" si="2">H61</f>
        <v xml:space="preserve"> </v>
      </c>
    </row>
    <row r="37" spans="1:16" ht="14" thickBot="1" x14ac:dyDescent="0.2">
      <c r="A37" s="3"/>
      <c r="C37" s="3" t="s">
        <v>60</v>
      </c>
      <c r="D37" s="3"/>
      <c r="E37" s="23">
        <v>126869</v>
      </c>
      <c r="F37" s="25" t="s">
        <v>3</v>
      </c>
      <c r="G37" s="25" t="s">
        <v>3</v>
      </c>
      <c r="H37" s="25" t="s">
        <v>3</v>
      </c>
      <c r="I37" s="18"/>
      <c r="J37" s="1" t="s">
        <v>3</v>
      </c>
      <c r="L37" s="1" t="s">
        <v>69</v>
      </c>
      <c r="M37" s="46">
        <v>-175000</v>
      </c>
      <c r="N37" s="20" t="s">
        <v>3</v>
      </c>
      <c r="O37" s="20" t="s">
        <v>3</v>
      </c>
      <c r="P37" s="20" t="s">
        <v>3</v>
      </c>
    </row>
    <row r="38" spans="1:16" ht="14" thickBot="1" x14ac:dyDescent="0.2">
      <c r="A38" s="3"/>
      <c r="C38" s="3" t="s">
        <v>61</v>
      </c>
      <c r="E38" s="24">
        <v>14</v>
      </c>
      <c r="F38" s="26" t="s">
        <v>3</v>
      </c>
      <c r="G38" s="26" t="s">
        <v>3</v>
      </c>
      <c r="H38" s="26" t="s">
        <v>3</v>
      </c>
      <c r="I38" s="18"/>
      <c r="J38" s="1"/>
      <c r="K38" s="1"/>
      <c r="L38" s="3" t="s">
        <v>58</v>
      </c>
      <c r="M38" s="15">
        <f>SUM(M35:M37)</f>
        <v>-217217</v>
      </c>
      <c r="N38" s="21" t="s">
        <v>3</v>
      </c>
      <c r="O38" s="21" t="s">
        <v>3</v>
      </c>
      <c r="P38" s="21" t="s">
        <v>3</v>
      </c>
    </row>
    <row r="39" spans="1:16" ht="14" thickBot="1" x14ac:dyDescent="0.2">
      <c r="A39" s="3"/>
      <c r="B39" s="3" t="s">
        <v>47</v>
      </c>
      <c r="D39" s="3"/>
      <c r="E39" s="1"/>
      <c r="F39" s="22" t="s">
        <v>3</v>
      </c>
      <c r="G39" s="22" t="s">
        <v>3</v>
      </c>
      <c r="H39" s="22" t="s">
        <v>3</v>
      </c>
      <c r="I39" s="18"/>
      <c r="J39" s="1"/>
      <c r="K39" s="3" t="s">
        <v>39</v>
      </c>
      <c r="L39" s="1"/>
      <c r="M39" s="15">
        <f>M29+M33+M38</f>
        <v>17441</v>
      </c>
      <c r="N39" s="21" t="s">
        <v>3</v>
      </c>
      <c r="O39" s="21" t="s">
        <v>3</v>
      </c>
      <c r="P39" s="21" t="s">
        <v>3</v>
      </c>
    </row>
    <row r="40" spans="1:16" x14ac:dyDescent="0.15">
      <c r="A40" s="3"/>
      <c r="B40" s="3" t="s">
        <v>83</v>
      </c>
      <c r="D40" s="3"/>
      <c r="E40" s="1" t="s">
        <v>3</v>
      </c>
      <c r="F40" s="22" t="s">
        <v>3</v>
      </c>
      <c r="G40" s="22" t="s">
        <v>3</v>
      </c>
      <c r="H40" s="22" t="s">
        <v>3</v>
      </c>
      <c r="I40" s="18"/>
      <c r="J40" s="1"/>
      <c r="K40" s="1"/>
      <c r="L40" s="1"/>
      <c r="M40" s="1"/>
      <c r="N40" s="1"/>
      <c r="O40" s="1"/>
      <c r="P40" s="1"/>
    </row>
    <row r="41" spans="1:16" x14ac:dyDescent="0.15">
      <c r="A41" s="3"/>
      <c r="B41" s="3" t="s">
        <v>46</v>
      </c>
      <c r="D41" s="3"/>
      <c r="E41" s="1"/>
      <c r="I41" s="18"/>
      <c r="J41" s="1"/>
      <c r="K41" s="1"/>
      <c r="L41" s="1"/>
      <c r="M41" s="4" t="s">
        <v>3</v>
      </c>
      <c r="N41" s="4" t="s">
        <v>3</v>
      </c>
      <c r="O41" s="4" t="s">
        <v>3</v>
      </c>
      <c r="P41" s="4" t="s">
        <v>3</v>
      </c>
    </row>
    <row r="42" spans="1:16" x14ac:dyDescent="0.15">
      <c r="A42" s="3"/>
      <c r="C42" s="3" t="s">
        <v>84</v>
      </c>
      <c r="D42" s="3"/>
      <c r="E42" s="1"/>
      <c r="F42" s="22" t="s">
        <v>3</v>
      </c>
      <c r="G42" s="22" t="s">
        <v>3</v>
      </c>
      <c r="H42" s="22" t="s">
        <v>3</v>
      </c>
      <c r="I42" s="18"/>
      <c r="J42" s="1"/>
      <c r="K42" s="1"/>
      <c r="L42" s="1"/>
      <c r="M42" s="1"/>
      <c r="N42" s="1"/>
      <c r="O42" s="1"/>
      <c r="P42" s="1"/>
    </row>
    <row r="43" spans="1:16" x14ac:dyDescent="0.15">
      <c r="A43" s="3"/>
      <c r="C43" s="3" t="s">
        <v>70</v>
      </c>
      <c r="D43" s="3"/>
      <c r="E43" s="1"/>
      <c r="F43" s="38" t="s">
        <v>3</v>
      </c>
      <c r="G43" s="38" t="s">
        <v>3</v>
      </c>
      <c r="H43" s="38" t="s">
        <v>3</v>
      </c>
      <c r="I43" s="18"/>
      <c r="J43" s="1"/>
      <c r="K43" s="1"/>
      <c r="L43" s="1"/>
      <c r="M43" s="1"/>
      <c r="N43" s="1"/>
      <c r="O43" s="1"/>
      <c r="P43" s="1"/>
    </row>
    <row r="44" spans="1:16" x14ac:dyDescent="0.15">
      <c r="A44" s="3"/>
      <c r="B44" s="3" t="s">
        <v>41</v>
      </c>
      <c r="D44" s="3"/>
      <c r="E44" s="1"/>
      <c r="I44" s="18"/>
      <c r="J44" s="1"/>
      <c r="K44" s="1"/>
      <c r="L44" s="1"/>
      <c r="M44" s="32"/>
      <c r="N44" s="4" t="s">
        <v>3</v>
      </c>
      <c r="O44" s="4" t="s">
        <v>3</v>
      </c>
      <c r="P44" s="4" t="s">
        <v>3</v>
      </c>
    </row>
    <row r="45" spans="1:16" x14ac:dyDescent="0.15">
      <c r="A45" s="3"/>
      <c r="C45" s="3" t="s">
        <v>62</v>
      </c>
      <c r="E45" s="27">
        <v>87221</v>
      </c>
      <c r="F45" s="39" t="s">
        <v>3</v>
      </c>
      <c r="G45" s="39" t="s">
        <v>3</v>
      </c>
      <c r="H45" s="39" t="s">
        <v>3</v>
      </c>
      <c r="I45" s="18"/>
      <c r="J45" s="1"/>
      <c r="N45" s="4" t="s">
        <v>3</v>
      </c>
      <c r="O45" s="4" t="s">
        <v>3</v>
      </c>
      <c r="P45" s="4" t="s">
        <v>3</v>
      </c>
    </row>
    <row r="46" spans="1:16" x14ac:dyDescent="0.15">
      <c r="A46" s="3"/>
      <c r="C46" s="3" t="s">
        <v>63</v>
      </c>
      <c r="E46" s="27"/>
      <c r="F46" s="39" t="s">
        <v>3</v>
      </c>
      <c r="G46" s="39" t="s">
        <v>3</v>
      </c>
      <c r="H46" s="39" t="s">
        <v>3</v>
      </c>
      <c r="I46" s="18"/>
      <c r="J46" s="1"/>
      <c r="K46" s="1"/>
      <c r="L46" s="1"/>
      <c r="M46" s="32"/>
      <c r="N46" s="4" t="s">
        <v>3</v>
      </c>
      <c r="O46" s="4" t="s">
        <v>3</v>
      </c>
      <c r="P46" s="4" t="s">
        <v>3</v>
      </c>
    </row>
    <row r="47" spans="1:16" x14ac:dyDescent="0.15">
      <c r="A47" s="3"/>
      <c r="C47" s="3" t="s">
        <v>80</v>
      </c>
      <c r="E47" s="27">
        <v>0</v>
      </c>
      <c r="F47" s="39" t="s">
        <v>3</v>
      </c>
      <c r="G47" s="39" t="s">
        <v>3</v>
      </c>
      <c r="H47" s="39" t="s">
        <v>3</v>
      </c>
      <c r="I47" s="18"/>
      <c r="J47" s="1"/>
      <c r="N47" s="4" t="s">
        <v>3</v>
      </c>
      <c r="O47" s="4" t="s">
        <v>3</v>
      </c>
      <c r="P47" s="4" t="s">
        <v>3</v>
      </c>
    </row>
    <row r="48" spans="1:16" x14ac:dyDescent="0.15">
      <c r="A48" s="3"/>
      <c r="C48" s="3" t="s">
        <v>59</v>
      </c>
      <c r="E48" s="27">
        <f>E45+E47</f>
        <v>87221</v>
      </c>
      <c r="F48" s="39" t="s">
        <v>3</v>
      </c>
      <c r="G48" s="39" t="s">
        <v>3</v>
      </c>
      <c r="H48" s="39" t="s">
        <v>3</v>
      </c>
      <c r="I48" s="18"/>
      <c r="J48" s="1"/>
      <c r="K48" s="1"/>
      <c r="L48" s="1"/>
      <c r="M48" s="32"/>
      <c r="N48" s="4" t="s">
        <v>3</v>
      </c>
      <c r="O48" s="4" t="s">
        <v>3</v>
      </c>
      <c r="P48" s="4" t="s">
        <v>3</v>
      </c>
    </row>
    <row r="49" spans="1:17" x14ac:dyDescent="0.15">
      <c r="A49" s="3"/>
      <c r="B49" s="3" t="s">
        <v>78</v>
      </c>
      <c r="D49" s="3"/>
      <c r="E49" s="1"/>
      <c r="F49" s="39" t="s">
        <v>3</v>
      </c>
      <c r="G49" s="39" t="s">
        <v>3</v>
      </c>
      <c r="H49" s="39" t="s">
        <v>3</v>
      </c>
      <c r="I49" s="18"/>
      <c r="J49" s="1"/>
      <c r="N49" s="4" t="s">
        <v>3</v>
      </c>
      <c r="O49" s="4" t="s">
        <v>3</v>
      </c>
      <c r="P49" s="4" t="s">
        <v>3</v>
      </c>
      <c r="Q49" s="1"/>
    </row>
    <row r="50" spans="1:17" x14ac:dyDescent="0.15">
      <c r="A50" s="3"/>
      <c r="B50" s="3" t="s">
        <v>74</v>
      </c>
      <c r="D50" s="3"/>
      <c r="E50" s="1"/>
      <c r="F50" s="39" t="s">
        <v>3</v>
      </c>
      <c r="G50" s="39" t="s">
        <v>3</v>
      </c>
      <c r="H50" s="39" t="s">
        <v>3</v>
      </c>
      <c r="I50" s="18"/>
      <c r="J50" s="1"/>
      <c r="K50" s="1"/>
      <c r="L50" s="1"/>
      <c r="M50" s="32"/>
      <c r="N50" s="4" t="s">
        <v>3</v>
      </c>
      <c r="O50" s="4" t="s">
        <v>3</v>
      </c>
      <c r="P50" s="4" t="s">
        <v>3</v>
      </c>
    </row>
    <row r="51" spans="1:17" x14ac:dyDescent="0.15">
      <c r="A51" s="3"/>
      <c r="B51" s="3" t="s">
        <v>48</v>
      </c>
      <c r="D51" s="3"/>
      <c r="E51" s="1"/>
      <c r="F51" s="39" t="s">
        <v>3</v>
      </c>
      <c r="G51" s="39" t="s">
        <v>3</v>
      </c>
      <c r="H51" s="39" t="s">
        <v>3</v>
      </c>
      <c r="I51" s="18"/>
      <c r="J51" s="1"/>
      <c r="N51" s="4" t="s">
        <v>3</v>
      </c>
      <c r="O51" s="4" t="s">
        <v>3</v>
      </c>
      <c r="P51" s="4" t="s">
        <v>3</v>
      </c>
    </row>
    <row r="52" spans="1:17" x14ac:dyDescent="0.15">
      <c r="A52" s="3"/>
      <c r="B52" s="3" t="s">
        <v>49</v>
      </c>
      <c r="D52" s="3"/>
      <c r="E52" s="1"/>
      <c r="F52" s="39" t="s">
        <v>3</v>
      </c>
      <c r="G52" s="39" t="s">
        <v>3</v>
      </c>
      <c r="H52" s="39" t="s">
        <v>3</v>
      </c>
      <c r="I52" s="18"/>
      <c r="J52" s="1"/>
      <c r="K52" s="1"/>
      <c r="L52" s="1"/>
      <c r="M52" s="32"/>
      <c r="N52" s="4" t="s">
        <v>3</v>
      </c>
      <c r="O52" s="4" t="s">
        <v>3</v>
      </c>
      <c r="P52" s="4" t="s">
        <v>3</v>
      </c>
    </row>
    <row r="53" spans="1:17" x14ac:dyDescent="0.15">
      <c r="A53" s="1"/>
      <c r="B53" s="40" t="s">
        <v>72</v>
      </c>
      <c r="D53" s="3"/>
      <c r="E53" s="1"/>
      <c r="F53" s="39" t="s">
        <v>3</v>
      </c>
      <c r="G53" s="39" t="s">
        <v>3</v>
      </c>
      <c r="H53" s="39" t="s">
        <v>3</v>
      </c>
      <c r="I53" s="18"/>
      <c r="J53" s="1"/>
      <c r="N53" s="4" t="s">
        <v>3</v>
      </c>
      <c r="O53" s="4" t="s">
        <v>3</v>
      </c>
      <c r="P53" s="4" t="s">
        <v>3</v>
      </c>
    </row>
    <row r="54" spans="1:17" x14ac:dyDescent="0.15">
      <c r="A54" s="1"/>
      <c r="B54" s="3" t="s">
        <v>85</v>
      </c>
      <c r="D54" s="3"/>
      <c r="E54" s="1"/>
      <c r="F54" s="39" t="s">
        <v>3</v>
      </c>
      <c r="G54" s="39" t="s">
        <v>3</v>
      </c>
      <c r="H54" s="39" t="s">
        <v>3</v>
      </c>
      <c r="I54" s="18"/>
      <c r="J54" s="1"/>
      <c r="K54" s="1"/>
      <c r="L54" s="1"/>
      <c r="M54" s="32"/>
      <c r="N54" s="4" t="s">
        <v>3</v>
      </c>
      <c r="O54" s="4" t="s">
        <v>3</v>
      </c>
      <c r="P54" s="4" t="s">
        <v>3</v>
      </c>
    </row>
    <row r="55" spans="1:17" x14ac:dyDescent="0.15">
      <c r="A55" s="1"/>
      <c r="B55" s="3" t="s">
        <v>35</v>
      </c>
      <c r="D55" s="3"/>
      <c r="E55" s="1"/>
      <c r="F55" s="39" t="s">
        <v>3</v>
      </c>
      <c r="G55" s="39" t="s">
        <v>3</v>
      </c>
      <c r="H55" s="39" t="s">
        <v>3</v>
      </c>
      <c r="I55" s="18"/>
      <c r="J55" s="1"/>
      <c r="N55" s="4" t="s">
        <v>3</v>
      </c>
      <c r="O55" s="4" t="s">
        <v>3</v>
      </c>
      <c r="P55" s="4" t="s">
        <v>3</v>
      </c>
    </row>
    <row r="56" spans="1:17" x14ac:dyDescent="0.15">
      <c r="A56" s="1"/>
      <c r="B56" s="3" t="s">
        <v>79</v>
      </c>
      <c r="D56" s="3"/>
      <c r="E56" s="1"/>
      <c r="I56" s="18"/>
      <c r="J56" s="1"/>
      <c r="N56" s="4"/>
      <c r="O56" s="4"/>
      <c r="P56" s="4"/>
    </row>
    <row r="57" spans="1:17" x14ac:dyDescent="0.15">
      <c r="A57" s="1"/>
      <c r="C57" s="3" t="s">
        <v>65</v>
      </c>
      <c r="D57" s="3"/>
      <c r="E57" s="1"/>
      <c r="F57" s="39" t="s">
        <v>3</v>
      </c>
      <c r="G57" s="39" t="s">
        <v>3</v>
      </c>
      <c r="H57" s="39" t="s">
        <v>3</v>
      </c>
      <c r="I57" s="18"/>
      <c r="J57" s="1"/>
      <c r="K57" s="1"/>
      <c r="L57" s="1"/>
      <c r="M57" s="32"/>
      <c r="N57" s="4" t="s">
        <v>3</v>
      </c>
      <c r="O57" s="4" t="s">
        <v>3</v>
      </c>
      <c r="P57" s="4" t="s">
        <v>3</v>
      </c>
    </row>
    <row r="58" spans="1:17" x14ac:dyDescent="0.15">
      <c r="A58" s="1"/>
      <c r="C58" s="3" t="s">
        <v>64</v>
      </c>
      <c r="D58" s="3"/>
      <c r="E58" s="1"/>
      <c r="F58" s="39" t="s">
        <v>3</v>
      </c>
      <c r="G58" s="39" t="s">
        <v>3</v>
      </c>
      <c r="H58" s="39" t="s">
        <v>3</v>
      </c>
      <c r="I58" s="18"/>
      <c r="J58" s="1"/>
      <c r="N58" s="4" t="s">
        <v>3</v>
      </c>
      <c r="O58" s="4" t="s">
        <v>3</v>
      </c>
      <c r="P58" s="4" t="s">
        <v>3</v>
      </c>
    </row>
    <row r="59" spans="1:17" x14ac:dyDescent="0.15">
      <c r="A59" s="1"/>
      <c r="C59" s="3" t="s">
        <v>66</v>
      </c>
      <c r="D59" s="3"/>
      <c r="E59" s="1"/>
      <c r="F59" s="39" t="s">
        <v>3</v>
      </c>
      <c r="G59" s="39" t="s">
        <v>3</v>
      </c>
      <c r="H59" s="39" t="s">
        <v>3</v>
      </c>
      <c r="I59" s="18"/>
      <c r="K59" s="1"/>
      <c r="L59" s="1"/>
      <c r="M59" s="32"/>
      <c r="N59" s="4" t="s">
        <v>3</v>
      </c>
      <c r="O59" s="4" t="s">
        <v>3</v>
      </c>
      <c r="P59" s="4" t="s">
        <v>3</v>
      </c>
    </row>
    <row r="60" spans="1:17" x14ac:dyDescent="0.15">
      <c r="C60" s="3" t="s">
        <v>67</v>
      </c>
      <c r="D60" s="3"/>
      <c r="E60" s="1"/>
      <c r="F60" s="39" t="s">
        <v>3</v>
      </c>
      <c r="G60" s="39" t="s">
        <v>3</v>
      </c>
      <c r="H60" s="39" t="s">
        <v>3</v>
      </c>
      <c r="I60" s="18"/>
      <c r="N60" s="4" t="s">
        <v>3</v>
      </c>
      <c r="O60" s="4" t="s">
        <v>3</v>
      </c>
      <c r="P60" s="4" t="s">
        <v>3</v>
      </c>
    </row>
    <row r="61" spans="1:17" x14ac:dyDescent="0.15">
      <c r="B61" s="3" t="s">
        <v>40</v>
      </c>
      <c r="D61" s="3"/>
      <c r="E61" s="1"/>
      <c r="F61" s="39" t="s">
        <v>3</v>
      </c>
      <c r="G61" s="39" t="s">
        <v>3</v>
      </c>
      <c r="H61" s="39" t="s">
        <v>3</v>
      </c>
      <c r="I61" s="18"/>
      <c r="N61" s="1"/>
    </row>
    <row r="62" spans="1:17" x14ac:dyDescent="0.15">
      <c r="B62" s="3" t="s">
        <v>68</v>
      </c>
      <c r="D62" s="3"/>
      <c r="E62" s="1"/>
      <c r="F62" s="39" t="s">
        <v>3</v>
      </c>
      <c r="G62" s="39" t="s">
        <v>3</v>
      </c>
      <c r="H62" s="39" t="s">
        <v>3</v>
      </c>
      <c r="I62" s="18"/>
    </row>
    <row r="63" spans="1:17" ht="20" x14ac:dyDescent="0.15">
      <c r="I63" s="18"/>
      <c r="K63" s="48" t="s">
        <v>82</v>
      </c>
    </row>
    <row r="66" spans="16:16" x14ac:dyDescent="0.15">
      <c r="P66" s="1"/>
    </row>
  </sheetData>
  <phoneticPr fontId="2" type="noConversion"/>
  <pageMargins left="0.75" right="0.75" top="1" bottom="1" header="0.5" footer="0.5"/>
  <pageSetup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 Forma Modeling Template</vt:lpstr>
      <vt:lpstr>'Pro Forma Modeling Template'!Print_Area</vt:lpstr>
    </vt:vector>
  </TitlesOfParts>
  <Company>Franklin Covey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Patterson</dc:creator>
  <cp:lastModifiedBy>Ellen Burnes</cp:lastModifiedBy>
  <cp:lastPrinted>2016-01-11T16:36:16Z</cp:lastPrinted>
  <dcterms:created xsi:type="dcterms:W3CDTF">2004-01-13T19:42:15Z</dcterms:created>
  <dcterms:modified xsi:type="dcterms:W3CDTF">2024-10-22T16:41:31Z</dcterms:modified>
</cp:coreProperties>
</file>