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113" documentId="8_{E225C482-9A17-1A43-AB17-BB9BB334AB62}" xr6:coauthVersionLast="47" xr6:coauthVersionMax="47" xr10:uidLastSave="{BAA89685-BF67-D440-907D-E1F0A5162841}"/>
  <bookViews>
    <workbookView xWindow="46760" yWindow="2320" windowWidth="31960" windowHeight="19520" activeTab="8" xr2:uid="{546D17DB-7CAE-EB47-93C3-69D7335A0C43}"/>
  </bookViews>
  <sheets>
    <sheet name="Cover" sheetId="7" r:id="rId1"/>
    <sheet name="Income Statement" sheetId="1" r:id="rId2"/>
    <sheet name="Balance Sheet" sheetId="2" r:id="rId3"/>
    <sheet name="Cashflows" sheetId="3" r:id="rId4"/>
    <sheet name="wc and nwc" sheetId="11" r:id="rId5"/>
    <sheet name="EXAMPLE" sheetId="13" r:id="rId6"/>
    <sheet name="EXAMPLE_ans" sheetId="12" r:id="rId7"/>
    <sheet name="Net Cash Burn" sheetId="10" r:id="rId8"/>
    <sheet name="Net Cash Burn_ANS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4" l="1"/>
  <c r="G4" i="14"/>
  <c r="B4" i="14"/>
  <c r="K4" i="14" s="1"/>
  <c r="J6" i="14"/>
  <c r="I6" i="14"/>
  <c r="H6" i="14"/>
  <c r="G6" i="14"/>
  <c r="F6" i="14"/>
  <c r="E6" i="14"/>
  <c r="C6" i="14"/>
  <c r="B6" i="14"/>
  <c r="C9" i="12"/>
  <c r="D7" i="12"/>
  <c r="B8" i="12"/>
  <c r="D4" i="12"/>
  <c r="D5" i="12"/>
  <c r="D6" i="12"/>
  <c r="D3" i="12"/>
  <c r="B16" i="2"/>
  <c r="G21" i="2"/>
  <c r="G14" i="2"/>
  <c r="G9" i="2"/>
  <c r="H21" i="2"/>
  <c r="G19" i="2"/>
  <c r="H14" i="2"/>
  <c r="H9" i="2"/>
  <c r="C16" i="2"/>
  <c r="C9" i="2"/>
  <c r="C22" i="1"/>
  <c r="C18" i="1"/>
  <c r="C15" i="1"/>
  <c r="C14" i="1"/>
  <c r="C12" i="1"/>
  <c r="C8" i="1"/>
  <c r="H19" i="2"/>
  <c r="H17" i="2"/>
  <c r="B14" i="2"/>
  <c r="C14" i="2"/>
  <c r="K6" i="14" l="1"/>
  <c r="B5" i="2"/>
  <c r="H23" i="2"/>
  <c r="C23" i="2"/>
  <c r="C21" i="1" l="1"/>
  <c r="B9" i="2"/>
  <c r="B23" i="2" l="1"/>
  <c r="G23" i="2"/>
</calcChain>
</file>

<file path=xl/sharedStrings.xml><?xml version="1.0" encoding="utf-8"?>
<sst xmlns="http://schemas.openxmlformats.org/spreadsheetml/2006/main" count="181" uniqueCount="112">
  <si>
    <t>+</t>
  </si>
  <si>
    <t>Net Income</t>
  </si>
  <si>
    <t>Depreciation</t>
  </si>
  <si>
    <t>Cashflow to/from Financing</t>
  </si>
  <si>
    <t>Which Financial Statement?</t>
  </si>
  <si>
    <t>Calculation</t>
  </si>
  <si>
    <t>Change in Accounts Payable</t>
  </si>
  <si>
    <t>-</t>
  </si>
  <si>
    <t>Change in Accounts Receivable</t>
  </si>
  <si>
    <t>Change in Inventory</t>
  </si>
  <si>
    <t>Net Cashflow From Operations</t>
  </si>
  <si>
    <t>Change in Fixed Assets</t>
  </si>
  <si>
    <t>Cashflows from Long-term Investing Activities</t>
  </si>
  <si>
    <t>Cashflows from Operating Activities</t>
  </si>
  <si>
    <t>Change in Notes Payable</t>
  </si>
  <si>
    <t>Change in Bonds</t>
  </si>
  <si>
    <t>Change in Equity</t>
  </si>
  <si>
    <t>Dividend Payment</t>
  </si>
  <si>
    <t>Net Cashflow from Investing</t>
  </si>
  <si>
    <t>Net Cashflow from financing</t>
  </si>
  <si>
    <t>Net Change in Cash</t>
  </si>
  <si>
    <t>Cash at Beginning of Year</t>
  </si>
  <si>
    <t>Cash at End of Year</t>
  </si>
  <si>
    <t>Sources and Uses of Funds</t>
  </si>
  <si>
    <t>Numbers</t>
  </si>
  <si>
    <t>Revenue</t>
  </si>
  <si>
    <t>Cost of Good Sold</t>
  </si>
  <si>
    <t>Gross Profit</t>
  </si>
  <si>
    <t>SG&amp;A</t>
  </si>
  <si>
    <t>Other OPEX</t>
  </si>
  <si>
    <t>$000s</t>
  </si>
  <si>
    <t>Interest Expense</t>
  </si>
  <si>
    <t>PreTax Income</t>
  </si>
  <si>
    <t>Addition to Retained Earnings</t>
  </si>
  <si>
    <t>Dividends</t>
  </si>
  <si>
    <t>ASSETS</t>
  </si>
  <si>
    <t>LIABILITIES &amp; SHAREHOLDERS' EQUITY</t>
  </si>
  <si>
    <t>Current Assets</t>
  </si>
  <si>
    <t>Cash &amp; equivalents</t>
  </si>
  <si>
    <t>Accounts Receivable</t>
  </si>
  <si>
    <t>Inventories</t>
  </si>
  <si>
    <t>Other</t>
  </si>
  <si>
    <t>Total Current Assets</t>
  </si>
  <si>
    <t>Fixed Assets</t>
  </si>
  <si>
    <t>PP&amp;E</t>
  </si>
  <si>
    <t>Less Accumulated Depreciation</t>
  </si>
  <si>
    <t>Net PP&amp;E</t>
  </si>
  <si>
    <t>Intangible Assets &amp; Other</t>
  </si>
  <si>
    <t>Total Fixed Assets</t>
  </si>
  <si>
    <t>Current Liabilities</t>
  </si>
  <si>
    <t>Accounts Payable</t>
  </si>
  <si>
    <t>Notes Payable</t>
  </si>
  <si>
    <t>Accrued expenses</t>
  </si>
  <si>
    <t>Total Current Liabilities</t>
  </si>
  <si>
    <t>Long-Term Liabilities</t>
  </si>
  <si>
    <t>Total long-term liabilities</t>
  </si>
  <si>
    <t>Shareholders' Equity</t>
  </si>
  <si>
    <t>Common Stock ($1 par value)</t>
  </si>
  <si>
    <t>Accumulated Retained Earnings</t>
  </si>
  <si>
    <t>Total Equity</t>
  </si>
  <si>
    <t>Total Liabilities &amp; Shareholders' Equity</t>
  </si>
  <si>
    <t>Total Assets</t>
  </si>
  <si>
    <t>TechInc Balance Sheet  ($000s)</t>
  </si>
  <si>
    <t>Change in Other</t>
  </si>
  <si>
    <t>Interest</t>
  </si>
  <si>
    <t>Created by:</t>
  </si>
  <si>
    <t>Ellen Burnes</t>
  </si>
  <si>
    <t>Tech Inc currently has 1000 shares of common stock outstanding</t>
  </si>
  <si>
    <t>When we talk about Working Capital Management, we are referring to this group</t>
  </si>
  <si>
    <t>Taxes (18%)</t>
  </si>
  <si>
    <t>Long-term debt (Bonds)</t>
  </si>
  <si>
    <t xml:space="preserve"> </t>
  </si>
  <si>
    <t>Change in Accrued Expenses</t>
  </si>
  <si>
    <t>Operating Income = EBIT</t>
  </si>
  <si>
    <t>85% payout</t>
  </si>
  <si>
    <t>NWC</t>
  </si>
  <si>
    <t>Cash Burn =</t>
  </si>
  <si>
    <t>COGS +</t>
  </si>
  <si>
    <t>OPEX +</t>
  </si>
  <si>
    <t>R&amp;D +</t>
  </si>
  <si>
    <t>INTEREST +</t>
  </si>
  <si>
    <t>TAXES +</t>
  </si>
  <si>
    <t>🔼 Inventory -</t>
  </si>
  <si>
    <t>🔼 in AP -</t>
  </si>
  <si>
    <t>🔼 Other Liab +</t>
  </si>
  <si>
    <t>CAPEX</t>
  </si>
  <si>
    <t>INCOME STATEMENT</t>
  </si>
  <si>
    <t>OPX</t>
  </si>
  <si>
    <t>INVESTMENT</t>
  </si>
  <si>
    <t xml:space="preserve">Cash Build = </t>
  </si>
  <si>
    <t>🔼 Receivables</t>
  </si>
  <si>
    <t>Revenue -</t>
  </si>
  <si>
    <t>Net Burn</t>
  </si>
  <si>
    <t>&lt; 0 means BUILDING THROUGH OPERATIONS/REVENUE</t>
  </si>
  <si>
    <t>IS</t>
  </si>
  <si>
    <t>BS</t>
  </si>
  <si>
    <t>Working Capital</t>
  </si>
  <si>
    <t>Net Working Capital</t>
  </si>
  <si>
    <t>Week 7   Example Financial Statements</t>
  </si>
  <si>
    <t>ESBM4570</t>
  </si>
  <si>
    <t>Tech Inc Income Statement 2024</t>
  </si>
  <si>
    <t>Cash</t>
  </si>
  <si>
    <t>Short Term Debt</t>
  </si>
  <si>
    <t>Inputs</t>
  </si>
  <si>
    <t>Calculations</t>
  </si>
  <si>
    <t>Year One</t>
  </si>
  <si>
    <t>Year Two</t>
  </si>
  <si>
    <t>Averages</t>
  </si>
  <si>
    <t>NWC Average</t>
  </si>
  <si>
    <t>NWC Year 1 Actual</t>
  </si>
  <si>
    <t>NWC Year 2 Actual</t>
  </si>
  <si>
    <t>&gt;0 means BUILDING THROUGH OPERATIONS/REVENUE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</si>
</sst>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EB67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/>
    <xf numFmtId="0" fontId="1" fillId="2" borderId="5" xfId="0" applyFont="1" applyFill="1" applyBorder="1" applyAlignment="1">
      <alignment wrapText="1"/>
    </xf>
    <xf numFmtId="0" fontId="1" fillId="0" borderId="5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0" xfId="0" quotePrefix="1" applyAlignment="1">
      <alignment horizontal="center" vertical="center"/>
    </xf>
    <xf numFmtId="0" fontId="0" fillId="0" borderId="10" xfId="0" applyBorder="1"/>
    <xf numFmtId="3" fontId="0" fillId="0" borderId="0" xfId="0" applyNumberFormat="1"/>
    <xf numFmtId="3" fontId="0" fillId="0" borderId="10" xfId="0" applyNumberFormat="1" applyBorder="1"/>
    <xf numFmtId="0" fontId="0" fillId="0" borderId="0" xfId="0" applyAlignment="1">
      <alignment horizontal="right"/>
    </xf>
    <xf numFmtId="0" fontId="3" fillId="2" borderId="0" xfId="0" applyFont="1" applyFill="1"/>
    <xf numFmtId="3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right"/>
    </xf>
    <xf numFmtId="3" fontId="0" fillId="0" borderId="6" xfId="0" applyNumberFormat="1" applyBorder="1"/>
    <xf numFmtId="10" fontId="0" fillId="0" borderId="0" xfId="1" applyNumberFormat="1" applyFont="1"/>
    <xf numFmtId="0" fontId="1" fillId="4" borderId="0" xfId="0" applyFont="1" applyFill="1"/>
    <xf numFmtId="0" fontId="0" fillId="4" borderId="0" xfId="0" applyFill="1"/>
    <xf numFmtId="0" fontId="6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3" fontId="0" fillId="5" borderId="0" xfId="0" applyNumberFormat="1" applyFill="1"/>
    <xf numFmtId="1" fontId="0" fillId="6" borderId="0" xfId="0" applyNumberFormat="1" applyFill="1"/>
    <xf numFmtId="1" fontId="0" fillId="0" borderId="0" xfId="0" applyNumberFormat="1"/>
    <xf numFmtId="1" fontId="0" fillId="7" borderId="0" xfId="0" applyNumberFormat="1" applyFill="1"/>
    <xf numFmtId="1" fontId="0" fillId="0" borderId="6" xfId="0" applyNumberFormat="1" applyBorder="1"/>
    <xf numFmtId="0" fontId="0" fillId="0" borderId="4" xfId="0" quotePrefix="1" applyBorder="1" applyAlignment="1">
      <alignment horizontal="center" vertical="center"/>
    </xf>
    <xf numFmtId="3" fontId="0" fillId="10" borderId="0" xfId="0" applyNumberFormat="1" applyFill="1"/>
    <xf numFmtId="10" fontId="0" fillId="0" borderId="0" xfId="1" applyNumberFormat="1" applyFont="1" applyFill="1"/>
    <xf numFmtId="10" fontId="0" fillId="0" borderId="0" xfId="1" applyNumberFormat="1" applyFont="1" applyFill="1" applyAlignment="1">
      <alignment horizontal="center"/>
    </xf>
    <xf numFmtId="0" fontId="1" fillId="9" borderId="0" xfId="0" applyFont="1" applyFill="1"/>
    <xf numFmtId="3" fontId="0" fillId="9" borderId="0" xfId="0" applyNumberFormat="1" applyFill="1"/>
    <xf numFmtId="3" fontId="1" fillId="11" borderId="0" xfId="0" applyNumberFormat="1" applyFont="1" applyFill="1"/>
    <xf numFmtId="0" fontId="1" fillId="11" borderId="0" xfId="0" applyFont="1" applyFill="1"/>
    <xf numFmtId="0" fontId="0" fillId="13" borderId="0" xfId="0" applyFill="1"/>
    <xf numFmtId="0" fontId="1" fillId="2" borderId="0" xfId="0" applyFont="1" applyFill="1"/>
    <xf numFmtId="0" fontId="0" fillId="4" borderId="5" xfId="0" applyFill="1" applyBorder="1"/>
    <xf numFmtId="0" fontId="0" fillId="4" borderId="6" xfId="0" applyFill="1" applyBorder="1"/>
    <xf numFmtId="0" fontId="0" fillId="0" borderId="5" xfId="0" quotePrefix="1" applyBorder="1" applyAlignment="1">
      <alignment wrapText="1"/>
    </xf>
    <xf numFmtId="0" fontId="0" fillId="14" borderId="0" xfId="0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8" borderId="11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12" borderId="16" xfId="0" applyFill="1" applyBorder="1" applyAlignment="1">
      <alignment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1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15" borderId="21" xfId="0" applyFont="1" applyFill="1" applyBorder="1" applyAlignment="1">
      <alignment vertical="center" wrapText="1"/>
    </xf>
    <xf numFmtId="0" fontId="8" fillId="15" borderId="21" xfId="0" applyFont="1" applyFill="1" applyBorder="1" applyAlignment="1">
      <alignment horizontal="center" vertical="center" wrapText="1"/>
    </xf>
    <xf numFmtId="0" fontId="8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vertical="center" wrapText="1"/>
    </xf>
    <xf numFmtId="0" fontId="8" fillId="15" borderId="22" xfId="0" applyFont="1" applyFill="1" applyBorder="1" applyAlignment="1">
      <alignment horizontal="center" vertical="center" wrapText="1"/>
    </xf>
    <xf numFmtId="0" fontId="8" fillId="15" borderId="22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vertical="center" wrapText="1"/>
    </xf>
    <xf numFmtId="0" fontId="7" fillId="16" borderId="23" xfId="0" applyFont="1" applyFill="1" applyBorder="1" applyAlignment="1">
      <alignment vertical="center" wrapText="1"/>
    </xf>
    <xf numFmtId="0" fontId="9" fillId="17" borderId="24" xfId="0" applyFont="1" applyFill="1" applyBorder="1" applyAlignment="1">
      <alignment vertical="center" wrapText="1"/>
    </xf>
    <xf numFmtId="0" fontId="7" fillId="17" borderId="24" xfId="0" applyFont="1" applyFill="1" applyBorder="1" applyAlignment="1">
      <alignment vertical="center" wrapText="1"/>
    </xf>
    <xf numFmtId="0" fontId="9" fillId="16" borderId="24" xfId="0" applyFont="1" applyFill="1" applyBorder="1" applyAlignment="1">
      <alignment vertical="center" wrapText="1"/>
    </xf>
    <xf numFmtId="0" fontId="7" fillId="16" borderId="24" xfId="0" applyFont="1" applyFill="1" applyBorder="1" applyAlignment="1">
      <alignment vertical="center" wrapText="1"/>
    </xf>
    <xf numFmtId="0" fontId="7" fillId="16" borderId="25" xfId="0" applyFont="1" applyFill="1" applyBorder="1" applyAlignment="1">
      <alignment horizontal="center" vertical="center" wrapText="1"/>
    </xf>
    <xf numFmtId="0" fontId="7" fillId="16" borderId="26" xfId="0" applyFont="1" applyFill="1" applyBorder="1" applyAlignment="1">
      <alignment horizontal="center" vertical="center" wrapText="1"/>
    </xf>
    <xf numFmtId="0" fontId="7" fillId="17" borderId="25" xfId="0" applyFont="1" applyFill="1" applyBorder="1" applyAlignment="1">
      <alignment horizontal="center" vertical="center" wrapText="1"/>
    </xf>
    <xf numFmtId="0" fontId="7" fillId="17" borderId="26" xfId="0" applyFont="1" applyFill="1" applyBorder="1" applyAlignment="1">
      <alignment horizontal="center" vertical="center" wrapText="1"/>
    </xf>
    <xf numFmtId="3" fontId="1" fillId="9" borderId="0" xfId="0" applyNumberFormat="1" applyFont="1" applyFill="1"/>
    <xf numFmtId="3" fontId="1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EB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6CB7-941F-E14C-958B-80AD84DA6344}">
  <dimension ref="A1:B6"/>
  <sheetViews>
    <sheetView workbookViewId="0">
      <selection activeCell="F5" sqref="F5"/>
    </sheetView>
  </sheetViews>
  <sheetFormatPr baseColWidth="10" defaultColWidth="10.83203125" defaultRowHeight="16" x14ac:dyDescent="0.2"/>
  <cols>
    <col min="1" max="16384" width="10.83203125" style="31"/>
  </cols>
  <sheetData>
    <row r="1" spans="1:2" x14ac:dyDescent="0.2">
      <c r="A1" s="31" t="s">
        <v>99</v>
      </c>
    </row>
    <row r="2" spans="1:2" s="30" customFormat="1" x14ac:dyDescent="0.2">
      <c r="A2" s="30" t="s">
        <v>98</v>
      </c>
    </row>
    <row r="3" spans="1:2" s="30" customFormat="1" x14ac:dyDescent="0.2"/>
    <row r="4" spans="1:2" s="30" customFormat="1" x14ac:dyDescent="0.2"/>
    <row r="5" spans="1:2" s="30" customFormat="1" x14ac:dyDescent="0.2"/>
    <row r="6" spans="1:2" s="30" customFormat="1" x14ac:dyDescent="0.2">
      <c r="A6" s="30" t="s">
        <v>65</v>
      </c>
      <c r="B6" s="3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7552-F1E7-4D4F-A4D9-B5A08AE9BF3F}">
  <dimension ref="A1:I22"/>
  <sheetViews>
    <sheetView zoomScale="87" workbookViewId="0">
      <selection activeCell="I6" sqref="I6"/>
    </sheetView>
  </sheetViews>
  <sheetFormatPr baseColWidth="10" defaultColWidth="10.6640625" defaultRowHeight="16" x14ac:dyDescent="0.2"/>
  <cols>
    <col min="1" max="1" width="6" style="3" customWidth="1"/>
    <col min="2" max="2" width="26.33203125" customWidth="1"/>
    <col min="4" max="4" width="5" customWidth="1"/>
    <col min="5" max="5" width="10.83203125" style="29"/>
  </cols>
  <sheetData>
    <row r="1" spans="1:9" x14ac:dyDescent="0.2">
      <c r="B1" s="32" t="s">
        <v>67</v>
      </c>
    </row>
    <row r="4" spans="1:9" x14ac:dyDescent="0.2">
      <c r="B4" t="s">
        <v>100</v>
      </c>
      <c r="E4" s="44"/>
    </row>
    <row r="5" spans="1:9" x14ac:dyDescent="0.2">
      <c r="C5" s="4" t="s">
        <v>30</v>
      </c>
      <c r="E5" s="43"/>
    </row>
    <row r="6" spans="1:9" x14ac:dyDescent="0.2">
      <c r="B6" t="s">
        <v>25</v>
      </c>
      <c r="C6" s="21">
        <v>2200</v>
      </c>
      <c r="E6" s="43"/>
    </row>
    <row r="7" spans="1:9" x14ac:dyDescent="0.2">
      <c r="A7" s="19" t="s">
        <v>7</v>
      </c>
      <c r="B7" t="s">
        <v>26</v>
      </c>
      <c r="C7" s="22">
        <v>1000</v>
      </c>
      <c r="E7" s="43"/>
    </row>
    <row r="8" spans="1:9" x14ac:dyDescent="0.2">
      <c r="B8" s="24" t="s">
        <v>27</v>
      </c>
      <c r="C8" s="25">
        <f>C6-C7</f>
        <v>1200</v>
      </c>
      <c r="E8" s="43"/>
    </row>
    <row r="9" spans="1:9" x14ac:dyDescent="0.2">
      <c r="A9" s="3" t="s">
        <v>7</v>
      </c>
      <c r="B9" t="s">
        <v>28</v>
      </c>
      <c r="C9">
        <v>100</v>
      </c>
      <c r="E9" s="43"/>
    </row>
    <row r="10" spans="1:9" x14ac:dyDescent="0.2">
      <c r="A10" s="3" t="s">
        <v>7</v>
      </c>
      <c r="B10" t="s">
        <v>29</v>
      </c>
      <c r="C10" s="20">
        <v>227</v>
      </c>
      <c r="E10" s="43"/>
    </row>
    <row r="11" spans="1:9" x14ac:dyDescent="0.2">
      <c r="A11" s="3" t="s">
        <v>7</v>
      </c>
      <c r="B11" t="s">
        <v>2</v>
      </c>
      <c r="C11">
        <v>94</v>
      </c>
      <c r="E11" s="43"/>
    </row>
    <row r="12" spans="1:9" x14ac:dyDescent="0.2">
      <c r="B12" s="26" t="s">
        <v>73</v>
      </c>
      <c r="C12" s="25">
        <f>C8-C9-C10-C11</f>
        <v>779</v>
      </c>
      <c r="E12" s="43"/>
    </row>
    <row r="13" spans="1:9" x14ac:dyDescent="0.2">
      <c r="A13" s="3" t="s">
        <v>7</v>
      </c>
      <c r="B13" t="s">
        <v>31</v>
      </c>
      <c r="C13">
        <v>20</v>
      </c>
      <c r="E13" s="43"/>
    </row>
    <row r="14" spans="1:9" x14ac:dyDescent="0.2">
      <c r="B14" s="26" t="s">
        <v>32</v>
      </c>
      <c r="C14" s="42">
        <f>C12-C13</f>
        <v>759</v>
      </c>
      <c r="E14" s="43"/>
      <c r="I14" s="38"/>
    </row>
    <row r="15" spans="1:9" x14ac:dyDescent="0.2">
      <c r="A15" s="3" t="s">
        <v>7</v>
      </c>
      <c r="B15" t="s">
        <v>69</v>
      </c>
      <c r="C15" s="26">
        <f>0.18*C14</f>
        <v>136.62</v>
      </c>
      <c r="E15" s="43"/>
      <c r="I15" s="38"/>
    </row>
    <row r="16" spans="1:9" x14ac:dyDescent="0.2">
      <c r="B16" s="23"/>
      <c r="E16" s="43"/>
      <c r="I16" s="38"/>
    </row>
    <row r="17" spans="2:9" x14ac:dyDescent="0.2">
      <c r="B17" s="23"/>
      <c r="E17" s="43"/>
      <c r="I17" s="38"/>
    </row>
    <row r="18" spans="2:9" x14ac:dyDescent="0.2">
      <c r="B18" s="26" t="s">
        <v>1</v>
      </c>
      <c r="C18" s="42">
        <f>C14-C15</f>
        <v>622.38</v>
      </c>
      <c r="E18" s="43"/>
    </row>
    <row r="19" spans="2:9" x14ac:dyDescent="0.2">
      <c r="C19" s="21"/>
      <c r="E19" s="43"/>
    </row>
    <row r="20" spans="2:9" x14ac:dyDescent="0.2">
      <c r="E20" s="43"/>
    </row>
    <row r="21" spans="2:9" x14ac:dyDescent="0.2">
      <c r="B21" s="1" t="s">
        <v>33</v>
      </c>
      <c r="C21" s="25">
        <f>C18-C22</f>
        <v>93.356999999999971</v>
      </c>
      <c r="E21" s="43"/>
    </row>
    <row r="22" spans="2:9" x14ac:dyDescent="0.2">
      <c r="B22" s="24" t="s">
        <v>34</v>
      </c>
      <c r="C22" s="42">
        <f>0.85*C18</f>
        <v>529.02300000000002</v>
      </c>
      <c r="E22" s="29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A9FD-3372-C34D-9832-3230E1B43E16}">
  <dimension ref="A1:J28"/>
  <sheetViews>
    <sheetView zoomScale="97" workbookViewId="0">
      <selection activeCell="H3" sqref="H3"/>
    </sheetView>
  </sheetViews>
  <sheetFormatPr baseColWidth="10" defaultColWidth="10.6640625" defaultRowHeight="16" x14ac:dyDescent="0.2"/>
  <cols>
    <col min="1" max="1" width="30.6640625" customWidth="1"/>
    <col min="5" max="5" width="5" customWidth="1"/>
    <col min="6" max="6" width="35.6640625" customWidth="1"/>
  </cols>
  <sheetData>
    <row r="1" spans="1:8" x14ac:dyDescent="0.2">
      <c r="A1" t="s">
        <v>62</v>
      </c>
    </row>
    <row r="2" spans="1:8" x14ac:dyDescent="0.2">
      <c r="A2" s="2" t="s">
        <v>35</v>
      </c>
      <c r="F2" s="2" t="s">
        <v>36</v>
      </c>
    </row>
    <row r="3" spans="1:8" x14ac:dyDescent="0.2">
      <c r="B3" s="3">
        <v>2024</v>
      </c>
      <c r="C3" s="3">
        <v>2023</v>
      </c>
      <c r="D3" s="3"/>
      <c r="G3" s="3">
        <v>2024</v>
      </c>
      <c r="H3" s="3">
        <v>2023</v>
      </c>
    </row>
    <row r="4" spans="1:8" x14ac:dyDescent="0.2">
      <c r="A4" s="2" t="s">
        <v>37</v>
      </c>
      <c r="F4" s="2" t="s">
        <v>49</v>
      </c>
    </row>
    <row r="5" spans="1:8" x14ac:dyDescent="0.2">
      <c r="A5" t="s">
        <v>38</v>
      </c>
      <c r="B5" s="21">
        <f>Cashflows!E29</f>
        <v>0</v>
      </c>
      <c r="C5">
        <v>107</v>
      </c>
      <c r="D5" s="21"/>
      <c r="F5" t="s">
        <v>50</v>
      </c>
      <c r="G5">
        <v>213</v>
      </c>
      <c r="H5">
        <v>197</v>
      </c>
    </row>
    <row r="6" spans="1:8" x14ac:dyDescent="0.2">
      <c r="A6" t="s">
        <v>39</v>
      </c>
      <c r="B6">
        <v>294</v>
      </c>
      <c r="C6">
        <v>270</v>
      </c>
      <c r="F6" t="s">
        <v>51</v>
      </c>
      <c r="G6">
        <v>50</v>
      </c>
      <c r="H6">
        <v>53</v>
      </c>
    </row>
    <row r="7" spans="1:8" x14ac:dyDescent="0.2">
      <c r="A7" t="s">
        <v>40</v>
      </c>
      <c r="B7">
        <v>269</v>
      </c>
      <c r="C7">
        <v>280</v>
      </c>
      <c r="F7" t="s">
        <v>52</v>
      </c>
      <c r="G7">
        <v>223</v>
      </c>
      <c r="H7">
        <v>205</v>
      </c>
    </row>
    <row r="8" spans="1:8" x14ac:dyDescent="0.2">
      <c r="A8" t="s">
        <v>41</v>
      </c>
      <c r="B8">
        <v>68</v>
      </c>
      <c r="C8">
        <v>50</v>
      </c>
    </row>
    <row r="9" spans="1:8" x14ac:dyDescent="0.2">
      <c r="A9" s="27" t="s">
        <v>42</v>
      </c>
      <c r="B9" s="37">
        <f>SUM(B5:B8)</f>
        <v>631</v>
      </c>
      <c r="C9" s="34">
        <f>SUM(C5:C8)</f>
        <v>707</v>
      </c>
      <c r="D9" s="21"/>
      <c r="E9" s="38"/>
      <c r="F9" s="27" t="s">
        <v>53</v>
      </c>
      <c r="G9" s="34">
        <f>SUM(G5:G7)</f>
        <v>486</v>
      </c>
      <c r="H9" s="34">
        <f>SUM(H5:H7)</f>
        <v>455</v>
      </c>
    </row>
    <row r="11" spans="1:8" x14ac:dyDescent="0.2">
      <c r="A11" s="2" t="s">
        <v>43</v>
      </c>
      <c r="F11" s="2" t="s">
        <v>54</v>
      </c>
    </row>
    <row r="12" spans="1:8" x14ac:dyDescent="0.2">
      <c r="A12" t="s">
        <v>44</v>
      </c>
      <c r="B12" s="33">
        <v>1423</v>
      </c>
      <c r="C12">
        <v>1274</v>
      </c>
    </row>
    <row r="13" spans="1:8" x14ac:dyDescent="0.2">
      <c r="A13" s="23" t="s">
        <v>45</v>
      </c>
      <c r="B13">
        <v>-554</v>
      </c>
      <c r="C13">
        <v>-460</v>
      </c>
      <c r="F13" t="s">
        <v>70</v>
      </c>
      <c r="G13">
        <v>465</v>
      </c>
      <c r="H13">
        <v>458</v>
      </c>
    </row>
    <row r="14" spans="1:8" x14ac:dyDescent="0.2">
      <c r="A14" s="23" t="s">
        <v>46</v>
      </c>
      <c r="B14">
        <f>B12+B13</f>
        <v>869</v>
      </c>
      <c r="C14">
        <f>SUM(C12:C13)</f>
        <v>814</v>
      </c>
      <c r="F14" s="1" t="s">
        <v>55</v>
      </c>
      <c r="G14" s="34">
        <f>G13</f>
        <v>465</v>
      </c>
      <c r="H14" s="34">
        <f>H13</f>
        <v>458</v>
      </c>
    </row>
    <row r="15" spans="1:8" x14ac:dyDescent="0.2">
      <c r="A15" t="s">
        <v>47</v>
      </c>
      <c r="B15">
        <v>385</v>
      </c>
      <c r="C15">
        <v>221</v>
      </c>
    </row>
    <row r="16" spans="1:8" x14ac:dyDescent="0.2">
      <c r="A16" s="27" t="s">
        <v>48</v>
      </c>
      <c r="B16" s="34">
        <f>B14+B15</f>
        <v>1254</v>
      </c>
      <c r="C16" s="34">
        <f>C14+C15</f>
        <v>1035</v>
      </c>
      <c r="F16" s="2" t="s">
        <v>56</v>
      </c>
    </row>
    <row r="17" spans="1:10" x14ac:dyDescent="0.2">
      <c r="F17" t="s">
        <v>57</v>
      </c>
      <c r="G17">
        <v>486</v>
      </c>
      <c r="H17">
        <f>71+327</f>
        <v>398</v>
      </c>
      <c r="I17" s="38"/>
    </row>
    <row r="18" spans="1:10" x14ac:dyDescent="0.2">
      <c r="I18" s="38"/>
    </row>
    <row r="19" spans="1:10" x14ac:dyDescent="0.2">
      <c r="F19" t="s">
        <v>58</v>
      </c>
      <c r="G19" s="36">
        <f>H19+'Income Statement'!C21</f>
        <v>524.35699999999997</v>
      </c>
      <c r="H19">
        <f>347+84</f>
        <v>431</v>
      </c>
      <c r="I19" s="38"/>
      <c r="J19" s="21"/>
    </row>
    <row r="20" spans="1:10" x14ac:dyDescent="0.2">
      <c r="F20" s="23"/>
      <c r="I20" s="38"/>
    </row>
    <row r="21" spans="1:10" x14ac:dyDescent="0.2">
      <c r="F21" s="1" t="s">
        <v>59</v>
      </c>
      <c r="G21" s="37">
        <f>G17+G19</f>
        <v>1010.357</v>
      </c>
      <c r="H21" s="34">
        <f>H17+H19</f>
        <v>829</v>
      </c>
      <c r="I21" s="38"/>
      <c r="J21" s="38"/>
    </row>
    <row r="22" spans="1:10" x14ac:dyDescent="0.2">
      <c r="G22" s="38"/>
      <c r="I22" s="38"/>
    </row>
    <row r="23" spans="1:10" x14ac:dyDescent="0.2">
      <c r="A23" s="2" t="s">
        <v>61</v>
      </c>
      <c r="B23" s="39">
        <f>B9+B16</f>
        <v>1885</v>
      </c>
      <c r="C23" s="35">
        <f>C9+C16</f>
        <v>1742</v>
      </c>
      <c r="D23" s="38"/>
      <c r="F23" s="2" t="s">
        <v>60</v>
      </c>
      <c r="G23" s="39">
        <f>G9+G14+G21</f>
        <v>1961.357</v>
      </c>
      <c r="H23" s="35">
        <f>H9+H14+H21</f>
        <v>1742</v>
      </c>
      <c r="I23" s="38"/>
      <c r="J23" s="38"/>
    </row>
    <row r="25" spans="1:10" x14ac:dyDescent="0.2">
      <c r="D25" s="21"/>
      <c r="J25" s="38"/>
    </row>
    <row r="26" spans="1:10" x14ac:dyDescent="0.2">
      <c r="G26" s="38"/>
    </row>
    <row r="27" spans="1:10" x14ac:dyDescent="0.2">
      <c r="G27" s="38"/>
    </row>
    <row r="28" spans="1:10" x14ac:dyDescent="0.2">
      <c r="A28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E03A-3C1E-5641-8D40-EEF993906E24}">
  <dimension ref="A2:L31"/>
  <sheetViews>
    <sheetView zoomScale="120" zoomScaleNormal="120" workbookViewId="0">
      <selection activeCell="K8" sqref="K8"/>
    </sheetView>
  </sheetViews>
  <sheetFormatPr baseColWidth="10" defaultColWidth="10.6640625" defaultRowHeight="16" x14ac:dyDescent="0.2"/>
  <cols>
    <col min="1" max="1" width="6.6640625" style="3" customWidth="1"/>
    <col min="2" max="2" width="35.5" customWidth="1"/>
    <col min="3" max="3" width="18" customWidth="1"/>
    <col min="4" max="4" width="13" customWidth="1"/>
    <col min="6" max="8" width="0" hidden="1" customWidth="1"/>
  </cols>
  <sheetData>
    <row r="2" spans="1:10" ht="17" thickBot="1" x14ac:dyDescent="0.25">
      <c r="E2" s="54">
        <v>2024</v>
      </c>
    </row>
    <row r="3" spans="1:10" ht="35" thickTop="1" x14ac:dyDescent="0.2">
      <c r="A3" s="5"/>
      <c r="B3" s="6" t="s">
        <v>23</v>
      </c>
      <c r="C3" s="7" t="s">
        <v>4</v>
      </c>
      <c r="D3" s="6" t="s">
        <v>5</v>
      </c>
      <c r="E3" s="8" t="s">
        <v>24</v>
      </c>
    </row>
    <row r="4" spans="1:10" x14ac:dyDescent="0.2">
      <c r="A4" s="9"/>
      <c r="B4" s="10" t="s">
        <v>13</v>
      </c>
      <c r="C4" s="11"/>
      <c r="D4" s="11"/>
      <c r="E4" s="12"/>
    </row>
    <row r="5" spans="1:10" x14ac:dyDescent="0.2">
      <c r="A5" s="9" t="s">
        <v>0</v>
      </c>
      <c r="B5" s="11" t="s">
        <v>1</v>
      </c>
      <c r="C5" s="11" t="s">
        <v>94</v>
      </c>
      <c r="D5" s="11"/>
      <c r="E5" s="28"/>
    </row>
    <row r="6" spans="1:10" x14ac:dyDescent="0.2">
      <c r="A6" s="9" t="s">
        <v>0</v>
      </c>
      <c r="B6" s="11" t="s">
        <v>2</v>
      </c>
      <c r="C6" s="11" t="s">
        <v>94</v>
      </c>
      <c r="D6" s="11"/>
      <c r="E6" s="12"/>
    </row>
    <row r="7" spans="1:10" x14ac:dyDescent="0.2">
      <c r="A7" s="41" t="s">
        <v>0</v>
      </c>
      <c r="B7" s="11" t="s">
        <v>64</v>
      </c>
      <c r="C7" s="11" t="s">
        <v>94</v>
      </c>
      <c r="D7" s="11"/>
      <c r="E7" s="12"/>
    </row>
    <row r="8" spans="1:10" x14ac:dyDescent="0.2">
      <c r="A8" s="9" t="s">
        <v>0</v>
      </c>
      <c r="B8" s="11" t="s">
        <v>6</v>
      </c>
      <c r="C8" s="11" t="s">
        <v>95</v>
      </c>
      <c r="D8" s="53"/>
      <c r="E8" s="12"/>
      <c r="F8" s="58" t="s">
        <v>68</v>
      </c>
      <c r="G8" s="59"/>
      <c r="H8" s="59"/>
    </row>
    <row r="9" spans="1:10" x14ac:dyDescent="0.2">
      <c r="A9" s="9" t="s">
        <v>7</v>
      </c>
      <c r="B9" s="11" t="s">
        <v>8</v>
      </c>
      <c r="C9" s="11" t="s">
        <v>95</v>
      </c>
      <c r="D9" s="11"/>
      <c r="E9" s="12"/>
      <c r="F9" s="58"/>
      <c r="G9" s="59"/>
      <c r="H9" s="59"/>
    </row>
    <row r="10" spans="1:10" x14ac:dyDescent="0.2">
      <c r="A10" s="9" t="s">
        <v>7</v>
      </c>
      <c r="B10" s="11" t="s">
        <v>9</v>
      </c>
      <c r="C10" s="11" t="s">
        <v>95</v>
      </c>
      <c r="D10" s="11"/>
      <c r="E10" s="12"/>
      <c r="F10" s="58"/>
      <c r="G10" s="59"/>
      <c r="H10" s="59"/>
    </row>
    <row r="11" spans="1:10" x14ac:dyDescent="0.2">
      <c r="A11" s="9" t="s">
        <v>0</v>
      </c>
      <c r="B11" s="51" t="s">
        <v>72</v>
      </c>
      <c r="C11" s="51" t="s">
        <v>95</v>
      </c>
      <c r="D11" s="51"/>
      <c r="E11" s="52"/>
      <c r="F11" s="58"/>
      <c r="G11" s="59"/>
      <c r="H11" s="59"/>
    </row>
    <row r="12" spans="1:10" x14ac:dyDescent="0.2">
      <c r="A12" s="9" t="s">
        <v>7</v>
      </c>
      <c r="B12" s="11" t="s">
        <v>63</v>
      </c>
      <c r="C12" s="11" t="s">
        <v>95</v>
      </c>
      <c r="D12" s="11"/>
      <c r="E12" s="12"/>
      <c r="F12" s="58"/>
      <c r="G12" s="59"/>
      <c r="H12" s="59"/>
    </row>
    <row r="13" spans="1:10" x14ac:dyDescent="0.2">
      <c r="A13" s="9"/>
      <c r="B13" s="13" t="s">
        <v>10</v>
      </c>
      <c r="C13" s="11"/>
      <c r="D13" s="11"/>
      <c r="E13" s="28"/>
      <c r="J13" s="21"/>
    </row>
    <row r="14" spans="1:10" ht="19" customHeight="1" x14ac:dyDescent="0.2">
      <c r="A14" s="55"/>
      <c r="B14" s="56"/>
      <c r="C14" s="56"/>
      <c r="D14" s="56"/>
      <c r="E14" s="57"/>
    </row>
    <row r="15" spans="1:10" ht="34" x14ac:dyDescent="0.2">
      <c r="A15" s="9"/>
      <c r="B15" s="14" t="s">
        <v>12</v>
      </c>
      <c r="C15" s="11"/>
      <c r="D15" s="11"/>
      <c r="E15" s="12"/>
    </row>
    <row r="16" spans="1:10" x14ac:dyDescent="0.2">
      <c r="A16" s="9" t="s">
        <v>7</v>
      </c>
      <c r="B16" s="11" t="s">
        <v>11</v>
      </c>
      <c r="C16" s="11" t="s">
        <v>95</v>
      </c>
      <c r="D16" s="11"/>
      <c r="E16" s="12"/>
    </row>
    <row r="17" spans="1:12" x14ac:dyDescent="0.2">
      <c r="A17" s="9"/>
      <c r="B17" s="13" t="s">
        <v>18</v>
      </c>
      <c r="C17" s="11"/>
      <c r="D17" s="11"/>
      <c r="E17" s="12"/>
    </row>
    <row r="18" spans="1:12" x14ac:dyDescent="0.2">
      <c r="A18" s="55"/>
      <c r="B18" s="56"/>
      <c r="C18" s="56"/>
      <c r="D18" s="56"/>
      <c r="E18" s="57"/>
    </row>
    <row r="19" spans="1:12" x14ac:dyDescent="0.2">
      <c r="A19" s="9"/>
      <c r="B19" s="10" t="s">
        <v>3</v>
      </c>
      <c r="C19" s="11"/>
      <c r="D19" s="11"/>
      <c r="E19" s="12"/>
    </row>
    <row r="20" spans="1:12" x14ac:dyDescent="0.2">
      <c r="A20" s="9" t="s">
        <v>0</v>
      </c>
      <c r="B20" s="11" t="s">
        <v>14</v>
      </c>
      <c r="C20" s="11" t="s">
        <v>95</v>
      </c>
      <c r="D20" s="11"/>
      <c r="E20" s="12"/>
      <c r="H20" s="21"/>
      <c r="J20" s="38"/>
    </row>
    <row r="21" spans="1:12" x14ac:dyDescent="0.2">
      <c r="A21" s="9" t="s">
        <v>0</v>
      </c>
      <c r="B21" s="11" t="s">
        <v>15</v>
      </c>
      <c r="C21" s="11" t="s">
        <v>95</v>
      </c>
      <c r="D21" s="11"/>
      <c r="E21" s="12"/>
      <c r="J21" s="38"/>
    </row>
    <row r="22" spans="1:12" x14ac:dyDescent="0.2">
      <c r="A22" s="9" t="s">
        <v>0</v>
      </c>
      <c r="B22" s="11" t="s">
        <v>16</v>
      </c>
      <c r="C22" s="11" t="s">
        <v>95</v>
      </c>
      <c r="D22" s="11"/>
      <c r="E22" s="40"/>
      <c r="J22" s="38"/>
    </row>
    <row r="23" spans="1:12" x14ac:dyDescent="0.2">
      <c r="A23" s="9" t="s">
        <v>7</v>
      </c>
      <c r="B23" s="11" t="s">
        <v>17</v>
      </c>
      <c r="C23" s="11" t="s">
        <v>94</v>
      </c>
      <c r="D23" s="13"/>
      <c r="E23" s="28"/>
      <c r="J23" s="38"/>
    </row>
    <row r="24" spans="1:12" x14ac:dyDescent="0.2">
      <c r="A24" s="9" t="s">
        <v>7</v>
      </c>
      <c r="B24" s="11" t="s">
        <v>64</v>
      </c>
      <c r="C24" s="11" t="s">
        <v>94</v>
      </c>
      <c r="D24" s="13"/>
      <c r="E24" s="28"/>
      <c r="J24" s="38"/>
      <c r="L24" t="s">
        <v>71</v>
      </c>
    </row>
    <row r="25" spans="1:12" x14ac:dyDescent="0.2">
      <c r="A25" s="41" t="s">
        <v>0</v>
      </c>
      <c r="B25" s="13" t="s">
        <v>19</v>
      </c>
      <c r="C25" s="11"/>
      <c r="D25" s="11"/>
      <c r="E25" s="28"/>
      <c r="J25" s="38"/>
      <c r="L25" s="21"/>
    </row>
    <row r="26" spans="1:12" x14ac:dyDescent="0.2">
      <c r="A26" s="55"/>
      <c r="B26" s="56"/>
      <c r="C26" s="56"/>
      <c r="D26" s="56"/>
      <c r="E26" s="57"/>
    </row>
    <row r="27" spans="1:12" x14ac:dyDescent="0.2">
      <c r="A27" s="9"/>
      <c r="B27" s="15" t="s">
        <v>20</v>
      </c>
      <c r="C27" s="11"/>
      <c r="D27" s="11"/>
      <c r="E27" s="28"/>
      <c r="J27" s="21"/>
    </row>
    <row r="28" spans="1:12" x14ac:dyDescent="0.2">
      <c r="A28" s="9"/>
      <c r="B28" s="15" t="s">
        <v>21</v>
      </c>
      <c r="C28" s="11"/>
      <c r="D28" s="11"/>
      <c r="E28" s="12"/>
    </row>
    <row r="29" spans="1:12" x14ac:dyDescent="0.2">
      <c r="A29" s="9"/>
      <c r="B29" s="15" t="s">
        <v>22</v>
      </c>
      <c r="C29" s="11"/>
      <c r="D29" s="11"/>
      <c r="E29" s="28"/>
      <c r="J29" s="21"/>
    </row>
    <row r="30" spans="1:12" ht="17" thickBot="1" x14ac:dyDescent="0.25">
      <c r="A30" s="16"/>
      <c r="B30" s="17"/>
      <c r="C30" s="17"/>
      <c r="D30" s="17"/>
      <c r="E30" s="18"/>
    </row>
    <row r="31" spans="1:12" ht="17" thickTop="1" x14ac:dyDescent="0.2"/>
  </sheetData>
  <mergeCells count="4">
    <mergeCell ref="A14:E14"/>
    <mergeCell ref="A18:E18"/>
    <mergeCell ref="A26:E26"/>
    <mergeCell ref="F8:H12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A6AC-D8C3-4AAA-8251-56E96BC08765}">
  <dimension ref="A1:F7"/>
  <sheetViews>
    <sheetView workbookViewId="0">
      <selection activeCell="B10" sqref="B10"/>
    </sheetView>
  </sheetViews>
  <sheetFormatPr baseColWidth="10" defaultColWidth="8.83203125" defaultRowHeight="16" x14ac:dyDescent="0.2"/>
  <cols>
    <col min="1" max="2" width="18.83203125" customWidth="1"/>
    <col min="3" max="6" width="14" customWidth="1"/>
    <col min="7" max="7" width="12.6640625" customWidth="1"/>
  </cols>
  <sheetData>
    <row r="1" spans="1:6" ht="17" thickBot="1" x14ac:dyDescent="0.25"/>
    <row r="2" spans="1:6" ht="26" customHeight="1" thickTop="1" x14ac:dyDescent="0.2">
      <c r="A2" s="64"/>
      <c r="B2" s="80">
        <v>2023</v>
      </c>
      <c r="C2" s="80"/>
      <c r="D2" s="80"/>
      <c r="E2" s="80"/>
      <c r="F2" s="81"/>
    </row>
    <row r="3" spans="1:6" s="63" customFormat="1" ht="34" x14ac:dyDescent="0.2">
      <c r="A3" s="65"/>
      <c r="B3" s="66" t="s">
        <v>104</v>
      </c>
      <c r="C3" s="67" t="s">
        <v>37</v>
      </c>
      <c r="D3" s="67" t="s">
        <v>101</v>
      </c>
      <c r="E3" s="67" t="s">
        <v>49</v>
      </c>
      <c r="F3" s="68" t="s">
        <v>102</v>
      </c>
    </row>
    <row r="4" spans="1:6" s="63" customFormat="1" ht="23" customHeight="1" x14ac:dyDescent="0.2">
      <c r="A4" s="69" t="s">
        <v>103</v>
      </c>
      <c r="B4" s="70"/>
      <c r="C4" s="71"/>
      <c r="D4" s="71"/>
      <c r="E4" s="71"/>
      <c r="F4" s="72"/>
    </row>
    <row r="5" spans="1:6" ht="23" customHeight="1" x14ac:dyDescent="0.2">
      <c r="A5" s="73" t="s">
        <v>96</v>
      </c>
      <c r="B5" s="74"/>
      <c r="C5" s="75"/>
      <c r="D5" s="74"/>
      <c r="E5" s="74"/>
      <c r="F5" s="76"/>
    </row>
    <row r="6" spans="1:6" ht="23" customHeight="1" thickBot="1" x14ac:dyDescent="0.25">
      <c r="A6" s="77" t="s">
        <v>97</v>
      </c>
      <c r="B6" s="78"/>
      <c r="C6" s="78"/>
      <c r="D6" s="78"/>
      <c r="E6" s="78"/>
      <c r="F6" s="79"/>
    </row>
    <row r="7" spans="1:6" ht="17" thickTop="1" x14ac:dyDescent="0.2">
      <c r="C7" s="38"/>
    </row>
  </sheetData>
  <mergeCells count="2">
    <mergeCell ref="A2:A3"/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9486-BDF2-2449-84BF-D54C3E018872}">
  <dimension ref="A1:D9"/>
  <sheetViews>
    <sheetView workbookViewId="0">
      <selection activeCell="F11" sqref="F11"/>
    </sheetView>
  </sheetViews>
  <sheetFormatPr baseColWidth="10" defaultRowHeight="16" x14ac:dyDescent="0.2"/>
  <cols>
    <col min="1" max="4" width="16.83203125" style="82" customWidth="1"/>
    <col min="5" max="16384" width="10.83203125" style="82"/>
  </cols>
  <sheetData>
    <row r="1" spans="1:4" ht="17" x14ac:dyDescent="0.2">
      <c r="A1" s="83"/>
      <c r="B1" s="84" t="s">
        <v>105</v>
      </c>
      <c r="C1" s="84" t="s">
        <v>106</v>
      </c>
      <c r="D1" s="85" t="s">
        <v>75</v>
      </c>
    </row>
    <row r="2" spans="1:4" ht="18" thickBot="1" x14ac:dyDescent="0.25">
      <c r="A2" s="86"/>
      <c r="B2" s="87"/>
      <c r="C2" s="87"/>
      <c r="D2" s="88" t="s">
        <v>107</v>
      </c>
    </row>
    <row r="3" spans="1:4" ht="35" customHeight="1" thickTop="1" thickBot="1" x14ac:dyDescent="0.25">
      <c r="A3" s="89" t="s">
        <v>37</v>
      </c>
      <c r="B3" s="89">
        <v>450</v>
      </c>
      <c r="C3" s="90">
        <v>680</v>
      </c>
      <c r="D3" s="90"/>
    </row>
    <row r="4" spans="1:4" ht="35" customHeight="1" thickTop="1" thickBot="1" x14ac:dyDescent="0.25">
      <c r="A4" s="91" t="s">
        <v>101</v>
      </c>
      <c r="B4" s="92">
        <v>80</v>
      </c>
      <c r="C4" s="92">
        <v>180</v>
      </c>
      <c r="D4" s="90"/>
    </row>
    <row r="5" spans="1:4" ht="35" customHeight="1" thickTop="1" thickBot="1" x14ac:dyDescent="0.25">
      <c r="A5" s="93" t="s">
        <v>49</v>
      </c>
      <c r="B5" s="94">
        <v>185</v>
      </c>
      <c r="C5" s="94">
        <v>335</v>
      </c>
      <c r="D5" s="90"/>
    </row>
    <row r="6" spans="1:4" ht="35" customHeight="1" thickTop="1" thickBot="1" x14ac:dyDescent="0.25">
      <c r="A6" s="91" t="s">
        <v>102</v>
      </c>
      <c r="B6" s="92">
        <v>0</v>
      </c>
      <c r="C6" s="92">
        <v>120</v>
      </c>
      <c r="D6" s="90"/>
    </row>
    <row r="7" spans="1:4" ht="38" customHeight="1" thickBot="1" x14ac:dyDescent="0.25">
      <c r="A7" s="94" t="s">
        <v>108</v>
      </c>
      <c r="B7" s="95"/>
      <c r="C7" s="96"/>
      <c r="D7" s="94"/>
    </row>
    <row r="8" spans="1:4" ht="35" customHeight="1" thickBot="1" x14ac:dyDescent="0.25">
      <c r="A8" s="91" t="s">
        <v>109</v>
      </c>
      <c r="B8" s="92"/>
      <c r="C8" s="97"/>
      <c r="D8" s="98"/>
    </row>
    <row r="9" spans="1:4" ht="38" customHeight="1" thickBot="1" x14ac:dyDescent="0.25">
      <c r="A9" s="94" t="s">
        <v>110</v>
      </c>
      <c r="B9" s="94"/>
      <c r="C9" s="94"/>
      <c r="D9" s="94"/>
    </row>
  </sheetData>
  <mergeCells count="5">
    <mergeCell ref="A1:A2"/>
    <mergeCell ref="B1:B2"/>
    <mergeCell ref="C1:C2"/>
    <mergeCell ref="B7:C7"/>
    <mergeCell ref="C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5A07-B958-2949-871A-7085CD1C10F8}">
  <dimension ref="A1:D9"/>
  <sheetViews>
    <sheetView workbookViewId="0">
      <selection sqref="A1:XFD1048576"/>
    </sheetView>
  </sheetViews>
  <sheetFormatPr baseColWidth="10" defaultRowHeight="16" x14ac:dyDescent="0.2"/>
  <cols>
    <col min="1" max="4" width="16.83203125" style="82" customWidth="1"/>
    <col min="5" max="16384" width="10.83203125" style="82"/>
  </cols>
  <sheetData>
    <row r="1" spans="1:4" ht="17" x14ac:dyDescent="0.2">
      <c r="A1" s="83"/>
      <c r="B1" s="84" t="s">
        <v>105</v>
      </c>
      <c r="C1" s="84" t="s">
        <v>106</v>
      </c>
      <c r="D1" s="85" t="s">
        <v>75</v>
      </c>
    </row>
    <row r="2" spans="1:4" ht="18" thickBot="1" x14ac:dyDescent="0.25">
      <c r="A2" s="86"/>
      <c r="B2" s="87"/>
      <c r="C2" s="87"/>
      <c r="D2" s="88" t="s">
        <v>107</v>
      </c>
    </row>
    <row r="3" spans="1:4" ht="35" customHeight="1" thickTop="1" thickBot="1" x14ac:dyDescent="0.25">
      <c r="A3" s="89" t="s">
        <v>37</v>
      </c>
      <c r="B3" s="89">
        <v>450</v>
      </c>
      <c r="C3" s="90">
        <v>680</v>
      </c>
      <c r="D3" s="90">
        <f>(C3+B3)/2</f>
        <v>565</v>
      </c>
    </row>
    <row r="4" spans="1:4" ht="35" customHeight="1" thickTop="1" thickBot="1" x14ac:dyDescent="0.25">
      <c r="A4" s="91" t="s">
        <v>101</v>
      </c>
      <c r="B4" s="92">
        <v>80</v>
      </c>
      <c r="C4" s="92">
        <v>180</v>
      </c>
      <c r="D4" s="90">
        <f t="shared" ref="D4:D6" si="0">(C4+B4)/2</f>
        <v>130</v>
      </c>
    </row>
    <row r="5" spans="1:4" ht="35" customHeight="1" thickTop="1" thickBot="1" x14ac:dyDescent="0.25">
      <c r="A5" s="93" t="s">
        <v>49</v>
      </c>
      <c r="B5" s="94">
        <v>185</v>
      </c>
      <c r="C5" s="94">
        <v>335</v>
      </c>
      <c r="D5" s="90">
        <f t="shared" si="0"/>
        <v>260</v>
      </c>
    </row>
    <row r="6" spans="1:4" ht="35" customHeight="1" thickTop="1" thickBot="1" x14ac:dyDescent="0.25">
      <c r="A6" s="91" t="s">
        <v>102</v>
      </c>
      <c r="B6" s="92">
        <v>0</v>
      </c>
      <c r="C6" s="92">
        <v>120</v>
      </c>
      <c r="D6" s="90">
        <f t="shared" si="0"/>
        <v>60</v>
      </c>
    </row>
    <row r="7" spans="1:4" ht="38" customHeight="1" thickBot="1" x14ac:dyDescent="0.25">
      <c r="A7" s="94" t="s">
        <v>108</v>
      </c>
      <c r="B7" s="95"/>
      <c r="C7" s="96"/>
      <c r="D7" s="94">
        <f t="shared" ref="C7:D7" si="1">(D3-D4)-(D5-D6)</f>
        <v>235</v>
      </c>
    </row>
    <row r="8" spans="1:4" ht="35" customHeight="1" thickBot="1" x14ac:dyDescent="0.25">
      <c r="A8" s="91" t="s">
        <v>109</v>
      </c>
      <c r="B8" s="92">
        <f>(B3-B4)-(B5-B6)</f>
        <v>185</v>
      </c>
      <c r="C8" s="97"/>
      <c r="D8" s="98"/>
    </row>
    <row r="9" spans="1:4" ht="38" customHeight="1" thickBot="1" x14ac:dyDescent="0.25">
      <c r="A9" s="94" t="s">
        <v>110</v>
      </c>
      <c r="B9" s="94"/>
      <c r="C9" s="94">
        <f>(C3-C4)-(C5-C6)</f>
        <v>285</v>
      </c>
      <c r="D9" s="94"/>
    </row>
  </sheetData>
  <mergeCells count="5">
    <mergeCell ref="A1:A2"/>
    <mergeCell ref="B1:B2"/>
    <mergeCell ref="C1:C2"/>
    <mergeCell ref="B7:C7"/>
    <mergeCell ref="C8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DD9F-9B98-AD47-BE5D-7F38E265F862}">
  <dimension ref="A1:L9"/>
  <sheetViews>
    <sheetView zoomScale="93" workbookViewId="0">
      <selection sqref="A1:XFD1048576"/>
    </sheetView>
  </sheetViews>
  <sheetFormatPr baseColWidth="10" defaultColWidth="11" defaultRowHeight="16" x14ac:dyDescent="0.2"/>
  <cols>
    <col min="1" max="1" width="12.6640625" customWidth="1"/>
    <col min="2" max="2" width="12.33203125" customWidth="1"/>
    <col min="7" max="7" width="13" customWidth="1"/>
    <col min="9" max="9" width="15" customWidth="1"/>
    <col min="10" max="10" width="14.33203125" customWidth="1"/>
    <col min="12" max="12" width="50.33203125" customWidth="1"/>
  </cols>
  <sheetData>
    <row r="1" spans="1:12" x14ac:dyDescent="0.2">
      <c r="B1" s="60" t="s">
        <v>86</v>
      </c>
      <c r="C1" s="60"/>
      <c r="D1" s="60"/>
      <c r="E1" s="60"/>
      <c r="F1" s="60"/>
      <c r="G1" s="61" t="s">
        <v>87</v>
      </c>
      <c r="H1" s="61"/>
      <c r="I1" s="61"/>
      <c r="J1" s="49" t="s">
        <v>88</v>
      </c>
    </row>
    <row r="2" spans="1:12" x14ac:dyDescent="0.2"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</row>
    <row r="3" spans="1:12" x14ac:dyDescent="0.2">
      <c r="A3" s="45" t="s">
        <v>76</v>
      </c>
      <c r="B3" s="21"/>
      <c r="K3" s="46"/>
    </row>
    <row r="4" spans="1:12" x14ac:dyDescent="0.2">
      <c r="A4" s="45"/>
      <c r="B4" s="21"/>
      <c r="K4" s="21"/>
    </row>
    <row r="5" spans="1:12" x14ac:dyDescent="0.2">
      <c r="B5" s="62" t="s">
        <v>91</v>
      </c>
      <c r="C5" s="62"/>
      <c r="D5" s="62"/>
      <c r="E5" s="62"/>
      <c r="F5" s="62"/>
      <c r="G5" t="s">
        <v>90</v>
      </c>
    </row>
    <row r="6" spans="1:12" x14ac:dyDescent="0.2">
      <c r="A6" s="48" t="s">
        <v>89</v>
      </c>
      <c r="B6" s="21"/>
      <c r="K6" s="47"/>
    </row>
    <row r="9" spans="1:12" x14ac:dyDescent="0.2">
      <c r="A9" s="50" t="s">
        <v>92</v>
      </c>
      <c r="K9" s="25"/>
      <c r="L9" s="2" t="s">
        <v>93</v>
      </c>
    </row>
  </sheetData>
  <mergeCells count="3">
    <mergeCell ref="B1:F1"/>
    <mergeCell ref="G1:I1"/>
    <mergeCell ref="B5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2155-F087-2F4E-8D62-6D6BD35C0154}">
  <dimension ref="A1:L12"/>
  <sheetViews>
    <sheetView tabSelected="1" workbookViewId="0">
      <selection activeCell="L13" sqref="L13"/>
    </sheetView>
  </sheetViews>
  <sheetFormatPr baseColWidth="10" defaultColWidth="11" defaultRowHeight="16" x14ac:dyDescent="0.2"/>
  <cols>
    <col min="1" max="1" width="12.6640625" customWidth="1"/>
    <col min="2" max="2" width="12.33203125" customWidth="1"/>
    <col min="7" max="7" width="13" customWidth="1"/>
    <col min="9" max="9" width="15" customWidth="1"/>
    <col min="10" max="10" width="14.33203125" customWidth="1"/>
    <col min="12" max="12" width="50.33203125" customWidth="1"/>
  </cols>
  <sheetData>
    <row r="1" spans="1:12" x14ac:dyDescent="0.2">
      <c r="B1" s="60" t="s">
        <v>86</v>
      </c>
      <c r="C1" s="60"/>
      <c r="D1" s="60"/>
      <c r="E1" s="60"/>
      <c r="F1" s="60"/>
      <c r="G1" s="61" t="s">
        <v>87</v>
      </c>
      <c r="H1" s="61"/>
      <c r="I1" s="61"/>
      <c r="J1" s="49" t="s">
        <v>88</v>
      </c>
    </row>
    <row r="2" spans="1:12" x14ac:dyDescent="0.2"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</row>
    <row r="3" spans="1:12" x14ac:dyDescent="0.2">
      <c r="B3" s="62" t="s">
        <v>91</v>
      </c>
      <c r="C3" s="62"/>
      <c r="D3" s="62"/>
      <c r="E3" s="62"/>
      <c r="F3" s="62"/>
      <c r="G3" t="s">
        <v>90</v>
      </c>
    </row>
    <row r="4" spans="1:12" x14ac:dyDescent="0.2">
      <c r="A4" s="48" t="s">
        <v>89</v>
      </c>
      <c r="B4" s="21">
        <f>'Income Statement'!C6</f>
        <v>2200</v>
      </c>
      <c r="G4">
        <f>('Balance Sheet'!B6-'Balance Sheet'!C6)</f>
        <v>24</v>
      </c>
      <c r="K4" s="47">
        <f>B4-G4</f>
        <v>2176</v>
      </c>
    </row>
    <row r="6" spans="1:12" x14ac:dyDescent="0.2">
      <c r="A6" s="45" t="s">
        <v>76</v>
      </c>
      <c r="B6" s="21">
        <f>'Income Statement'!C7</f>
        <v>1000</v>
      </c>
      <c r="C6">
        <f>'Income Statement'!C9+'Income Statement'!C10</f>
        <v>327</v>
      </c>
      <c r="D6">
        <v>0</v>
      </c>
      <c r="E6">
        <f>'Income Statement'!C13</f>
        <v>20</v>
      </c>
      <c r="F6" s="38">
        <f>'Income Statement'!C15</f>
        <v>136.62</v>
      </c>
      <c r="G6">
        <f>('Balance Sheet'!B7-'Balance Sheet'!C7)</f>
        <v>-11</v>
      </c>
      <c r="H6">
        <f>('Balance Sheet'!G5-'Balance Sheet'!H5)</f>
        <v>16</v>
      </c>
      <c r="I6">
        <f>('Balance Sheet'!G6-'Balance Sheet'!H6)+('Balance Sheet'!G7-'Balance Sheet'!H7)</f>
        <v>15</v>
      </c>
      <c r="J6">
        <f>'Balance Sheet'!B12-'Balance Sheet'!C12</f>
        <v>149</v>
      </c>
      <c r="K6" s="99">
        <f>B6+C6+D6+E6+F6+G6-H6-I6+J6</f>
        <v>1590.62</v>
      </c>
    </row>
    <row r="7" spans="1:12" x14ac:dyDescent="0.2">
      <c r="A7" s="45"/>
      <c r="B7" s="21"/>
      <c r="K7" s="21"/>
    </row>
    <row r="11" spans="1:12" x14ac:dyDescent="0.2">
      <c r="K11" s="2"/>
    </row>
    <row r="12" spans="1:12" x14ac:dyDescent="0.2">
      <c r="A12" s="50" t="s">
        <v>92</v>
      </c>
      <c r="K12" s="100">
        <f>K4-K6</f>
        <v>585.38000000000011</v>
      </c>
      <c r="L12" s="2" t="s">
        <v>111</v>
      </c>
    </row>
  </sheetData>
  <mergeCells count="3">
    <mergeCell ref="B1:F1"/>
    <mergeCell ref="G1:I1"/>
    <mergeCell ref="B3:F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Cashflows</vt:lpstr>
      <vt:lpstr>wc and nwc</vt:lpstr>
      <vt:lpstr>EXAMPLE</vt:lpstr>
      <vt:lpstr>EXAMPLE_ans</vt:lpstr>
      <vt:lpstr>Net Cash Burn</vt:lpstr>
      <vt:lpstr>Net Cash Burn_ANS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Ellen Burnes</cp:lastModifiedBy>
  <cp:lastPrinted>2023-11-29T00:58:58Z</cp:lastPrinted>
  <dcterms:created xsi:type="dcterms:W3CDTF">2023-01-21T21:13:46Z</dcterms:created>
  <dcterms:modified xsi:type="dcterms:W3CDTF">2025-09-30T22:22:58Z</dcterms:modified>
</cp:coreProperties>
</file>