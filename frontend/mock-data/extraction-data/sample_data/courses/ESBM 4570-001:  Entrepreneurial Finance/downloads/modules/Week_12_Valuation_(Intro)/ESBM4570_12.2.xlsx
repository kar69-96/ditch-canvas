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5/Lectures/"/>
    </mc:Choice>
  </mc:AlternateContent>
  <xr:revisionPtr revIDLastSave="2" documentId="8_{2F005595-03EF-4CEA-883B-E853A6221DCA}" xr6:coauthVersionLast="47" xr6:coauthVersionMax="47" xr10:uidLastSave="{6CAC292A-DC10-4802-AA83-A05763E76331}"/>
  <bookViews>
    <workbookView xWindow="31770" yWindow="1170" windowWidth="29010" windowHeight="13695" activeTab="3" xr2:uid="{839B5C65-791D-D046-B17B-B218EEA0792F}"/>
  </bookViews>
  <sheets>
    <sheet name="COVER" sheetId="7" r:id="rId1"/>
    <sheet name="PV" sheetId="9" r:id="rId2"/>
    <sheet name="NPV" sheetId="10" r:id="rId3"/>
    <sheet name="Perpetuity" sheetId="11" r:id="rId4"/>
    <sheet name="PF_BS" sheetId="6" r:id="rId5"/>
    <sheet name="DCF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8" l="1"/>
  <c r="D12" i="8"/>
  <c r="E12" i="8"/>
  <c r="F12" i="8"/>
  <c r="B12" i="8"/>
  <c r="C8" i="8"/>
  <c r="D8" i="8"/>
  <c r="E8" i="8"/>
  <c r="F8" i="8"/>
  <c r="B8" i="8"/>
  <c r="C6" i="8"/>
  <c r="D6" i="8"/>
  <c r="E6" i="8"/>
  <c r="F6" i="8"/>
  <c r="B6" i="8"/>
  <c r="F5" i="8"/>
  <c r="F7" i="8" s="1"/>
  <c r="F9" i="8" s="1"/>
  <c r="F11" i="8" s="1"/>
  <c r="F13" i="8" s="1"/>
  <c r="B4" i="8"/>
  <c r="C4" i="8"/>
  <c r="D4" i="8"/>
  <c r="E4" i="8"/>
  <c r="F4" i="8"/>
  <c r="C3" i="8"/>
  <c r="C5" i="8" s="1"/>
  <c r="C7" i="8" s="1"/>
  <c r="C9" i="8" s="1"/>
  <c r="C11" i="8" s="1"/>
  <c r="C13" i="8" s="1"/>
  <c r="D3" i="8"/>
  <c r="D5" i="8" s="1"/>
  <c r="D7" i="8" s="1"/>
  <c r="D9" i="8" s="1"/>
  <c r="D11" i="8" s="1"/>
  <c r="D13" i="8" s="1"/>
  <c r="E3" i="8"/>
  <c r="E5" i="8" s="1"/>
  <c r="E7" i="8" s="1"/>
  <c r="E9" i="8" s="1"/>
  <c r="E11" i="8" s="1"/>
  <c r="E13" i="8" s="1"/>
  <c r="F3" i="8"/>
  <c r="B3" i="8"/>
  <c r="B5" i="8" s="1"/>
  <c r="B7" i="8" s="1"/>
  <c r="B9" i="8" s="1"/>
  <c r="B11" i="8" s="1"/>
  <c r="B13" i="8" s="1"/>
  <c r="C9" i="6" l="1"/>
  <c r="B13" i="6"/>
  <c r="D7" i="6"/>
  <c r="E7" i="6" s="1"/>
  <c r="F7" i="6" s="1"/>
  <c r="C7" i="6"/>
  <c r="B6" i="6"/>
  <c r="B3" i="6"/>
  <c r="B4" i="6" s="1"/>
  <c r="B8" i="6" s="1"/>
  <c r="B10" i="6" s="1"/>
  <c r="B12" i="6" s="1"/>
  <c r="C2" i="6"/>
  <c r="D2" i="6" s="1"/>
  <c r="F11" i="6"/>
  <c r="E11" i="6"/>
  <c r="D11" i="6"/>
  <c r="C11" i="6"/>
  <c r="B11" i="6"/>
  <c r="M11" i="6"/>
  <c r="M18" i="6"/>
  <c r="D9" i="6" l="1"/>
  <c r="E9" i="6" s="1"/>
  <c r="F9" i="6" s="1"/>
  <c r="C3" i="6"/>
  <c r="C4" i="6" s="1"/>
  <c r="E2" i="6"/>
  <c r="D3" i="6"/>
  <c r="D4" i="6" s="1"/>
  <c r="D6" i="6"/>
  <c r="C6" i="6"/>
  <c r="B14" i="6"/>
  <c r="C8" i="6" l="1"/>
  <c r="C10" i="6" s="1"/>
  <c r="C12" i="6" s="1"/>
  <c r="C13" i="6" s="1"/>
  <c r="D8" i="6"/>
  <c r="D10" i="6" s="1"/>
  <c r="D12" i="6" s="1"/>
  <c r="D13" i="6" s="1"/>
  <c r="E6" i="6"/>
  <c r="E3" i="6"/>
  <c r="E4" i="6" s="1"/>
  <c r="F2" i="6"/>
  <c r="C14" i="6" l="1"/>
  <c r="E8" i="6"/>
  <c r="E10" i="6" s="1"/>
  <c r="E12" i="6" s="1"/>
  <c r="E13" i="6" s="1"/>
  <c r="E14" i="6" s="1"/>
  <c r="D14" i="6"/>
  <c r="F6" i="6"/>
  <c r="F3" i="6"/>
  <c r="F4" i="6" s="1"/>
  <c r="F8" i="6" s="1"/>
  <c r="F10" i="6" l="1"/>
  <c r="F12" i="6" s="1"/>
  <c r="F13" i="6" l="1"/>
  <c r="F14" i="6" s="1"/>
  <c r="M6" i="6" l="1"/>
  <c r="M12" i="6" s="1"/>
  <c r="M25" i="6" l="1"/>
  <c r="M26" i="6" l="1"/>
  <c r="M28" i="6" s="1"/>
</calcChain>
</file>

<file path=xl/sharedStrings.xml><?xml version="1.0" encoding="utf-8"?>
<sst xmlns="http://schemas.openxmlformats.org/spreadsheetml/2006/main" count="113" uniqueCount="79">
  <si>
    <t>Year</t>
  </si>
  <si>
    <t>Assumptions:</t>
  </si>
  <si>
    <t>Revenue</t>
  </si>
  <si>
    <t>Growth</t>
  </si>
  <si>
    <t>COGS</t>
  </si>
  <si>
    <t>COGS (as % of Revenue)</t>
  </si>
  <si>
    <t>Gross Profit</t>
  </si>
  <si>
    <t>OPEX</t>
  </si>
  <si>
    <t>EBITDA</t>
  </si>
  <si>
    <t>Depreciation</t>
  </si>
  <si>
    <t>Interest</t>
  </si>
  <si>
    <t>Pre Tax Profit</t>
  </si>
  <si>
    <t>Taxes</t>
  </si>
  <si>
    <t>Net Income</t>
  </si>
  <si>
    <t>Equity</t>
  </si>
  <si>
    <t>Invested Capital</t>
  </si>
  <si>
    <t>Retained Earnings</t>
  </si>
  <si>
    <t>EBIT</t>
  </si>
  <si>
    <t>Mktng</t>
  </si>
  <si>
    <t>Other Overhead</t>
  </si>
  <si>
    <t>Other OH</t>
  </si>
  <si>
    <t>Current Assets</t>
  </si>
  <si>
    <t>Cash</t>
  </si>
  <si>
    <t>A/R</t>
  </si>
  <si>
    <t>Inventories</t>
  </si>
  <si>
    <t>Total Current Assets</t>
  </si>
  <si>
    <t>Fixed Assets</t>
  </si>
  <si>
    <t>PP&amp;E Gross</t>
  </si>
  <si>
    <t>Total Assets</t>
  </si>
  <si>
    <t>Liabilities &amp; SE</t>
  </si>
  <si>
    <t>Bank Note/Loan</t>
  </si>
  <si>
    <t>Total Current Liabilities</t>
  </si>
  <si>
    <t>Long Term Liabilities</t>
  </si>
  <si>
    <t>Bank Loan</t>
  </si>
  <si>
    <t>Total Equity</t>
  </si>
  <si>
    <t>Total Liabilities &amp; SE</t>
  </si>
  <si>
    <t>Current Liabilities</t>
  </si>
  <si>
    <t>A/P</t>
  </si>
  <si>
    <t>Acc Dep</t>
  </si>
  <si>
    <t>PP&amp;E Net</t>
  </si>
  <si>
    <t>Forecast</t>
  </si>
  <si>
    <t>* year 2 sales</t>
  </si>
  <si>
    <t>AFN</t>
  </si>
  <si>
    <t>Ellen Burnes</t>
  </si>
  <si>
    <t>Liabilities&amp;SE +AFN</t>
  </si>
  <si>
    <t>Week12.2</t>
  </si>
  <si>
    <t>DCF</t>
  </si>
  <si>
    <t>Example 1</t>
  </si>
  <si>
    <t>N</t>
  </si>
  <si>
    <t>r</t>
  </si>
  <si>
    <t>PV</t>
  </si>
  <si>
    <t>PMT</t>
  </si>
  <si>
    <t>FV</t>
  </si>
  <si>
    <t>Example 2</t>
  </si>
  <si>
    <t>Cash Flow</t>
  </si>
  <si>
    <t>PV by year</t>
  </si>
  <si>
    <t>Cashflows</t>
  </si>
  <si>
    <t>NPV</t>
  </si>
  <si>
    <t>Example 4</t>
  </si>
  <si>
    <t>$000s</t>
  </si>
  <si>
    <t>PROJECTIONS</t>
  </si>
  <si>
    <t>OPEX (SG&amp;A)</t>
  </si>
  <si>
    <t xml:space="preserve">EBIT </t>
  </si>
  <si>
    <t>EBT</t>
  </si>
  <si>
    <t>Req Cash + AR + Inv</t>
  </si>
  <si>
    <t>CHANGE in NWC</t>
  </si>
  <si>
    <t xml:space="preserve">CAPEX </t>
  </si>
  <si>
    <t>Operating FCF</t>
  </si>
  <si>
    <t>Terminal Value</t>
  </si>
  <si>
    <t>Total FCF</t>
  </si>
  <si>
    <t>Total Liabilities</t>
  </si>
  <si>
    <t>CASH</t>
  </si>
  <si>
    <t>Required Cash + AR + Inv</t>
  </si>
  <si>
    <t>AP + Accrual</t>
  </si>
  <si>
    <t>NWC</t>
  </si>
  <si>
    <t xml:space="preserve">required cash = </t>
  </si>
  <si>
    <t>CHANGE in CAPEX</t>
  </si>
  <si>
    <t xml:space="preserve">cost of capital, r = </t>
  </si>
  <si>
    <t>long term growth, g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</si>
</sst>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00_);_(* \(#,##0.00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0" fillId="3" borderId="0" xfId="0" applyFill="1"/>
    <xf numFmtId="164" fontId="0" fillId="2" borderId="0" xfId="1" applyNumberFormat="1" applyFont="1" applyFill="1"/>
    <xf numFmtId="164" fontId="0" fillId="0" borderId="0" xfId="1" applyNumberFormat="1" applyFont="1"/>
    <xf numFmtId="0" fontId="2" fillId="0" borderId="0" xfId="0" applyFont="1"/>
    <xf numFmtId="3" fontId="0" fillId="0" borderId="0" xfId="0" applyNumberFormat="1"/>
    <xf numFmtId="164" fontId="0" fillId="0" borderId="0" xfId="0" applyNumberFormat="1"/>
    <xf numFmtId="166" fontId="0" fillId="0" borderId="0" xfId="1" applyNumberFormat="1" applyFont="1"/>
    <xf numFmtId="164" fontId="0" fillId="3" borderId="0" xfId="1" applyNumberFormat="1" applyFont="1" applyFill="1"/>
    <xf numFmtId="164" fontId="0" fillId="3" borderId="0" xfId="0" applyNumberFormat="1" applyFill="1"/>
    <xf numFmtId="165" fontId="0" fillId="0" borderId="0" xfId="0" applyNumberFormat="1"/>
    <xf numFmtId="43" fontId="0" fillId="0" borderId="0" xfId="0" applyNumberFormat="1"/>
    <xf numFmtId="1" fontId="0" fillId="0" borderId="0" xfId="0" applyNumberFormat="1"/>
    <xf numFmtId="0" fontId="0" fillId="0" borderId="0" xfId="0" applyFill="1"/>
    <xf numFmtId="0" fontId="3" fillId="0" borderId="0" xfId="0" applyFont="1"/>
    <xf numFmtId="8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 vertical="center"/>
    </xf>
    <xf numFmtId="0" fontId="4" fillId="0" borderId="0" xfId="0" applyFont="1"/>
    <xf numFmtId="0" fontId="0" fillId="4" borderId="0" xfId="0" applyFill="1"/>
    <xf numFmtId="1" fontId="0" fillId="4" borderId="0" xfId="0" applyNumberFormat="1" applyFill="1"/>
    <xf numFmtId="0" fontId="3" fillId="5" borderId="0" xfId="0" applyFont="1" applyFill="1" applyAlignment="1">
      <alignment horizontal="left"/>
    </xf>
    <xf numFmtId="0" fontId="3" fillId="4" borderId="0" xfId="0" applyFont="1" applyFill="1"/>
    <xf numFmtId="0" fontId="3" fillId="0" borderId="0" xfId="0" applyFont="1" applyAlignment="1">
      <alignment horizontal="left"/>
    </xf>
    <xf numFmtId="0" fontId="5" fillId="0" borderId="0" xfId="0" applyFont="1"/>
    <xf numFmtId="6" fontId="0" fillId="0" borderId="0" xfId="0" applyNumberFormat="1"/>
    <xf numFmtId="0" fontId="1" fillId="0" borderId="0" xfId="0" applyFont="1"/>
    <xf numFmtId="0" fontId="2" fillId="0" borderId="0" xfId="0" applyFont="1" applyAlignment="1">
      <alignment horizontal="right"/>
    </xf>
    <xf numFmtId="164" fontId="0" fillId="4" borderId="0" xfId="1" applyNumberFormat="1" applyFont="1" applyFill="1"/>
    <xf numFmtId="164" fontId="0" fillId="4" borderId="0" xfId="0" applyNumberFormat="1" applyFill="1"/>
    <xf numFmtId="0" fontId="2" fillId="0" borderId="7" xfId="0" applyFont="1" applyBorder="1"/>
    <xf numFmtId="0" fontId="0" fillId="0" borderId="8" xfId="0" applyBorder="1"/>
    <xf numFmtId="1" fontId="0" fillId="0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4932-7812-2A4D-B7D4-6E18A98638F6}">
  <dimension ref="A1:A4"/>
  <sheetViews>
    <sheetView workbookViewId="0">
      <selection activeCell="D11" sqref="D11:D12"/>
    </sheetView>
  </sheetViews>
  <sheetFormatPr defaultColWidth="11" defaultRowHeight="15.75" x14ac:dyDescent="0.25"/>
  <sheetData>
    <row r="1" spans="1:1" x14ac:dyDescent="0.25">
      <c r="A1" t="s">
        <v>46</v>
      </c>
    </row>
    <row r="2" spans="1:1" x14ac:dyDescent="0.25">
      <c r="A2" t="s">
        <v>45</v>
      </c>
    </row>
    <row r="4" spans="1:1" x14ac:dyDescent="0.25">
      <c r="A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A9A76-B137-42F8-800F-59CBBB7ABC99}">
  <dimension ref="A1:L19"/>
  <sheetViews>
    <sheetView workbookViewId="0">
      <selection sqref="A1:XFD1048576"/>
    </sheetView>
  </sheetViews>
  <sheetFormatPr defaultColWidth="11" defaultRowHeight="15.75" x14ac:dyDescent="0.25"/>
  <cols>
    <col min="3" max="11" width="11.375" bestFit="1" customWidth="1"/>
    <col min="12" max="12" width="12.375" bestFit="1" customWidth="1"/>
  </cols>
  <sheetData>
    <row r="1" spans="1:12" x14ac:dyDescent="0.25">
      <c r="A1" s="14" t="s">
        <v>47</v>
      </c>
    </row>
    <row r="2" spans="1:12" x14ac:dyDescent="0.25">
      <c r="A2" t="s">
        <v>48</v>
      </c>
    </row>
    <row r="3" spans="1:12" x14ac:dyDescent="0.25">
      <c r="A3" t="s">
        <v>49</v>
      </c>
    </row>
    <row r="4" spans="1:12" x14ac:dyDescent="0.25">
      <c r="A4" t="s">
        <v>50</v>
      </c>
    </row>
    <row r="5" spans="1:12" x14ac:dyDescent="0.25">
      <c r="A5" t="s">
        <v>51</v>
      </c>
    </row>
    <row r="6" spans="1:12" x14ac:dyDescent="0.25">
      <c r="A6" t="s">
        <v>52</v>
      </c>
    </row>
    <row r="8" spans="1:12" x14ac:dyDescent="0.25">
      <c r="A8" s="14" t="s">
        <v>53</v>
      </c>
    </row>
    <row r="9" spans="1:12" x14ac:dyDescent="0.25">
      <c r="A9" t="s">
        <v>48</v>
      </c>
    </row>
    <row r="10" spans="1:12" x14ac:dyDescent="0.25">
      <c r="A10" t="s">
        <v>49</v>
      </c>
    </row>
    <row r="11" spans="1:12" x14ac:dyDescent="0.25">
      <c r="A11" t="s">
        <v>50</v>
      </c>
      <c r="B11" s="15"/>
    </row>
    <row r="12" spans="1:12" x14ac:dyDescent="0.25">
      <c r="A12" t="s">
        <v>51</v>
      </c>
    </row>
    <row r="13" spans="1:12" x14ac:dyDescent="0.25">
      <c r="A13" t="s">
        <v>52</v>
      </c>
    </row>
    <row r="15" spans="1:12" x14ac:dyDescent="0.25">
      <c r="B15">
        <v>0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>
        <v>9</v>
      </c>
      <c r="L15">
        <v>10</v>
      </c>
    </row>
    <row r="16" spans="1:12" x14ac:dyDescent="0.25">
      <c r="A16" t="s">
        <v>54</v>
      </c>
    </row>
    <row r="17" spans="1:12" x14ac:dyDescent="0.25">
      <c r="A17" t="s">
        <v>55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25">
      <c r="A18" t="s">
        <v>50</v>
      </c>
      <c r="B18" s="12"/>
    </row>
    <row r="19" spans="1:12" x14ac:dyDescent="0.25">
      <c r="A19" t="s">
        <v>49</v>
      </c>
      <c r="B19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9874-6435-4C93-95F6-5DA5CD3B9920}">
  <dimension ref="A1:B9"/>
  <sheetViews>
    <sheetView workbookViewId="0">
      <selection activeCell="E13" sqref="E13"/>
    </sheetView>
  </sheetViews>
  <sheetFormatPr defaultColWidth="11" defaultRowHeight="15.75" x14ac:dyDescent="0.25"/>
  <sheetData>
    <row r="1" spans="1:2" ht="16.5" thickTop="1" x14ac:dyDescent="0.25">
      <c r="A1" s="16" t="s">
        <v>0</v>
      </c>
      <c r="B1" s="17" t="s">
        <v>56</v>
      </c>
    </row>
    <row r="2" spans="1:2" x14ac:dyDescent="0.25">
      <c r="A2" s="18">
        <v>1</v>
      </c>
      <c r="B2" s="19">
        <v>10000</v>
      </c>
    </row>
    <row r="3" spans="1:2" x14ac:dyDescent="0.25">
      <c r="A3" s="18">
        <v>2</v>
      </c>
      <c r="B3" s="19">
        <v>12000</v>
      </c>
    </row>
    <row r="4" spans="1:2" x14ac:dyDescent="0.25">
      <c r="A4" s="18">
        <v>3</v>
      </c>
      <c r="B4" s="19">
        <v>25000</v>
      </c>
    </row>
    <row r="5" spans="1:2" x14ac:dyDescent="0.25">
      <c r="A5" s="18">
        <v>4</v>
      </c>
      <c r="B5" s="19">
        <v>45000</v>
      </c>
    </row>
    <row r="6" spans="1:2" ht="16.5" thickBot="1" x14ac:dyDescent="0.3">
      <c r="A6" s="20">
        <v>5</v>
      </c>
      <c r="B6" s="21">
        <v>75000</v>
      </c>
    </row>
    <row r="7" spans="1:2" ht="16.5" thickTop="1" x14ac:dyDescent="0.25"/>
    <row r="8" spans="1:2" x14ac:dyDescent="0.25">
      <c r="A8" t="s">
        <v>49</v>
      </c>
      <c r="B8">
        <v>0.09</v>
      </c>
    </row>
    <row r="9" spans="1:2" x14ac:dyDescent="0.25">
      <c r="A9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0813-9428-4097-8002-B6C4620FED6A}">
  <dimension ref="A1:B5"/>
  <sheetViews>
    <sheetView tabSelected="1" workbookViewId="0">
      <selection activeCell="I24" sqref="I24"/>
    </sheetView>
  </sheetViews>
  <sheetFormatPr defaultRowHeight="15.75" x14ac:dyDescent="0.25"/>
  <sheetData>
    <row r="1" spans="1:2" x14ac:dyDescent="0.25">
      <c r="A1" t="s">
        <v>58</v>
      </c>
    </row>
    <row r="3" spans="1:2" x14ac:dyDescent="0.25">
      <c r="A3" t="s">
        <v>51</v>
      </c>
      <c r="B3">
        <v>1525</v>
      </c>
    </row>
    <row r="4" spans="1:2" x14ac:dyDescent="0.25">
      <c r="A4" t="s">
        <v>49</v>
      </c>
      <c r="B4">
        <v>0.12</v>
      </c>
    </row>
    <row r="5" spans="1:2" x14ac:dyDescent="0.25">
      <c r="A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F59D-7D92-204C-BDF2-9184CDB78ABB}">
  <dimension ref="A1:U33"/>
  <sheetViews>
    <sheetView topLeftCell="C1" zoomScale="121" workbookViewId="0">
      <selection activeCell="O3" sqref="O3:R30"/>
    </sheetView>
  </sheetViews>
  <sheetFormatPr defaultColWidth="11" defaultRowHeight="15.75" x14ac:dyDescent="0.25"/>
  <cols>
    <col min="8" max="8" width="4.75" customWidth="1"/>
    <col min="9" max="9" width="15.5" customWidth="1"/>
    <col min="12" max="12" width="16.375" customWidth="1"/>
    <col min="13" max="13" width="11.5" style="3" bestFit="1" customWidth="1"/>
    <col min="14" max="14" width="8.62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I1" t="s">
        <v>1</v>
      </c>
      <c r="J1">
        <v>1</v>
      </c>
      <c r="M1" s="3">
        <v>1</v>
      </c>
      <c r="N1" s="4" t="s">
        <v>40</v>
      </c>
      <c r="O1">
        <v>2</v>
      </c>
      <c r="P1">
        <v>3</v>
      </c>
      <c r="Q1">
        <v>4</v>
      </c>
      <c r="R1">
        <v>5</v>
      </c>
    </row>
    <row r="2" spans="1:21" x14ac:dyDescent="0.25">
      <c r="A2" t="s">
        <v>2</v>
      </c>
      <c r="B2" s="2">
        <v>325000</v>
      </c>
      <c r="C2" s="3">
        <f>B2*(1+$J$2)</f>
        <v>438750</v>
      </c>
      <c r="D2" s="3">
        <f t="shared" ref="D2:F2" si="0">C2*(1+$J$2)</f>
        <v>592312.5</v>
      </c>
      <c r="E2" s="3">
        <f t="shared" si="0"/>
        <v>799621.875</v>
      </c>
      <c r="F2" s="3">
        <f t="shared" si="0"/>
        <v>1079489.53125</v>
      </c>
      <c r="I2" t="s">
        <v>3</v>
      </c>
      <c r="J2">
        <v>0.35</v>
      </c>
      <c r="L2" t="s">
        <v>21</v>
      </c>
      <c r="N2" t="s">
        <v>41</v>
      </c>
    </row>
    <row r="3" spans="1:21" x14ac:dyDescent="0.25">
      <c r="A3" t="s">
        <v>4</v>
      </c>
      <c r="B3" s="3">
        <f>B2*$J$3</f>
        <v>130000</v>
      </c>
      <c r="C3" s="3">
        <f t="shared" ref="C3:F3" si="1">C2*$J$3</f>
        <v>175500</v>
      </c>
      <c r="D3" s="3">
        <f t="shared" si="1"/>
        <v>236925</v>
      </c>
      <c r="E3" s="3">
        <f t="shared" si="1"/>
        <v>319848.75</v>
      </c>
      <c r="F3" s="3">
        <f t="shared" si="1"/>
        <v>431795.8125</v>
      </c>
      <c r="I3" t="s">
        <v>5</v>
      </c>
      <c r="J3">
        <v>0.4</v>
      </c>
      <c r="L3" t="s">
        <v>22</v>
      </c>
      <c r="M3" s="3">
        <v>6500</v>
      </c>
      <c r="N3">
        <v>0.12</v>
      </c>
      <c r="O3" s="6"/>
      <c r="P3" s="6"/>
      <c r="Q3" s="6"/>
      <c r="R3" s="6"/>
    </row>
    <row r="4" spans="1:21" x14ac:dyDescent="0.25">
      <c r="A4" t="s">
        <v>6</v>
      </c>
      <c r="B4" s="3">
        <f>B2-B3</f>
        <v>195000</v>
      </c>
      <c r="C4" s="3">
        <f t="shared" ref="C4:F4" si="2">C2-C3</f>
        <v>263250</v>
      </c>
      <c r="D4" s="3">
        <f t="shared" si="2"/>
        <v>355387.5</v>
      </c>
      <c r="E4" s="3">
        <f t="shared" si="2"/>
        <v>479773.125</v>
      </c>
      <c r="F4" s="3">
        <f t="shared" si="2"/>
        <v>647693.71875</v>
      </c>
      <c r="I4" t="s">
        <v>7</v>
      </c>
      <c r="L4" t="s">
        <v>23</v>
      </c>
      <c r="M4" s="3">
        <v>25000</v>
      </c>
      <c r="N4" s="11">
        <v>0.25</v>
      </c>
      <c r="O4" s="6"/>
      <c r="P4" s="6"/>
      <c r="Q4" s="6"/>
      <c r="R4" s="6"/>
      <c r="T4" s="6"/>
    </row>
    <row r="5" spans="1:21" x14ac:dyDescent="0.25">
      <c r="A5" t="s">
        <v>7</v>
      </c>
      <c r="B5" s="3"/>
      <c r="C5" s="3"/>
      <c r="D5" s="3"/>
      <c r="E5" s="3"/>
      <c r="F5" s="3"/>
      <c r="I5" t="s">
        <v>18</v>
      </c>
      <c r="J5">
        <v>0.3</v>
      </c>
      <c r="L5" t="s">
        <v>24</v>
      </c>
      <c r="M5" s="3">
        <v>15000</v>
      </c>
      <c r="N5" s="11">
        <v>0.25</v>
      </c>
      <c r="O5" s="6"/>
      <c r="P5" s="6"/>
      <c r="Q5" s="6"/>
      <c r="R5" s="6"/>
      <c r="T5" s="6"/>
    </row>
    <row r="6" spans="1:21" x14ac:dyDescent="0.25">
      <c r="A6" t="s">
        <v>18</v>
      </c>
      <c r="B6" s="3">
        <f>B2*$J$5</f>
        <v>97500</v>
      </c>
      <c r="C6" s="3">
        <f t="shared" ref="C6:F6" si="3">C2*$J$5</f>
        <v>131625</v>
      </c>
      <c r="D6" s="3">
        <f t="shared" si="3"/>
        <v>177693.75</v>
      </c>
      <c r="E6" s="3">
        <f t="shared" si="3"/>
        <v>239886.5625</v>
      </c>
      <c r="F6" s="3">
        <f t="shared" si="3"/>
        <v>323846.859375</v>
      </c>
      <c r="I6" t="s">
        <v>19</v>
      </c>
      <c r="J6">
        <v>0.06</v>
      </c>
      <c r="L6" s="4" t="s">
        <v>25</v>
      </c>
      <c r="M6" s="3">
        <f>SUM(M3:M5)</f>
        <v>46500</v>
      </c>
      <c r="O6" s="3"/>
      <c r="P6" s="3"/>
      <c r="Q6" s="3"/>
      <c r="R6" s="3"/>
      <c r="T6" s="6"/>
    </row>
    <row r="7" spans="1:21" x14ac:dyDescent="0.25">
      <c r="A7" t="s">
        <v>20</v>
      </c>
      <c r="B7" s="3">
        <v>20000</v>
      </c>
      <c r="C7" s="3">
        <f>B7*(1+$J$6)</f>
        <v>21200</v>
      </c>
      <c r="D7" s="3">
        <f t="shared" ref="D7:F7" si="4">C7*(1+$J$6)</f>
        <v>22472</v>
      </c>
      <c r="E7" s="3">
        <f t="shared" si="4"/>
        <v>23820.32</v>
      </c>
      <c r="F7" s="3">
        <f t="shared" si="4"/>
        <v>25249.539199999999</v>
      </c>
      <c r="I7" t="s">
        <v>9</v>
      </c>
      <c r="J7">
        <v>0.01</v>
      </c>
      <c r="T7" s="6"/>
    </row>
    <row r="8" spans="1:21" x14ac:dyDescent="0.25">
      <c r="A8" t="s">
        <v>8</v>
      </c>
      <c r="B8" s="3">
        <f>B4-B6-B7</f>
        <v>77500</v>
      </c>
      <c r="C8" s="3">
        <f t="shared" ref="C8:F8" si="5">C4-C6-C7</f>
        <v>110425</v>
      </c>
      <c r="D8" s="3">
        <f t="shared" si="5"/>
        <v>155221.75</v>
      </c>
      <c r="E8" s="3">
        <f t="shared" si="5"/>
        <v>216066.24249999999</v>
      </c>
      <c r="F8" s="3">
        <f t="shared" si="5"/>
        <v>298597.320175</v>
      </c>
      <c r="I8" t="s">
        <v>10</v>
      </c>
      <c r="J8">
        <v>0</v>
      </c>
      <c r="L8" t="s">
        <v>26</v>
      </c>
    </row>
    <row r="9" spans="1:21" x14ac:dyDescent="0.25">
      <c r="A9" s="1" t="s">
        <v>9</v>
      </c>
      <c r="B9" s="8">
        <v>13000</v>
      </c>
      <c r="C9" s="8">
        <f>B9*(1+$J$7)</f>
        <v>13130</v>
      </c>
      <c r="D9" s="8">
        <f t="shared" ref="D9:F9" si="6">C9*(1+$J$7)</f>
        <v>13261.3</v>
      </c>
      <c r="E9" s="8">
        <f t="shared" si="6"/>
        <v>13393.912999999999</v>
      </c>
      <c r="F9" s="8">
        <f t="shared" si="6"/>
        <v>13527.852129999999</v>
      </c>
      <c r="I9" t="s">
        <v>12</v>
      </c>
      <c r="J9">
        <v>0.25</v>
      </c>
      <c r="L9" t="s">
        <v>27</v>
      </c>
      <c r="M9" s="3">
        <v>55000</v>
      </c>
      <c r="N9" s="10">
        <v>0.15</v>
      </c>
      <c r="O9" s="6"/>
      <c r="P9" s="3"/>
      <c r="Q9" s="3"/>
      <c r="R9" s="3"/>
    </row>
    <row r="10" spans="1:21" x14ac:dyDescent="0.25">
      <c r="A10" t="s">
        <v>17</v>
      </c>
      <c r="B10" s="3">
        <f>B8-B9</f>
        <v>64500</v>
      </c>
      <c r="C10" s="3">
        <f t="shared" ref="C10:F10" si="7">C8-C9</f>
        <v>97295</v>
      </c>
      <c r="D10" s="3">
        <f t="shared" si="7"/>
        <v>141960.45000000001</v>
      </c>
      <c r="E10" s="3">
        <f t="shared" si="7"/>
        <v>202672.32949999999</v>
      </c>
      <c r="F10" s="3">
        <f t="shared" si="7"/>
        <v>285069.46804499999</v>
      </c>
      <c r="L10" t="s">
        <v>38</v>
      </c>
      <c r="M10" s="3">
        <v>13000</v>
      </c>
      <c r="O10" s="6"/>
      <c r="P10" s="6"/>
      <c r="Q10" s="6"/>
      <c r="R10" s="6"/>
    </row>
    <row r="11" spans="1:21" x14ac:dyDescent="0.25">
      <c r="A11" t="s">
        <v>10</v>
      </c>
      <c r="B11" s="3">
        <f>$J$9</f>
        <v>0.25</v>
      </c>
      <c r="C11" s="3">
        <f t="shared" ref="C11:F11" si="8">$J$9</f>
        <v>0.25</v>
      </c>
      <c r="D11" s="3">
        <f t="shared" si="8"/>
        <v>0.25</v>
      </c>
      <c r="E11" s="3">
        <f t="shared" si="8"/>
        <v>0.25</v>
      </c>
      <c r="F11" s="3">
        <f t="shared" si="8"/>
        <v>0.25</v>
      </c>
      <c r="I11" s="13"/>
      <c r="L11" t="s">
        <v>39</v>
      </c>
      <c r="M11" s="3">
        <f>M9-M10</f>
        <v>42000</v>
      </c>
      <c r="O11" s="6"/>
      <c r="P11" s="6"/>
      <c r="Q11" s="6"/>
      <c r="R11" s="6"/>
    </row>
    <row r="12" spans="1:21" x14ac:dyDescent="0.25">
      <c r="A12" t="s">
        <v>11</v>
      </c>
      <c r="B12" s="3">
        <f>B10-B11</f>
        <v>64499.75</v>
      </c>
      <c r="C12" s="3">
        <f t="shared" ref="C12:F12" si="9">C10-C11</f>
        <v>97294.75</v>
      </c>
      <c r="D12" s="3">
        <f t="shared" si="9"/>
        <v>141960.20000000001</v>
      </c>
      <c r="E12" s="3">
        <f t="shared" si="9"/>
        <v>202672.07949999999</v>
      </c>
      <c r="F12" s="3">
        <f t="shared" si="9"/>
        <v>285069.21804499999</v>
      </c>
      <c r="L12" t="s">
        <v>28</v>
      </c>
      <c r="M12" s="3">
        <f>M6+M11</f>
        <v>88500</v>
      </c>
      <c r="O12" s="3"/>
      <c r="P12" s="3"/>
      <c r="Q12" s="3"/>
      <c r="R12" s="3"/>
    </row>
    <row r="13" spans="1:21" x14ac:dyDescent="0.25">
      <c r="A13" t="s">
        <v>12</v>
      </c>
      <c r="B13" s="3">
        <f>B12*$J$9</f>
        <v>16124.9375</v>
      </c>
      <c r="C13" s="3">
        <f t="shared" ref="C13:F13" si="10">C12*$J$9</f>
        <v>24323.6875</v>
      </c>
      <c r="D13" s="3">
        <f t="shared" si="10"/>
        <v>35490.050000000003</v>
      </c>
      <c r="E13" s="3">
        <f t="shared" si="10"/>
        <v>50668.019874999998</v>
      </c>
      <c r="F13" s="3">
        <f t="shared" si="10"/>
        <v>71267.304511249997</v>
      </c>
    </row>
    <row r="14" spans="1:21" x14ac:dyDescent="0.25">
      <c r="A14" t="s">
        <v>13</v>
      </c>
      <c r="B14" s="3">
        <f>B12-B13</f>
        <v>48374.8125</v>
      </c>
      <c r="C14" s="3">
        <f t="shared" ref="C14:F14" si="11">C12-C13</f>
        <v>72971.0625</v>
      </c>
      <c r="D14" s="3">
        <f t="shared" si="11"/>
        <v>106470.15000000001</v>
      </c>
      <c r="E14" s="3">
        <f t="shared" si="11"/>
        <v>152004.05962499999</v>
      </c>
      <c r="F14" s="3">
        <f t="shared" si="11"/>
        <v>213801.91353374999</v>
      </c>
      <c r="L14" t="s">
        <v>29</v>
      </c>
    </row>
    <row r="15" spans="1:21" x14ac:dyDescent="0.25">
      <c r="L15" s="4" t="s">
        <v>36</v>
      </c>
      <c r="T15" s="6"/>
      <c r="U15" s="11"/>
    </row>
    <row r="16" spans="1:21" x14ac:dyDescent="0.25">
      <c r="L16" t="s">
        <v>37</v>
      </c>
      <c r="M16" s="3">
        <v>30000</v>
      </c>
      <c r="N16" s="11">
        <v>0.05</v>
      </c>
      <c r="O16" s="3"/>
      <c r="P16" s="3"/>
      <c r="Q16" s="3"/>
      <c r="R16" s="3"/>
      <c r="T16" s="6"/>
    </row>
    <row r="17" spans="12:20" x14ac:dyDescent="0.25">
      <c r="L17" t="s">
        <v>30</v>
      </c>
      <c r="M17" s="3">
        <v>0</v>
      </c>
    </row>
    <row r="18" spans="12:20" x14ac:dyDescent="0.25">
      <c r="L18" s="4" t="s">
        <v>31</v>
      </c>
      <c r="M18" s="3">
        <f>M16+M17</f>
        <v>30000</v>
      </c>
      <c r="O18" s="3"/>
      <c r="P18" s="3"/>
      <c r="Q18" s="3"/>
      <c r="R18" s="3"/>
      <c r="T18" s="6"/>
    </row>
    <row r="20" spans="12:20" x14ac:dyDescent="0.25">
      <c r="L20" t="s">
        <v>32</v>
      </c>
    </row>
    <row r="21" spans="12:20" x14ac:dyDescent="0.25">
      <c r="L21" t="s">
        <v>33</v>
      </c>
      <c r="M21" s="3">
        <v>0</v>
      </c>
    </row>
    <row r="23" spans="12:20" x14ac:dyDescent="0.25">
      <c r="L23" t="s">
        <v>14</v>
      </c>
      <c r="O23" s="5"/>
    </row>
    <row r="24" spans="12:20" x14ac:dyDescent="0.25">
      <c r="L24" t="s">
        <v>15</v>
      </c>
      <c r="M24" s="3">
        <v>10125</v>
      </c>
      <c r="O24" s="6"/>
      <c r="P24" s="6"/>
      <c r="Q24" s="6"/>
      <c r="R24" s="6"/>
    </row>
    <row r="25" spans="12:20" x14ac:dyDescent="0.25">
      <c r="L25" t="s">
        <v>16</v>
      </c>
      <c r="M25" s="3" t="e">
        <f>#REF!</f>
        <v>#REF!</v>
      </c>
      <c r="O25" s="6"/>
      <c r="P25" s="6"/>
      <c r="Q25" s="6"/>
      <c r="R25" s="6"/>
    </row>
    <row r="26" spans="12:20" x14ac:dyDescent="0.25">
      <c r="L26" s="4" t="s">
        <v>34</v>
      </c>
      <c r="M26" s="3" t="e">
        <f>M24+M25</f>
        <v>#REF!</v>
      </c>
      <c r="O26" s="3"/>
      <c r="P26" s="3"/>
      <c r="Q26" s="3"/>
      <c r="R26" s="3"/>
    </row>
    <row r="27" spans="12:20" x14ac:dyDescent="0.25">
      <c r="L27" s="1" t="s">
        <v>42</v>
      </c>
      <c r="M27" s="8">
        <v>0</v>
      </c>
      <c r="N27" s="1"/>
      <c r="O27" s="9"/>
      <c r="P27" s="9"/>
      <c r="Q27" s="9"/>
      <c r="R27" s="9"/>
    </row>
    <row r="28" spans="12:20" x14ac:dyDescent="0.25">
      <c r="L28" t="s">
        <v>35</v>
      </c>
      <c r="M28" s="3" t="e">
        <f>M18+M21+M26</f>
        <v>#REF!</v>
      </c>
      <c r="O28" s="3"/>
      <c r="P28" s="3"/>
      <c r="Q28" s="3"/>
      <c r="R28" s="3"/>
    </row>
    <row r="30" spans="12:20" x14ac:dyDescent="0.25">
      <c r="L30" t="s">
        <v>44</v>
      </c>
      <c r="M30" s="7"/>
      <c r="O30" s="6"/>
      <c r="P30" s="6"/>
      <c r="Q30" s="6"/>
      <c r="R30" s="6"/>
    </row>
    <row r="33" spans="12:12" x14ac:dyDescent="0.25">
      <c r="L33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4789-9FCA-4389-8C76-675BE7C94D6A}">
  <dimension ref="A1:AA59"/>
  <sheetViews>
    <sheetView topLeftCell="A13" workbookViewId="0">
      <selection activeCell="B17" sqref="B17:F35"/>
    </sheetView>
  </sheetViews>
  <sheetFormatPr defaultColWidth="11" defaultRowHeight="15.75" x14ac:dyDescent="0.25"/>
  <cols>
    <col min="1" max="1" width="21.875" customWidth="1"/>
    <col min="2" max="5" width="11.125" bestFit="1" customWidth="1"/>
    <col min="6" max="6" width="12.625" bestFit="1" customWidth="1"/>
    <col min="9" max="9" width="16.875" customWidth="1"/>
  </cols>
  <sheetData>
    <row r="1" spans="1:27" ht="20.100000000000001" customHeight="1" x14ac:dyDescent="0.25">
      <c r="A1" t="s">
        <v>59</v>
      </c>
      <c r="C1" s="22" t="s">
        <v>60</v>
      </c>
      <c r="D1" s="22"/>
      <c r="E1" s="22"/>
      <c r="F1" s="22"/>
      <c r="G1" s="22"/>
    </row>
    <row r="2" spans="1:27" x14ac:dyDescent="0.25">
      <c r="A2" s="14" t="s">
        <v>13</v>
      </c>
      <c r="B2">
        <v>1</v>
      </c>
      <c r="C2">
        <v>2</v>
      </c>
      <c r="D2">
        <v>3</v>
      </c>
      <c r="E2">
        <v>4</v>
      </c>
      <c r="F2">
        <v>5</v>
      </c>
      <c r="G2" s="13"/>
    </row>
    <row r="3" spans="1:27" x14ac:dyDescent="0.25">
      <c r="A3" t="s">
        <v>2</v>
      </c>
      <c r="B3" s="3">
        <f>PF_BS!B2</f>
        <v>325000</v>
      </c>
      <c r="C3" s="3">
        <f>PF_BS!C2</f>
        <v>438750</v>
      </c>
      <c r="D3" s="3">
        <f>PF_BS!D2</f>
        <v>592312.5</v>
      </c>
      <c r="E3" s="3">
        <f>PF_BS!E2</f>
        <v>799621.875</v>
      </c>
      <c r="F3" s="3">
        <f>PF_BS!F2</f>
        <v>1079489.53125</v>
      </c>
      <c r="G3" s="13"/>
    </row>
    <row r="4" spans="1:27" x14ac:dyDescent="0.25">
      <c r="A4" t="s">
        <v>4</v>
      </c>
      <c r="B4" s="3">
        <f>PF_BS!B3</f>
        <v>130000</v>
      </c>
      <c r="C4" s="3">
        <f>PF_BS!C3</f>
        <v>175500</v>
      </c>
      <c r="D4" s="3">
        <f>PF_BS!D3</f>
        <v>236925</v>
      </c>
      <c r="E4" s="3">
        <f>PF_BS!E3</f>
        <v>319848.75</v>
      </c>
      <c r="F4" s="3">
        <f>PF_BS!F3</f>
        <v>431795.8125</v>
      </c>
      <c r="G4" s="1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x14ac:dyDescent="0.25">
      <c r="A5" t="s">
        <v>6</v>
      </c>
      <c r="B5" s="3">
        <f>B3-B4</f>
        <v>195000</v>
      </c>
      <c r="C5" s="3">
        <f t="shared" ref="C5:F5" si="0">C3-C4</f>
        <v>263250</v>
      </c>
      <c r="D5" s="3">
        <f t="shared" si="0"/>
        <v>355387.5</v>
      </c>
      <c r="E5" s="3">
        <f t="shared" si="0"/>
        <v>479773.125</v>
      </c>
      <c r="F5" s="3">
        <f t="shared" si="0"/>
        <v>647693.71875</v>
      </c>
      <c r="G5" s="1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x14ac:dyDescent="0.25">
      <c r="A6" t="s">
        <v>61</v>
      </c>
      <c r="B6" s="3">
        <f>PF_BS!B6+PF_BS!B7</f>
        <v>117500</v>
      </c>
      <c r="C6" s="3">
        <f>PF_BS!C6+PF_BS!C7</f>
        <v>152825</v>
      </c>
      <c r="D6" s="3">
        <f>PF_BS!D6+PF_BS!D7</f>
        <v>200165.75</v>
      </c>
      <c r="E6" s="3">
        <f>PF_BS!E6+PF_BS!E7</f>
        <v>263706.88250000001</v>
      </c>
      <c r="F6" s="3">
        <f>PF_BS!F6+PF_BS!F7</f>
        <v>349096.398575</v>
      </c>
      <c r="G6" s="13"/>
    </row>
    <row r="7" spans="1:27" x14ac:dyDescent="0.25">
      <c r="A7" t="s">
        <v>8</v>
      </c>
      <c r="B7" s="3">
        <f>B5-B6</f>
        <v>77500</v>
      </c>
      <c r="C7" s="3">
        <f t="shared" ref="C7:F7" si="1">C5-C6</f>
        <v>110425</v>
      </c>
      <c r="D7" s="3">
        <f t="shared" si="1"/>
        <v>155221.75</v>
      </c>
      <c r="E7" s="3">
        <f t="shared" si="1"/>
        <v>216066.24249999999</v>
      </c>
      <c r="F7" s="3">
        <f t="shared" si="1"/>
        <v>298597.320175</v>
      </c>
      <c r="G7" s="37"/>
    </row>
    <row r="8" spans="1:27" x14ac:dyDescent="0.25">
      <c r="A8" s="24" t="s">
        <v>9</v>
      </c>
      <c r="B8" s="33">
        <f>PF_BS!B9</f>
        <v>13000</v>
      </c>
      <c r="C8" s="33">
        <f>PF_BS!C9</f>
        <v>13130</v>
      </c>
      <c r="D8" s="33">
        <f>PF_BS!D9</f>
        <v>13261.3</v>
      </c>
      <c r="E8" s="33">
        <f>PF_BS!E9</f>
        <v>13393.912999999999</v>
      </c>
      <c r="F8" s="33">
        <f>PF_BS!F9</f>
        <v>13527.852129999999</v>
      </c>
      <c r="G8" s="37"/>
    </row>
    <row r="9" spans="1:27" x14ac:dyDescent="0.25">
      <c r="A9" t="s">
        <v>62</v>
      </c>
      <c r="B9" s="6">
        <f>B7-B8</f>
        <v>64500</v>
      </c>
      <c r="C9" s="6">
        <f t="shared" ref="C9:F9" si="2">C7-C8</f>
        <v>97295</v>
      </c>
      <c r="D9" s="6">
        <f t="shared" si="2"/>
        <v>141960.45000000001</v>
      </c>
      <c r="E9" s="6">
        <f t="shared" si="2"/>
        <v>202672.32949999999</v>
      </c>
      <c r="F9" s="6">
        <f t="shared" si="2"/>
        <v>285069.46804499999</v>
      </c>
      <c r="G9" s="37"/>
    </row>
    <row r="10" spans="1:27" x14ac:dyDescent="0.25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 s="37"/>
    </row>
    <row r="11" spans="1:27" x14ac:dyDescent="0.25">
      <c r="A11" t="s">
        <v>63</v>
      </c>
      <c r="B11" s="6">
        <f>B9-B10</f>
        <v>64500</v>
      </c>
      <c r="C11" s="6">
        <f t="shared" ref="C11:F11" si="3">C9-C10</f>
        <v>97295</v>
      </c>
      <c r="D11" s="6">
        <f t="shared" si="3"/>
        <v>141960.45000000001</v>
      </c>
      <c r="E11" s="6">
        <f t="shared" si="3"/>
        <v>202672.32949999999</v>
      </c>
      <c r="F11" s="6">
        <f t="shared" si="3"/>
        <v>285069.46804499999</v>
      </c>
      <c r="G11" s="37"/>
    </row>
    <row r="12" spans="1:27" x14ac:dyDescent="0.25">
      <c r="A12" t="s">
        <v>12</v>
      </c>
      <c r="B12" s="6">
        <f>PF_BS!B13</f>
        <v>16124.9375</v>
      </c>
      <c r="C12" s="6">
        <f>PF_BS!C13</f>
        <v>24323.6875</v>
      </c>
      <c r="D12" s="6">
        <f>PF_BS!D13</f>
        <v>35490.050000000003</v>
      </c>
      <c r="E12" s="6">
        <f>PF_BS!E13</f>
        <v>50668.019874999998</v>
      </c>
      <c r="F12" s="6">
        <f>PF_BS!F13</f>
        <v>71267.304511249997</v>
      </c>
      <c r="G12" s="37"/>
    </row>
    <row r="13" spans="1:27" x14ac:dyDescent="0.25">
      <c r="A13" s="24" t="s">
        <v>13</v>
      </c>
      <c r="B13" s="34">
        <f>B11-B12</f>
        <v>48375.0625</v>
      </c>
      <c r="C13" s="34">
        <f t="shared" ref="C13:F13" si="4">C11-C12</f>
        <v>72971.3125</v>
      </c>
      <c r="D13" s="34">
        <f t="shared" si="4"/>
        <v>106470.40000000001</v>
      </c>
      <c r="E13" s="34">
        <f t="shared" si="4"/>
        <v>152004.30962499999</v>
      </c>
      <c r="F13" s="34">
        <f t="shared" si="4"/>
        <v>213802.16353374999</v>
      </c>
      <c r="G13" s="37"/>
    </row>
    <row r="14" spans="1:27" x14ac:dyDescent="0.25">
      <c r="C14" s="12"/>
      <c r="D14" s="12"/>
      <c r="E14" s="12"/>
      <c r="F14" s="12"/>
      <c r="G14" s="37"/>
    </row>
    <row r="15" spans="1:27" x14ac:dyDescent="0.25">
      <c r="C15" s="12"/>
      <c r="D15" s="12"/>
      <c r="E15" s="12"/>
      <c r="F15" s="12"/>
      <c r="G15" s="37"/>
    </row>
    <row r="16" spans="1:27" ht="16.5" thickBot="1" x14ac:dyDescent="0.3">
      <c r="A16" s="14" t="s">
        <v>74</v>
      </c>
      <c r="C16" s="12"/>
      <c r="D16" s="12"/>
      <c r="E16" s="12"/>
      <c r="F16" s="12"/>
      <c r="G16" s="37"/>
    </row>
    <row r="17" spans="1:10" ht="16.5" thickBot="1" x14ac:dyDescent="0.3">
      <c r="A17" t="s">
        <v>64</v>
      </c>
      <c r="B17" s="3"/>
      <c r="C17" s="3"/>
      <c r="D17" s="3"/>
      <c r="E17" s="3"/>
      <c r="F17" s="3"/>
      <c r="G17" s="37"/>
      <c r="I17" s="35" t="s">
        <v>75</v>
      </c>
      <c r="J17" s="36">
        <v>0.2</v>
      </c>
    </row>
    <row r="18" spans="1:10" x14ac:dyDescent="0.25">
      <c r="A18" t="s">
        <v>37</v>
      </c>
      <c r="B18" s="3"/>
      <c r="C18" s="3"/>
      <c r="D18" s="3"/>
      <c r="E18" s="3"/>
      <c r="F18" s="3"/>
      <c r="G18" s="37"/>
    </row>
    <row r="19" spans="1:10" x14ac:dyDescent="0.25">
      <c r="A19" t="s">
        <v>74</v>
      </c>
      <c r="B19" s="3"/>
      <c r="C19" s="3"/>
      <c r="D19" s="3"/>
      <c r="E19" s="3"/>
      <c r="F19" s="3"/>
      <c r="G19" s="37"/>
    </row>
    <row r="20" spans="1:10" x14ac:dyDescent="0.25">
      <c r="A20" s="24" t="s">
        <v>65</v>
      </c>
      <c r="B20" s="34"/>
      <c r="C20" s="25"/>
      <c r="D20" s="25"/>
      <c r="E20" s="25"/>
      <c r="F20" s="25"/>
      <c r="G20" s="37"/>
    </row>
    <row r="21" spans="1:10" x14ac:dyDescent="0.25">
      <c r="C21" s="12"/>
      <c r="D21" s="12"/>
      <c r="E21" s="12"/>
      <c r="F21" s="12"/>
      <c r="G21" s="37"/>
    </row>
    <row r="22" spans="1:10" x14ac:dyDescent="0.25">
      <c r="C22" s="12"/>
      <c r="D22" s="12"/>
      <c r="E22" s="12"/>
      <c r="F22" s="12"/>
      <c r="G22" s="37"/>
    </row>
    <row r="23" spans="1:10" x14ac:dyDescent="0.25">
      <c r="A23" s="26" t="s">
        <v>66</v>
      </c>
      <c r="C23" s="12"/>
      <c r="D23" s="12"/>
      <c r="E23" s="12"/>
      <c r="F23" s="12"/>
      <c r="G23" s="37"/>
    </row>
    <row r="24" spans="1:10" x14ac:dyDescent="0.25">
      <c r="A24" t="s">
        <v>27</v>
      </c>
      <c r="C24" s="12"/>
      <c r="D24" s="12"/>
      <c r="E24" s="12"/>
      <c r="F24" s="12"/>
      <c r="G24" s="37"/>
    </row>
    <row r="25" spans="1:10" x14ac:dyDescent="0.25">
      <c r="C25" s="12"/>
      <c r="D25" s="12"/>
      <c r="E25" s="12"/>
      <c r="F25" s="12"/>
      <c r="G25" s="37"/>
    </row>
    <row r="26" spans="1:10" x14ac:dyDescent="0.25">
      <c r="C26" s="12"/>
      <c r="D26" s="12"/>
      <c r="E26" s="12"/>
      <c r="F26" s="12"/>
      <c r="G26" s="37"/>
    </row>
    <row r="27" spans="1:10" x14ac:dyDescent="0.25">
      <c r="A27" s="27" t="s">
        <v>76</v>
      </c>
      <c r="B27" s="24"/>
      <c r="C27" s="25"/>
      <c r="D27" s="25"/>
      <c r="E27" s="25"/>
      <c r="F27" s="25"/>
      <c r="G27" s="37"/>
    </row>
    <row r="28" spans="1:10" x14ac:dyDescent="0.25">
      <c r="A28" s="14"/>
    </row>
    <row r="29" spans="1:10" x14ac:dyDescent="0.25">
      <c r="A29" s="14"/>
    </row>
    <row r="30" spans="1:10" x14ac:dyDescent="0.25">
      <c r="A30" s="14" t="s">
        <v>67</v>
      </c>
      <c r="B30" s="25"/>
      <c r="C30" s="25"/>
      <c r="D30" s="25"/>
      <c r="E30" s="25"/>
      <c r="F30" s="25"/>
      <c r="G30" s="37"/>
      <c r="I30" t="s">
        <v>77</v>
      </c>
      <c r="J30">
        <v>0.3</v>
      </c>
    </row>
    <row r="31" spans="1:10" x14ac:dyDescent="0.25">
      <c r="A31" s="28" t="s">
        <v>68</v>
      </c>
      <c r="F31" s="25"/>
      <c r="G31" s="12"/>
      <c r="I31" t="s">
        <v>78</v>
      </c>
      <c r="J31">
        <v>0.1</v>
      </c>
    </row>
    <row r="33" spans="1:7" x14ac:dyDescent="0.25">
      <c r="A33" t="s">
        <v>69</v>
      </c>
      <c r="B33" s="12"/>
      <c r="C33" s="12"/>
      <c r="D33" s="12"/>
      <c r="E33" s="12"/>
      <c r="F33" s="12"/>
      <c r="G33" s="12"/>
    </row>
    <row r="34" spans="1:7" x14ac:dyDescent="0.25">
      <c r="A34" s="29"/>
    </row>
    <row r="35" spans="1:7" x14ac:dyDescent="0.25">
      <c r="A35" t="s">
        <v>57</v>
      </c>
      <c r="B35" s="30"/>
    </row>
    <row r="39" spans="1:7" x14ac:dyDescent="0.25">
      <c r="A39" s="31"/>
    </row>
    <row r="42" spans="1:7" x14ac:dyDescent="0.25">
      <c r="A42" s="31"/>
    </row>
    <row r="43" spans="1:7" x14ac:dyDescent="0.25">
      <c r="A43" s="32"/>
    </row>
    <row r="48" spans="1:7" x14ac:dyDescent="0.25">
      <c r="A48" s="4" t="s">
        <v>70</v>
      </c>
    </row>
    <row r="50" spans="1:2" x14ac:dyDescent="0.25">
      <c r="A50" t="s">
        <v>15</v>
      </c>
    </row>
    <row r="51" spans="1:2" x14ac:dyDescent="0.25">
      <c r="A51" t="s">
        <v>16</v>
      </c>
    </row>
    <row r="52" spans="1:2" x14ac:dyDescent="0.25">
      <c r="A52" s="4" t="s">
        <v>34</v>
      </c>
    </row>
    <row r="54" spans="1:2" x14ac:dyDescent="0.25">
      <c r="A54" s="29" t="s">
        <v>35</v>
      </c>
    </row>
    <row r="57" spans="1:2" x14ac:dyDescent="0.25">
      <c r="A57" t="s">
        <v>71</v>
      </c>
    </row>
    <row r="58" spans="1:2" x14ac:dyDescent="0.25">
      <c r="A58" t="s">
        <v>72</v>
      </c>
      <c r="B58">
        <v>50000</v>
      </c>
    </row>
    <row r="59" spans="1:2" x14ac:dyDescent="0.25">
      <c r="A59" t="s">
        <v>73</v>
      </c>
      <c r="B59">
        <v>25</v>
      </c>
    </row>
  </sheetData>
  <mergeCells count="1">
    <mergeCell ref="C1:G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PV</vt:lpstr>
      <vt:lpstr>NPV</vt:lpstr>
      <vt:lpstr>Perpetuity</vt:lpstr>
      <vt:lpstr>PF_BS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2024-10-29T17:05:13Z</dcterms:created>
  <dcterms:modified xsi:type="dcterms:W3CDTF">2025-11-05T19:22:36Z</dcterms:modified>
</cp:coreProperties>
</file>