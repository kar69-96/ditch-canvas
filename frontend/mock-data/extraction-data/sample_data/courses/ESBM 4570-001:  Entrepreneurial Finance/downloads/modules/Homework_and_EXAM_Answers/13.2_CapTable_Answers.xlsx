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0" documentId="8_{D0EE6394-D3A3-0647-9A23-2D60CC30949F}" xr6:coauthVersionLast="47" xr6:coauthVersionMax="47" xr10:uidLastSave="{00000000-0000-0000-0000-000000000000}"/>
  <bookViews>
    <workbookView xWindow="0" yWindow="620" windowWidth="28800" windowHeight="17380" activeTab="1" xr2:uid="{4562EEFA-AB53-4B40-A598-C24C35D4CD84}"/>
  </bookViews>
  <sheets>
    <sheet name="Cover" sheetId="2" r:id="rId1"/>
    <sheet name="Cap Table" sheetId="1" r:id="rId2"/>
  </sheets>
  <definedNames>
    <definedName name="solver_adj" localSheetId="1" hidden="1">'Cap Table'!#REF!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hs1" localSheetId="1" hidden="1">'Cap Table'!#REF!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opt" localSheetId="1" hidden="1">'Cap Table'!#REF!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hs1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0.31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F87" i="1"/>
  <c r="F85" i="1"/>
  <c r="E87" i="1"/>
  <c r="E86" i="1"/>
  <c r="E85" i="1"/>
  <c r="D86" i="1"/>
  <c r="D87" i="1"/>
  <c r="D88" i="1"/>
  <c r="D89" i="1"/>
  <c r="D90" i="1"/>
  <c r="D91" i="1"/>
  <c r="D92" i="1"/>
  <c r="D93" i="1"/>
  <c r="D94" i="1"/>
  <c r="D85" i="1"/>
  <c r="B82" i="1"/>
  <c r="B67" i="1"/>
  <c r="B64" i="1"/>
  <c r="B65" i="1"/>
  <c r="C64" i="1"/>
  <c r="B48" i="1"/>
  <c r="B47" i="1"/>
  <c r="E46" i="1"/>
  <c r="C32" i="1"/>
  <c r="C31" i="1"/>
  <c r="B32" i="1"/>
  <c r="C10" i="1"/>
  <c r="C9" i="1"/>
  <c r="C8" i="1"/>
  <c r="C7" i="1"/>
  <c r="B69" i="1"/>
  <c r="B68" i="1"/>
  <c r="B51" i="1"/>
  <c r="B41" i="1"/>
  <c r="B40" i="1"/>
  <c r="B39" i="1"/>
  <c r="B42" i="1" s="1"/>
  <c r="C34" i="1" s="1"/>
  <c r="F46" i="1"/>
  <c r="D7" i="1"/>
  <c r="C47" i="1" l="1"/>
  <c r="C35" i="1"/>
  <c r="C38" i="1"/>
  <c r="C37" i="1"/>
  <c r="C41" i="1"/>
  <c r="C40" i="1"/>
  <c r="C39" i="1"/>
  <c r="C36" i="1"/>
  <c r="B26" i="1"/>
  <c r="B17" i="1"/>
  <c r="B11" i="1"/>
  <c r="B5" i="1"/>
  <c r="C20" i="1" l="1"/>
  <c r="C42" i="1"/>
  <c r="C19" i="1"/>
  <c r="C23" i="1"/>
  <c r="C22" i="1"/>
  <c r="C25" i="1"/>
  <c r="C21" i="1"/>
  <c r="C24" i="1"/>
  <c r="B59" i="1" l="1"/>
  <c r="C48" i="1" s="1"/>
  <c r="C26" i="1"/>
  <c r="C50" i="1" l="1"/>
  <c r="C58" i="1"/>
  <c r="C53" i="1"/>
  <c r="C57" i="1"/>
  <c r="C51" i="1"/>
  <c r="C56" i="1"/>
  <c r="C52" i="1"/>
  <c r="C54" i="1"/>
  <c r="C55" i="1"/>
  <c r="B85" i="1" l="1"/>
  <c r="B77" i="1"/>
  <c r="C59" i="1"/>
  <c r="C75" i="1" l="1"/>
  <c r="C68" i="1"/>
  <c r="C72" i="1"/>
  <c r="C74" i="1"/>
  <c r="C73" i="1"/>
  <c r="C70" i="1"/>
  <c r="C76" i="1"/>
  <c r="C71" i="1"/>
  <c r="C69" i="1"/>
  <c r="C67" i="1"/>
  <c r="B95" i="1"/>
  <c r="C93" i="1" l="1"/>
  <c r="C89" i="1"/>
  <c r="C90" i="1"/>
  <c r="C92" i="1"/>
  <c r="C86" i="1"/>
  <c r="C94" i="1"/>
  <c r="C87" i="1"/>
  <c r="C88" i="1"/>
  <c r="C91" i="1"/>
  <c r="C85" i="1"/>
  <c r="C77" i="1"/>
  <c r="C95" i="1" l="1"/>
</calcChain>
</file>

<file path=xl/sharedStrings.xml><?xml version="1.0" encoding="utf-8"?>
<sst xmlns="http://schemas.openxmlformats.org/spreadsheetml/2006/main" count="108" uniqueCount="30">
  <si>
    <t>Founding "Round"</t>
  </si>
  <si>
    <t>Holder</t>
  </si>
  <si>
    <t>shares</t>
  </si>
  <si>
    <t>%</t>
  </si>
  <si>
    <t>Raise</t>
  </si>
  <si>
    <t>Founder 1</t>
  </si>
  <si>
    <t>Founder 2</t>
  </si>
  <si>
    <t>Founder 3</t>
  </si>
  <si>
    <t>Founder 4</t>
  </si>
  <si>
    <t>Pre Money Valuation</t>
  </si>
  <si>
    <t>Post Money Valuation</t>
  </si>
  <si>
    <t>Total Shares</t>
  </si>
  <si>
    <t>Interim Round</t>
  </si>
  <si>
    <t>this adds shares, dilutes founders and raises no $</t>
  </si>
  <si>
    <t>Employee Option Pool</t>
  </si>
  <si>
    <t>Advisor</t>
  </si>
  <si>
    <t>Board Member</t>
  </si>
  <si>
    <t>Seed Round</t>
  </si>
  <si>
    <t>Seed Investor</t>
  </si>
  <si>
    <t>$/share</t>
  </si>
  <si>
    <t>Series A</t>
  </si>
  <si>
    <t>Series B</t>
  </si>
  <si>
    <t>EXIT</t>
  </si>
  <si>
    <t>Valuation</t>
  </si>
  <si>
    <t>$ from Exit</t>
  </si>
  <si>
    <t>Initial Investment</t>
  </si>
  <si>
    <t>Multiple</t>
  </si>
  <si>
    <t>Cap Tables</t>
  </si>
  <si>
    <t>Ellen Burnes</t>
  </si>
  <si>
    <t>Week 13.2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</si>
</sst>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9" fontId="0" fillId="0" borderId="0" xfId="2" applyFont="1"/>
    <xf numFmtId="9" fontId="0" fillId="0" borderId="1" xfId="0" applyNumberFormat="1" applyBorder="1"/>
    <xf numFmtId="0" fontId="3" fillId="0" borderId="0" xfId="0" applyFont="1" applyAlignment="1">
      <alignment horizontal="center" vertical="center"/>
    </xf>
    <xf numFmtId="164" fontId="0" fillId="0" borderId="0" xfId="2" applyNumberFormat="1" applyFont="1"/>
    <xf numFmtId="3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0" fillId="0" borderId="0" xfId="0" applyNumberFormat="1"/>
    <xf numFmtId="0" fontId="3" fillId="3" borderId="0" xfId="0" applyFont="1" applyFill="1"/>
    <xf numFmtId="165" fontId="0" fillId="0" borderId="0" xfId="1" applyNumberFormat="1" applyFont="1"/>
    <xf numFmtId="166" fontId="0" fillId="0" borderId="0" xfId="0" applyNumberFormat="1"/>
    <xf numFmtId="0" fontId="3" fillId="4" borderId="0" xfId="0" applyFont="1" applyFill="1"/>
    <xf numFmtId="1" fontId="0" fillId="0" borderId="1" xfId="0" applyNumberFormat="1" applyBorder="1"/>
    <xf numFmtId="44" fontId="0" fillId="0" borderId="0" xfId="0" applyNumberFormat="1"/>
    <xf numFmtId="9" fontId="3" fillId="0" borderId="0" xfId="2" applyFont="1" applyFill="1" applyAlignment="1">
      <alignment horizontal="right" vertical="center"/>
    </xf>
    <xf numFmtId="9" fontId="3" fillId="4" borderId="0" xfId="2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5" borderId="0" xfId="0" applyFont="1" applyFill="1"/>
    <xf numFmtId="1" fontId="3" fillId="4" borderId="0" xfId="0" applyNumberFormat="1" applyFont="1" applyFill="1" applyAlignment="1">
      <alignment horizontal="right" vertical="center"/>
    </xf>
    <xf numFmtId="1" fontId="3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10" fontId="3" fillId="5" borderId="0" xfId="2" applyNumberFormat="1" applyFont="1" applyFill="1" applyAlignment="1">
      <alignment horizontal="right" vertical="center"/>
    </xf>
    <xf numFmtId="10" fontId="3" fillId="0" borderId="0" xfId="2" applyNumberFormat="1" applyFont="1" applyFill="1" applyAlignment="1">
      <alignment horizontal="right" vertical="center"/>
    </xf>
    <xf numFmtId="10" fontId="3" fillId="4" borderId="0" xfId="2" applyNumberFormat="1" applyFont="1" applyFill="1" applyAlignment="1">
      <alignment horizontal="right" vertical="center"/>
    </xf>
    <xf numFmtId="9" fontId="3" fillId="3" borderId="0" xfId="2" applyFont="1" applyFill="1" applyAlignment="1">
      <alignment horizontal="right" vertical="center"/>
    </xf>
    <xf numFmtId="10" fontId="3" fillId="3" borderId="0" xfId="2" applyNumberFormat="1" applyFont="1" applyFill="1" applyAlignment="1">
      <alignment horizontal="right" vertical="center"/>
    </xf>
    <xf numFmtId="2" fontId="0" fillId="0" borderId="0" xfId="0" applyNumberFormat="1"/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 wrapText="1"/>
    </xf>
    <xf numFmtId="0" fontId="0" fillId="7" borderId="0" xfId="0" applyFill="1"/>
    <xf numFmtId="9" fontId="0" fillId="7" borderId="0" xfId="2" applyFont="1" applyFill="1"/>
    <xf numFmtId="0" fontId="0" fillId="8" borderId="0" xfId="0" applyFill="1"/>
    <xf numFmtId="9" fontId="0" fillId="8" borderId="0" xfId="2" applyFont="1" applyFill="1"/>
    <xf numFmtId="0" fontId="0" fillId="9" borderId="0" xfId="0" applyFill="1"/>
    <xf numFmtId="9" fontId="0" fillId="9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61020</xdr:colOff>
      <xdr:row>55</xdr:row>
      <xdr:rowOff>79000</xdr:rowOff>
    </xdr:from>
    <xdr:to>
      <xdr:col>6</xdr:col>
      <xdr:colOff>989460</xdr:colOff>
      <xdr:row>58</xdr:row>
      <xdr:rowOff>72040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045CD9D-9CA6-92A6-9CF2-23B072DB92E0}"/>
                </a:ext>
              </a:extLst>
            </xdr14:cNvPr>
            <xdr14:cNvContentPartPr/>
          </xdr14:nvContentPartPr>
          <xdr14:nvPr macro=""/>
          <xdr14:xfrm>
            <a:off x="6118920" y="11255000"/>
            <a:ext cx="928440" cy="602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045CD9D-9CA6-92A6-9CF2-23B072DB92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110280" y="11246360"/>
              <a:ext cx="946080" cy="62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1479420</xdr:colOff>
      <xdr:row>56</xdr:row>
      <xdr:rowOff>162000</xdr:rowOff>
    </xdr:from>
    <xdr:to>
      <xdr:col>7</xdr:col>
      <xdr:colOff>209720</xdr:colOff>
      <xdr:row>57</xdr:row>
      <xdr:rowOff>122960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6C72035-48A9-E493-86B1-CB33DF7EE6EB}"/>
                </a:ext>
              </a:extLst>
            </xdr14:cNvPr>
            <xdr14:cNvContentPartPr/>
          </xdr14:nvContentPartPr>
          <xdr14:nvPr macro=""/>
          <xdr14:xfrm>
            <a:off x="7537320" y="11541200"/>
            <a:ext cx="419400" cy="164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6C72035-48A9-E493-86B1-CB33DF7EE6E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31195" y="11535067"/>
              <a:ext cx="431651" cy="1764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82360</xdr:colOff>
      <xdr:row>54</xdr:row>
      <xdr:rowOff>16160</xdr:rowOff>
    </xdr:from>
    <xdr:to>
      <xdr:col>11</xdr:col>
      <xdr:colOff>67640</xdr:colOff>
      <xdr:row>59</xdr:row>
      <xdr:rowOff>29760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0D286F4-1EF3-0C82-E41A-004D72744FCB}"/>
                </a:ext>
              </a:extLst>
            </xdr14:cNvPr>
            <xdr14:cNvContentPartPr/>
          </xdr14:nvContentPartPr>
          <xdr14:nvPr macro=""/>
          <xdr14:xfrm>
            <a:off x="8642160" y="10988960"/>
            <a:ext cx="2677680" cy="10296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0D286F4-1EF3-0C82-E41A-004D72744FC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636040" y="10982840"/>
              <a:ext cx="2689920" cy="10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222080</xdr:colOff>
      <xdr:row>56</xdr:row>
      <xdr:rowOff>196200</xdr:rowOff>
    </xdr:from>
    <xdr:to>
      <xdr:col>11</xdr:col>
      <xdr:colOff>457520</xdr:colOff>
      <xdr:row>57</xdr:row>
      <xdr:rowOff>27200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56FF6BD-ED6E-2AC3-BD43-BF3266A8C23E}"/>
                </a:ext>
              </a:extLst>
            </xdr14:cNvPr>
            <xdr14:cNvContentPartPr/>
          </xdr14:nvContentPartPr>
          <xdr14:nvPr macro=""/>
          <xdr14:xfrm>
            <a:off x="11474280" y="11575400"/>
            <a:ext cx="235440" cy="34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56FF6BD-ED6E-2AC3-BD43-BF3266A8C23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1468160" y="11569280"/>
              <a:ext cx="24768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249080</xdr:colOff>
      <xdr:row>56</xdr:row>
      <xdr:rowOff>8280</xdr:rowOff>
    </xdr:from>
    <xdr:to>
      <xdr:col>11</xdr:col>
      <xdr:colOff>440240</xdr:colOff>
      <xdr:row>56</xdr:row>
      <xdr:rowOff>52920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8DEADD7-09C4-3BE2-5A53-BF4B4B6882DC}"/>
                </a:ext>
              </a:extLst>
            </xdr14:cNvPr>
            <xdr14:cNvContentPartPr/>
          </xdr14:nvContentPartPr>
          <xdr14:nvPr macro=""/>
          <xdr14:xfrm>
            <a:off x="11501280" y="11387480"/>
            <a:ext cx="191160" cy="44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8DEADD7-09C4-3BE2-5A53-BF4B4B6882D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495160" y="11381360"/>
              <a:ext cx="2034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59440</xdr:colOff>
      <xdr:row>53</xdr:row>
      <xdr:rowOff>96240</xdr:rowOff>
    </xdr:from>
    <xdr:to>
      <xdr:col>12</xdr:col>
      <xdr:colOff>455080</xdr:colOff>
      <xdr:row>55</xdr:row>
      <xdr:rowOff>60280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9A10BB3-34BF-031B-3F99-AB7C7083B507}"/>
                </a:ext>
              </a:extLst>
            </xdr14:cNvPr>
            <xdr14:cNvContentPartPr/>
          </xdr14:nvContentPartPr>
          <xdr14:nvPr macro=""/>
          <xdr14:xfrm>
            <a:off x="12124440" y="10865840"/>
            <a:ext cx="395640" cy="3704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9A10BB3-34BF-031B-3F99-AB7C7083B50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118320" y="10859720"/>
              <a:ext cx="407880" cy="38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156360</xdr:colOff>
      <xdr:row>52</xdr:row>
      <xdr:rowOff>82360</xdr:rowOff>
    </xdr:from>
    <xdr:to>
      <xdr:col>15</xdr:col>
      <xdr:colOff>444160</xdr:colOff>
      <xdr:row>55</xdr:row>
      <xdr:rowOff>45160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59C0222-9313-CF97-E4C5-1A498B422635}"/>
                </a:ext>
              </a:extLst>
            </xdr14:cNvPr>
            <xdr14:cNvContentPartPr/>
          </xdr14:nvContentPartPr>
          <xdr14:nvPr macro=""/>
          <xdr14:xfrm>
            <a:off x="13034160" y="10648760"/>
            <a:ext cx="1913400" cy="5724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59C0222-9313-CF97-E4C5-1A498B422635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028040" y="10642644"/>
              <a:ext cx="1925640" cy="5846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110360</xdr:colOff>
      <xdr:row>56</xdr:row>
      <xdr:rowOff>9000</xdr:rowOff>
    </xdr:from>
    <xdr:to>
      <xdr:col>15</xdr:col>
      <xdr:colOff>766000</xdr:colOff>
      <xdr:row>58</xdr:row>
      <xdr:rowOff>98320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4297965-79E0-2CC2-5034-D2E928B987E4}"/>
                </a:ext>
              </a:extLst>
            </xdr14:cNvPr>
            <xdr14:cNvContentPartPr/>
          </xdr14:nvContentPartPr>
          <xdr14:nvPr macro=""/>
          <xdr14:xfrm>
            <a:off x="13800960" y="11388200"/>
            <a:ext cx="1468440" cy="4957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C4297965-79E0-2CC2-5034-D2E928B987E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3794840" y="11382080"/>
              <a:ext cx="1480680" cy="50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264080</xdr:colOff>
      <xdr:row>61</xdr:row>
      <xdr:rowOff>35920</xdr:rowOff>
    </xdr:from>
    <xdr:to>
      <xdr:col>9</xdr:col>
      <xdr:colOff>235080</xdr:colOff>
      <xdr:row>64</xdr:row>
      <xdr:rowOff>114280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FB8F3E0-8F1E-0521-BF05-1D3D54684DEA}"/>
                </a:ext>
              </a:extLst>
            </xdr14:cNvPr>
            <xdr14:cNvContentPartPr/>
          </xdr14:nvContentPartPr>
          <xdr14:nvPr macro=""/>
          <xdr14:xfrm>
            <a:off x="8011080" y="12431120"/>
            <a:ext cx="1596600" cy="6879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FB8F3E0-8F1E-0521-BF05-1D3D54684DE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004960" y="12425000"/>
              <a:ext cx="1608840" cy="70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6:26.5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278 308 13889 0 0,'0'0'4818'0'0,"-6"-6"-4715"0"0,-22-19-109 0 0,27 24-16 0 0,-1 0 1 0 0,1 1 0 0 0,-1-1-1 0 0,1 0 1 0 0,-1 0-1 0 0,1 1 1 0 0,-1-1 0 0 0,1 1-1 0 0,-1-1 1 0 0,0 1-1 0 0,1-1 1 0 0,-1 1 0 0 0,0 0-1 0 0,1 0 1 0 0,-1 0-1 0 0,0 0 1 0 0,0 0 0 0 0,1 1-1 0 0,-1-1 1 0 0,0 0-1 0 0,1 1 1 0 0,-2 0 0 0 0,-2 1-91 0 0,1 0 1 0 0,-1 0 0 0 0,1 0 0 0 0,-8 7 0 0 0,12-9 95 0 0,-21 15-343 0 0,2 2 1 0 0,0 0 0 0 0,1 1 0 0 0,-20 24 0 0 0,31-33 324 0 0,0 0 0 0 0,1 0 0 0 0,0 1 0 0 0,1 0 0 0 0,0 0 0 0 0,0 0 0 0 0,1 1 0 0 0,0-1 0 0 0,1 1 0 0 0,0 0 0 0 0,-2 22 0 0 0,5-29 35 0 0,0-1-1 0 0,0 0 1 0 0,0 0-1 0 0,0 1 1 0 0,1-1-1 0 0,0 0 1 0 0,-1 0-1 0 0,1 0 1 0 0,1 0-1 0 0,-1 0 1 0 0,0 0-1 0 0,1 0 1 0 0,-1 0-1 0 0,1 0 1 0 0,0 0-1 0 0,4 4 1 0 0,-2-3 11 0 0,0-1 0 0 0,1 1 0 0 0,-1-1 1 0 0,1 0-1 0 0,-1 0 0 0 0,1-1 0 0 0,0 1 0 0 0,0-1 0 0 0,7 2 0 0 0,8 1 18 0 0,0-1-1 0 0,0 0 0 0 0,1-2 1 0 0,28 0-1 0 0,22-3 7 0 0,-1-2 1 0 0,0-4-1 0 0,0-3 0 0 0,-1-3 1 0 0,-1-3-1 0 0,0-3 0 0 0,108-45 1 0 0,-134 45 107 0 0,61-36 0 0 0,-90 47-104 0 0,-1-1 1 0 0,0 0 0 0 0,0-1-1 0 0,0 0 1 0 0,-2 0 0 0 0,1-1-1 0 0,-1-1 1 0 0,13-20 0 0 0,-20 28-7 0 0,0-1 0 0 0,-1 1 0 0 0,0-1 1 0 0,0 1-1 0 0,-1-1 0 0 0,1 0 0 0 0,-1 1 0 0 0,0-1 0 0 0,0 0 1 0 0,-1 0-1 0 0,1 0 0 0 0,-1 0 0 0 0,0 0 0 0 0,0 0 0 0 0,-1 0 1 0 0,0 0-1 0 0,0 1 0 0 0,-2-10 0 0 0,0 8-33 0 0,0 0-1 0 0,0 1 0 0 0,0-1 1 0 0,-1 1-1 0 0,0 0 1 0 0,0 0-1 0 0,0 0 1 0 0,-1 0-1 0 0,1 1 1 0 0,-1-1-1 0 0,0 1 1 0 0,-1 1-1 0 0,1-1 0 0 0,-7-3 1 0 0,-5-1-65 0 0,0 0 0 0 0,-1 1 0 0 0,0 1 0 0 0,-1 0 0 0 0,1 2 0 0 0,-1 0 0 0 0,-23-2 0 0 0,-8 3-28 0 0,-77 3 1 0 0,38 9 185 0 0,1 4 0 0 0,-170 47 0 0 0,170-31-2516 0 0,73-23 408 0 0,0 0-1 0 0,1 2 1 0 0,-21 14-1 0 0,26-15-371 0 0,3 1-786 0 0</inkml:trace>
  <inkml:trace contextRef="#ctx0" brushRef="#br0" timeOffset="343.49">1974 1 13489 0 0,'0'0'1722'0'0,"1"8"-850"0"0,-1-3-741 0 0,0-1 1 0 0,0 1-1 0 0,0-1 1 0 0,0 1-1 0 0,-1-1 1 0 0,1 1-1 0 0,-1-1 0 0 0,0 0 1 0 0,-1 1-1 0 0,1-1 1 0 0,-1 0-1 0 0,0 0 1 0 0,0 0-1 0 0,0 0 1 0 0,0 0-1 0 0,-1 0 0 0 0,0-1 1 0 0,-4 6-1 0 0,-38 33 34 0 0,-3-2-1 0 0,-1-2 0 0 0,-62 37 1 0 0,79-55-127 0 0,-462 332 324 0 0,344-231-306 0 0,-154 161 0 0 0,163-133 39 0 0,-168 228-1 0 0,308-375-94 0 0,-5 6-161 0 0,1-1 0 0 0,0 1 0 0 0,-7 15 0 0 0,12-22 88 0 0,-1 0 0 0 0,1 0 0 0 0,-1 0 0 0 0,1-1 0 0 0,0 1 1 0 0,-1 0-1 0 0,1 0 0 0 0,0 0 0 0 0,0 0 0 0 0,0 0 0 0 0,-1 0 0 0 0,1 0 0 0 0,0 0 1 0 0,0 0-1 0 0,0 0 0 0 0,0 0 0 0 0,1 0 0 0 0,-1 0 0 0 0,0-1 0 0 0,0 1 0 0 0,1 0 1 0 0,-1 0-1 0 0,0 0 0 0 0,1 0 0 0 0,-1 0 0 0 0,1 0 0 0 0,-1-1 0 0 0,1 1 0 0 0,-1 0 1 0 0,1 0-1 0 0,0-1 0 0 0,-1 1 0 0 0,1 0 0 0 0,0-1 0 0 0,-1 1 0 0 0,1-1 0 0 0,0 1 1 0 0,0-1-1 0 0,0 1 0 0 0,0-1 0 0 0,-1 1 0 0 0,1-1 0 0 0,0 0 0 0 0,0 0 0 0 0,0 1 1 0 0,0-1-1 0 0,2 0 0 0 0,4 0-330 0 0,-1 1 1 0 0,1-1-1 0 0,0-1 1 0 0,0 1-1 0 0,0-1 1 0 0,0 0-1 0 0,0-1 1 0 0,6-2-1 0 0,52-22-1952 0 0,-52 20 1769 0 0,39-19-2445 0 0,-2-3-1947 0 0</inkml:trace>
  <inkml:trace contextRef="#ctx0" brushRef="#br0" timeOffset="842.84">1984 798 17390 0 0,'0'0'3031'0'0,"-7"7"-2985"0"0,-3 4-33 0 0,-114 120 217 0 0,5-28-36 0 0,-80 77-172 0 0,176-155-171 0 0,0 1 1 0 0,2 1 0 0 0,2 0-1 0 0,0 2 1 0 0,-28 58 0 0 0,43-78 123 0 0,0 1 1 0 0,0 1 0 0 0,1-1-1 0 0,0 0 1 0 0,1 1 0 0 0,-1 13-1 0 0,2-21 13 0 0,1 1 0 0 0,0-1 0 0 0,0 0-1 0 0,1 1 1 0 0,-1-1 0 0 0,1 0-1 0 0,-1 1 1 0 0,1-1 0 0 0,0 0 0 0 0,0 0-1 0 0,1 0 1 0 0,-1 0 0 0 0,1 0-1 0 0,-1 0 1 0 0,1 0 0 0 0,0 0 0 0 0,0 0-1 0 0,0-1 1 0 0,0 1 0 0 0,1-1-1 0 0,-1 0 1 0 0,1 1 0 0 0,4 2-1 0 0,2 0 35 0 0,1-1 0 0 0,0 0 0 0 0,0 0 0 0 0,1-1 0 0 0,-1 0 0 0 0,1 0 0 0 0,-1-2 0 0 0,1 1 0 0 0,0-1-1 0 0,-1-1 1 0 0,1 0 0 0 0,13-1 0 0 0,17-4-37 0 0,70-17-1 0 0,-107 22 14 0 0,57-17-5 0 0,0-2 1 0 0,-2-3-1 0 0,112-58 0 0 0,150-120-147 0 0,-295 182-170 0 0,-1-1-1 0 0,-1-1 1 0 0,40-43 0 0 0,-56 53 292 0 0,1 0-1 0 0,-2 0 1 0 0,1-1 0 0 0,-2 0 0 0 0,1 0 0 0 0,-2-1 0 0 0,1 0-1 0 0,-1 0 1 0 0,-1 0 0 0 0,0 0 0 0 0,-1-1 0 0 0,1-13 0 0 0,-3 20 59 0 0,-1 0 1 0 0,0 0-1 0 0,0 0 1 0 0,-1 0 0 0 0,0 0-1 0 0,0 0 1 0 0,0 0-1 0 0,-1 0 1 0 0,0 0 0 0 0,0 0-1 0 0,0 1 1 0 0,-1-1-1 0 0,-4-7 1 0 0,1 4 15 0 0,-1 1 1 0 0,1 0-1 0 0,-1 0 0 0 0,-1 1 0 0 0,1 0 1 0 0,-1 1-1 0 0,-12-9 0 0 0,-7 0-33 0 0,0 0-1 0 0,0 2 1 0 0,-1 1 0 0 0,-43-11-1 0 0,20 7-759 0 0,-89-14-1 0 0,113 27-3187 0 0,-32 0-1 0 0,36 3 316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6:28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1 455 13449 0 0,'0'0'3116'0'0,"3"-1"-3093"0"0,281-12 1936 0 0,-148 11-973 0 0,-115 1-921 0 0,330-21-1343 0 0,-341 21 485 0 0,0-1 0 0 0,-1 0 0 0 0,17-5 0 0 0,-23 5 188 0 0,0 1-1 0 0,0 0 1 0 0,0 0-1 0 0,0-1 1 0 0,-1 0-1 0 0,1 1 1 0 0,0-1-1 0 0,-1 0 0 0 0,0-1 1 0 0,1 1-1 0 0,-1 0 1 0 0,0 0-1 0 0,0-1 1 0 0,0 0-1 0 0,3-5 1 0 0,-1-4-3655 0 0</inkml:trace>
  <inkml:trace contextRef="#ctx0" brushRef="#br0" timeOffset="360.59">370 0 14261 0 0,'0'0'970'0'0,"8"1"-750"0"0,41 1 199 0 0,79 13 0 0 0,-44 4-2041 0 0,2-5 0 0 0,-1-3-1 0 0,1-4 1 0 0,138-6-1 0 0,-204-3-1013 0 0,4-2-2045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6:3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236 348 9969 0 0,'0'0'5842'0'0,"-2"-4"-5764"0"0,-6-11-74 0 0,6 12-52 0 0,3 19-266 0 0,22 139 1621 0 0,10 91-798 0 0,-33-240-574 0 0,19 148-53 0 0,-13-121-1902 0 0,1 0-1 0 0,19 50 1 0 0,-16-54-3388 0 0,-10-21 2849 0 0</inkml:trace>
  <inkml:trace contextRef="#ctx0" brushRef="#br0" timeOffset="621.13">1 120 11389 0 0,'0'0'1257'0'0,"5"-7"-882"0"0,1-1-358 0 0,0 1 0 0 0,0 0 0 0 0,1 1 0 0 0,0-1-1 0 0,0 1 1 0 0,0 1 0 0 0,15-10 0 0 0,-1 6 27 0 0,-1 1-1 0 0,2 1 1 0 0,-1 1-1 0 0,1 0 1 0 0,42-4 0 0 0,-7 6 143 0 0,63 2 1 0 0,-96 3-115 0 0,0 1 0 0 0,0 0 0 0 0,-1 2 1 0 0,1 1-1 0 0,-1 0 0 0 0,0 2 0 0 0,0 1 1 0 0,-1 0-1 0 0,0 2 0 0 0,-1 1 0 0 0,0 0 1 0 0,-1 2-1 0 0,0 0 0 0 0,0 1 1 0 0,-2 1-1 0 0,32 32 0 0 0,-37-32-100 0 0,0 0 0 0 0,0 1 0 0 0,17 31 0 0 0,-26-40 12 0 0,0 0 0 0 0,-1 0 1 0 0,0 1-1 0 0,0-1 0 0 0,-1 1 0 0 0,0 0 1 0 0,0 0-1 0 0,-1 0 0 0 0,1 0 0 0 0,-2 0 1 0 0,0 0-1 0 0,0 10 0 0 0,-1-12 23 0 0,-1-1 1 0 0,0 0-1 0 0,0 0 0 0 0,0 0 0 0 0,0 0 0 0 0,-1 0 1 0 0,0-1-1 0 0,0 1 0 0 0,0-1 0 0 0,-1 1 1 0 0,1-1-1 0 0,-1 0 0 0 0,0-1 0 0 0,0 1 1 0 0,0-1-1 0 0,-6 4 0 0 0,-7 4-20 0 0,0 0 0 0 0,-36 16 0 0 0,-7-4-30 0 0,-2-3 0 0 0,0-2 0 0 0,-90 13 0 0 0,140-28 103 0 0,-1 0 0 0 0,0 1 1 0 0,-18 7-1 0 0,31-10-110 0 0,19 7 62 0 0,2 6 413 0 0,1-1 0 0 0,-1-1 0 0 0,39 15 0 0 0,75 18 1213 0 0,-79-28-1444 0 0,63 29 0 0 0,0 16-454 0 0,18 8-2748 0 0,-107-57-1621 0 0,36 10-1 0 0,-42-17-32 0 0</inkml:trace>
  <inkml:trace contextRef="#ctx0" brushRef="#br0" timeOffset="1530.14">1654 568 952 0 0,'0'0'11387'0'0,"-1"-6"-11010"0"0,1-1-280 0 0,0 5-66 0 0,0-1-1 0 0,0 1 0 0 0,0 0 1 0 0,0 0-1 0 0,0-1 0 0 0,-1 1 1 0 0,1 0-1 0 0,-1 0 0 0 0,0 0 1 0 0,0 0-1 0 0,0-1 0 0 0,0 1 1 0 0,-1-2-1 0 0,0 2-33 0 0,0 1 0 0 0,0-1 0 0 0,1 1 0 0 0,-1 0 1 0 0,0-1-1 0 0,0 1 0 0 0,0 0 0 0 0,0 0 0 0 0,0 1 0 0 0,-1-1 0 0 0,1 0 0 0 0,0 1 1 0 0,0-1-1 0 0,0 1 0 0 0,-1 0 0 0 0,1-1 0 0 0,0 1 0 0 0,0 0 0 0 0,-4 1 1 0 0,-42 6-199 0 0,34-3 194 0 0,0 0-1 0 0,1 1 1 0 0,-1 1 0 0 0,1 0 0 0 0,0 1-1 0 0,0 0 1 0 0,-16 13 0 0 0,3 0 344 0 0,1 2 0 0 0,-26 28 0 0 0,35-34-219 0 0,2 1 0 0 0,-18 25-1 0 0,29-37-121 0 0,0 1-1 0 0,-1-1 0 0 0,2 0 0 0 0,-1 1 1 0 0,1 0-1 0 0,0 0 0 0 0,0-1 1 0 0,0 1-1 0 0,1 0 0 0 0,0 0 1 0 0,0 1-1 0 0,1-1 0 0 0,0 10 1 0 0,0-14 45 0 0,1 0 1 0 0,0 1 0 0 0,0-1 0 0 0,0 0-1 0 0,0 0 1 0 0,0 0 0 0 0,0 0 0 0 0,0 0 0 0 0,1 0-1 0 0,-1 0 1 0 0,1 0 0 0 0,-1 0 0 0 0,1 0-1 0 0,0-1 1 0 0,0 1 0 0 0,0-1 0 0 0,0 0-1 0 0,0 1 1 0 0,0-1 0 0 0,0 0 0 0 0,0 0 0 0 0,1 0-1 0 0,-1 0 1 0 0,0-1 0 0 0,1 1 0 0 0,3 0-1 0 0,8 2 142 0 0,-1-2 0 0 0,0 1 0 0 0,19-2 0 0 0,-29 0-190 0 0,12-1 76 0 0,1 0 1 0 0,-1-1-1 0 0,0-1 0 0 0,0 0 1 0 0,-1-2-1 0 0,1 1 1 0 0,27-14-1 0 0,-23 8-68 0 0,0 0 0 0 0,-1-2 0 0 0,0 0 0 0 0,-1-1 0 0 0,18-16 0 0 0,-31 25-3 0 0,-1 0 1 0 0,1 0 0 0 0,-1 0 0 0 0,0 0-1 0 0,0-1 1 0 0,0 1 0 0 0,0-1 0 0 0,-1 0-1 0 0,0 0 1 0 0,0 0 0 0 0,0 0 0 0 0,0-1-1 0 0,0-7 1 0 0,-5 33-178 0 0,2-17 182 0 0,0 1 0 0 0,0 0-1 0 0,0 0 1 0 0,1 0 0 0 0,0 0 0 0 0,0 0-1 0 0,0 0 1 0 0,0 0 0 0 0,1 0 0 0 0,-1 0-1 0 0,3 5 1 0 0,-2-3 2 0 0,2 0-1 0 0,-1-1 0 0 0,0 1 1 0 0,1-1-1 0 0,0 1 0 0 0,1-1 1 0 0,-1 0-1 0 0,1 0 0 0 0,0 0 1 0 0,7 6-1 0 0,-7-8 34 0 0,0 0 0 0 0,0-1-1 0 0,0 1 1 0 0,0-1 0 0 0,0 0 0 0 0,1 0-1 0 0,-1-1 1 0 0,1 1 0 0 0,-1-1 0 0 0,1 0-1 0 0,0 0 1 0 0,-1-1 0 0 0,1 1 0 0 0,7-1-1 0 0,3-1-10 0 0,1 0 0 0 0,-1-1 0 0 0,1-1 0 0 0,-1 0 0 0 0,0-1 0 0 0,19-8 0 0 0,88-45-184 0 0,-43 19-311 0 0,-47 23 270 0 0,-8 3 279 0 0,1 2 0 0 0,0 0 1 0 0,0 2-1 0 0,37-8 0 0 0,-62 16-64 0 0,1 1-1 0 0,-1 0 1 0 0,1-1-1 0 0,-1 1 1 0 0,1 0 0 0 0,-1-1-1 0 0,1 1 1 0 0,-1 0-1 0 0,0 0 1 0 0,0 0-1 0 0,1-1 1 0 0,-1 1 0 0 0,0 0-1 0 0,0 0 1 0 0,0 0-1 0 0,0-1 1 0 0,0 1-1 0 0,0 0 1 0 0,0 0 0 0 0,0 0-1 0 0,0 0 1 0 0,0 0-1 0 0,-1 23 230 0 0,1-19-231 0 0,-1 0 1 0 0,1 0-1 0 0,0 0 1 0 0,1 0-1 0 0,-1 0 0 0 0,1 0 1 0 0,0 0-1 0 0,0 0 1 0 0,0-1-1 0 0,1 1 1 0 0,0 0-1 0 0,4 7 0 0 0,-3-7-36 0 0,1 0-1 0 0,0 0 1 0 0,0 0 0 0 0,0-1-1 0 0,1 1 1 0 0,0-1-1 0 0,-1-1 1 0 0,1 1-1 0 0,1-1 1 0 0,5 4 0 0 0,0-1-326 0 0,0 0 1 0 0,1-1-1 0 0,0 0 1 0 0,-1-1-1 0 0,2-1 1 0 0,-1 0-1 0 0,0 0 1 0 0,14 1-1 0 0,-16-4-496 0 0,-1 0 1 0 0,0 0-1 0 0,0-1 0 0 0,1 0 1 0 0,-1-1-1 0 0,0 1 0 0 0,13-6 0 0 0,7-5-1648 0 0</inkml:trace>
  <inkml:trace contextRef="#ctx0" brushRef="#br0" timeOffset="1718.18">2703 137 2096 0 0,'0'0'15902'0'0,"-43"-27"-15902"0"0,34 21-76 0 0,2 2 24 0 0,0 3-32 0 0,0-1-308 0 0,0 0-328 0 0,-2 1-325 0 0,1 1-203 0 0,0 0-212 0 0,0 2-528 0 0,-1 2 32 0 0,4-1-32 0 0,2 0-489 0 0,-1 0-1747 0 0</inkml:trace>
  <inkml:trace contextRef="#ctx0" brushRef="#br0" timeOffset="2663.07">3209 352 12289 0 0,'0'0'1681'0'0,"2"8"-1217"0"0,1 0-349 0 0,-1-6-96 0 0,-1 1 1 0 0,0 0-1 0 0,0 0 1 0 0,0-1-1 0 0,0 1 1 0 0,-1 0-1 0 0,1 0 0 0 0,-1 0 1 0 0,0 0-1 0 0,0 0 1 0 0,0 5-1 0 0,-1-6-24 0 0,1 1-1 0 0,-1-1 1 0 0,0 0-1 0 0,-1 1 1 0 0,1-1-1 0 0,0 0 1 0 0,-1 0-1 0 0,1 0 1 0 0,-1 0 0 0 0,0 0-1 0 0,0 0 1 0 0,1 0-1 0 0,-1 0 1 0 0,0-1-1 0 0,-1 1 1 0 0,1-1-1 0 0,0 1 1 0 0,0-1 0 0 0,-1 0-1 0 0,-2 1 1 0 0,-8 4-73 0 0,0-1 1 0 0,-18 5 0 0 0,-90 20-109 0 0,-36 11 338 0 0,141-36-95 0 0,0 1 0 0 0,1 0 0 0 0,-1 0 0 0 0,-18 12 0 0 0,33-17-66 0 0,0-1 0 0 0,1 1 1 0 0,-1-1-1 0 0,0 1 0 0 0,1-1 0 0 0,-1 1 0 0 0,0-1 0 0 0,1 1 0 0 0,-1-1 0 0 0,1 1 0 0 0,-1 0 0 0 0,1-1 0 0 0,-1 1 0 0 0,1 0 0 0 0,0-1 0 0 0,-1 1 0 0 0,1 0 1 0 0,0 0-1 0 0,-1 0 0 0 0,1-1 0 0 0,0 1 0 0 0,0 0 0 0 0,0 0 0 0 0,0 0 0 0 0,0-1 0 0 0,0 1 0 0 0,0 0 0 0 0,0 1 0 0 0,1 0-20 0 0,0-1 0 0 0,-1 1 0 0 0,1 0 0 0 0,0-1 0 0 0,0 1-1 0 0,1-1 1 0 0,-1 0 0 0 0,0 1 0 0 0,0-1 0 0 0,1 0 0 0 0,-1 0 0 0 0,2 2 0 0 0,6 3-36 0 0,-1-1 0 0 0,1 0 1 0 0,13 5-1 0 0,45 14 1074 0 0,78 17-1 0 0,-72-22-671 0 0,-13-3-214 0 0,-18-6 159 0 0,-1 2-1 0 0,46 20 0 0 0,-86-31-277 0 0,1-1 1 0 0,0 1-1 0 0,-1 0 0 0 0,1 0 0 0 0,0 0 0 0 0,-1 0 1 0 0,0 0-1 0 0,1 1 0 0 0,-1-1 0 0 0,0 0 0 0 0,1 1 0 0 0,-1-1 1 0 0,0 0-1 0 0,0 1 0 0 0,0 0 0 0 0,0-1 0 0 0,0 1 1 0 0,-1 0-1 0 0,1-1 0 0 0,0 4 0 0 0,0-2-15 0 0,-1-1 0 0 0,0 1 0 0 0,0 0 0 0 0,0 0 0 0 0,0-1 0 0 0,-1 1 0 0 0,1 0 0 0 0,-1 0 0 0 0,0-1 0 0 0,0 1 0 0 0,0-1 0 0 0,-1 4 0 0 0,-2 2-60 0 0,-1-1 0 0 0,0 1 1 0 0,0-1-1 0 0,0-1 0 0 0,-1 1 1 0 0,1-1-1 0 0,-13 10 1 0 0,12-11 67 0 0,-1 1 0 0 0,1-2 1 0 0,-1 1-1 0 0,-1-1 0 0 0,1 0 1 0 0,0-1-1 0 0,-1 0 1 0 0,0 0-1 0 0,0 0 0 0 0,0-1 1 0 0,0 0-1 0 0,-10 1 1 0 0,18-3 137 0 0,1-3-137 0 0,0 1 0 0 0,1 1 0 0 0,-1-1-1 0 0,0 0 1 0 0,1 0 0 0 0,-1 0 0 0 0,1 1 0 0 0,0-1 0 0 0,0 1 0 0 0,2-2 0 0 0,-1 0-18 0 0,35-26-42 0 0,2 1 0 0 0,84-44 0 0 0,-119 69 61 0 0,105-50 121 0 0,155-53 0 0 0,-202 83-83 0 0,-2 2-101 0 0,77-16 0 0 0,-133 36 40 0 0,-1 0 0 0 0,1 0 0 0 0,0 1 0 0 0,-1-1 0 0 0,1 1 0 0 0,8 1-1 0 0,-13-1 18 0 0,0 0 0 0 0,0 0 0 0 0,0 1 0 0 0,1-1-1 0 0,-1 0 1 0 0,0 0 0 0 0,0 1 0 0 0,0-1 0 0 0,1 0-1 0 0,-1 1 1 0 0,0-1 0 0 0,0 0 0 0 0,0 1 0 0 0,0-1-1 0 0,0 0 1 0 0,0 1 0 0 0,0-1 0 0 0,0 0 0 0 0,0 1-1 0 0,0-1 1 0 0,0 0 0 0 0,0 1 0 0 0,0-1 0 0 0,0 0-1 0 0,0 1 1 0 0,0-1 0 0 0,0 0 0 0 0,0 1 0 0 0,0-1-1 0 0,0 0 1 0 0,0 0 0 0 0,-1 1 0 0 0,-5 11 64 0 0,-11 3 6 0 0,-1-1 1 0 0,-1 0-1 0 0,0-2 1 0 0,-1 0-1 0 0,-34 15 1 0 0,10-5-35 0 0,6-1 93 0 0,-46 32 0 0 0,71-44-50 0 0,2 0 1 0 0,-1 1 0 0 0,2 0 0 0 0,-1 1 0 0 0,1 0-1 0 0,1 0 1 0 0,-13 20 0 0 0,20-28-42 0 0,1 0 0 0 0,-1-1 0 0 0,1 1 0 0 0,0 0 0 0 0,0 0 0 0 0,0 0 0 0 0,0-1 0 0 0,0 1 0 0 0,0 0 0 0 0,1 0 0 0 0,0 0 0 0 0,-1 1 0 0 0,1-1 0 0 0,0 0 1 0 0,1 0-1 0 0,-1 0 0 0 0,0 0 0 0 0,1 0 0 0 0,1 5 0 0 0,0-4-16 0 0,0-1 1 0 0,1 0 0 0 0,-1 0 0 0 0,0 0 0 0 0,1 0-1 0 0,0 0 1 0 0,0-1 0 0 0,-1 1 0 0 0,2-1 0 0 0,-1 1-1 0 0,0-1 1 0 0,0 0 0 0 0,1-1 0 0 0,-1 1 0 0 0,5 1-1 0 0,27 9-42 0 0,-1-3 0 0 0,1 0-1 0 0,0-3 1 0 0,59 5 0 0 0,-56-7-109 0 0,-7-1-541 0 0,154 15-546 0 0,-122-14-2442 0 0,1-1-4048 0 0,-40-3 3363 0 0</inkml:trace>
  <inkml:trace contextRef="#ctx0" brushRef="#br0" timeOffset="3410.3">120 1318 1508 0 0,'0'0'12397'0'0,"-7"-1"-12057"0"0,-1 0-245 0 0,5 1-66 0 0,0 0 0 0 0,0-1 0 0 0,0 1 0 0 0,0-1 0 0 0,0 1 0 0 0,0-1 0 0 0,1 0 0 0 0,-1 0 0 0 0,0 0 0 0 0,-3-3 0 0 0,5 4-16 0 0,1 0 0 0 0,0 0 0 0 0,-1-1-1 0 0,1 1 1 0 0,-1 0 0 0 0,1 0 0 0 0,0-1 0 0 0,-1 1-1 0 0,1 0 1 0 0,0-1 0 0 0,-1 1 0 0 0,1 0-1 0 0,0-1 1 0 0,-1 1 0 0 0,1-1 0 0 0,0 1-1 0 0,0-1 1 0 0,0 1 0 0 0,-1 0 0 0 0,1-1 0 0 0,0 1-1 0 0,0-1 1 0 0,0 1 0 0 0,0-1 0 0 0,0 1-1 0 0,0-1 1 0 0,0 1 0 0 0,0-1 0 0 0,0 1 0 0 0,0-1-1 0 0,0 1 1 0 0,0-1 0 0 0,0 1 0 0 0,1-1-1 0 0,12-15 175 0 0,24-6-162 0 0,0 5 5 0 0,1 3 0 0 0,0 1 0 0 0,53-11 0 0 0,124-14 222 0 0,-169 31-159 0 0,464-52 590 0 0,4 20 83 0 0,-240 20-263 0 0,1683-53 882 0 0,-1524 81-1315 0 0,67 0 326 0 0,-275-9-346 0 0,1355 14-1086 0 0,-1561-13 442 0 0,70 2-2384 0 0,-31 3-2782 0 0,-49-4 3145 0 0,-3 2-1158 0 0</inkml:trace>
  <inkml:trace contextRef="#ctx0" brushRef="#br0" timeOffset="5940.13">193 1975 5897 0 0,'0'0'7853'0'0,"0"8"-7892"0"0,-1 10 329 0 0,2 0 1 0 0,0 0 0 0 0,4 26 0 0 0,100 389 1124 0 0,-75-335-3497 0 0,-4-36-7219 0 0,-23-53 5915 0 0</inkml:trace>
  <inkml:trace contextRef="#ctx0" brushRef="#br0" timeOffset="6510.28">133 1741 11009 0 0,'0'0'1657'0'0,"6"-9"-1274"0"0,6-7-313 0 0,0 1 0 0 0,1-1 0 0 0,0 2 0 0 0,2 0 0 0 0,16-13 0 0 0,-17 17-42 0 0,0 2 1 0 0,1-1-1 0 0,-1 2 0 0 0,1 0 0 0 0,1 1 0 0 0,0 1 0 0 0,-1 0 0 0 0,2 1 1 0 0,-1 0-1 0 0,0 2 0 0 0,1 0 0 0 0,-1 0 0 0 0,1 2 0 0 0,0 0 1 0 0,17 3-1 0 0,-20-1-100 0 0,1 1 0 0 0,-1 0 1 0 0,1 1-1 0 0,-1 1 0 0 0,0 0 1 0 0,-1 1-1 0 0,1 0 0 0 0,-1 1 1 0 0,-1 1-1 0 0,1 0 0 0 0,-1 1 1 0 0,0 0-1 0 0,-1 1 0 0 0,0 0 1 0 0,-1 0-1 0 0,0 1 0 0 0,9 14 1 0 0,-10-11 41 0 0,-1-1 1 0 0,0 2-1 0 0,-1-1 1 0 0,0 1 0 0 0,-2 0-1 0 0,1 1 1 0 0,-2-1-1 0 0,0 1 1 0 0,-1 0-1 0 0,-1 0 1 0 0,0 0-1 0 0,-1 0 1 0 0,-1 0 0 0 0,0 0-1 0 0,-4 21 1 0 0,2-18 123 0 0,-2-1 0 0 0,-1 1 0 0 0,0-1 0 0 0,-1 0 0 0 0,-1-1 0 0 0,-1 0 0 0 0,0 0 0 0 0,-1 0 0 0 0,-1-1 0 0 0,-1-1 0 0 0,0 1 0 0 0,-25 24 0 0 0,17-21-137 0 0,0-1-1 0 0,-2-1 0 0 0,-36 24 0 0 0,47-35 53 0 0,-1 0 0 0 0,0-1-1 0 0,0 0 1 0 0,0-1-1 0 0,-1 0 1 0 0,1-1-1 0 0,-1 0 1 0 0,0-1-1 0 0,1 0 1 0 0,-20 0 0 0 0,31-3-6 0 0,0 1 1 0 0,0 0 0 0 0,0 0 0 0 0,0 0 0 0 0,0 0 0 0 0,-1 0 0 0 0,1 0 0 0 0,0 0 0 0 0,0-1 0 0 0,0 1 0 0 0,0 0 0 0 0,0 0 0 0 0,0 0 0 0 0,0 0 0 0 0,0 0 0 0 0,0-1 0 0 0,-1 1-1 0 0,1 0 1 0 0,0 0 0 0 0,0 0 0 0 0,0 0 0 0 0,0-1 0 0 0,0 1 0 0 0,0 0 0 0 0,0 0 0 0 0,0 0 0 0 0,0 0 0 0 0,0-1 0 0 0,0 1 0 0 0,0 0 0 0 0,0 0 0 0 0,0 0 0 0 0,1 0-1 0 0,-1-1 1 0 0,0 1 0 0 0,0 0 0 0 0,0 0 0 0 0,0 0 0 0 0,0 0 0 0 0,0 0 0 0 0,0-1 0 0 0,0 1 0 0 0,0 0 0 0 0,1 0 0 0 0,-1 0 0 0 0,0 0 0 0 0,0 0 0 0 0,0 0 0 0 0,0 0 0 0 0,0 0-1 0 0,1-1 1 0 0,-1 1 0 0 0,0 0 0 0 0,0 0 0 0 0,0 0 0 0 0,0 0 0 0 0,1 0 0 0 0,-1 0 0 0 0,0 0 0 0 0,9-8 10 0 0,0 2 197 0 0,0 1 1 0 0,1 0 0 0 0,0 1 0 0 0,-1 0 0 0 0,1 0 0 0 0,16-3 0 0 0,-6 3 369 0 0,1 0 1 0 0,28 0-1 0 0,-28 4-260 0 0,-1 1 0 0 0,0 1 1 0 0,-1 0-1 0 0,34 9 0 0 0,75 31-297 0 0,19 5-3057 0 0,-143-46 2847 0 0,15 3-2213 0 0,0 0 0 0 0,21 0 1 0 0,-10-3-1619 0 0</inkml:trace>
  <inkml:trace contextRef="#ctx0" brushRef="#br0" timeOffset="7396.46">1693 1983 9245 0 0,'0'0'7774'0'0,"-7"0"-7946"0"0,0 1 89 0 0,0 0 1 0 0,0 0-1 0 0,0 1 0 0 0,1 0 1 0 0,-1 0-1 0 0,0 0 1 0 0,1 1-1 0 0,0 0 0 0 0,0 0 1 0 0,0 1-1 0 0,-9 6 0 0 0,-11 12-53 0 0,1 1 0 0 0,2 1 0 0 0,0 1 0 0 0,-20 30 0 0 0,10-8 535 0 0,-41 80 0 0 0,53-82-138 0 0,20-42-222 0 0,0 0 0 0 0,0 0 0 0 0,0 1 0 0 0,1-1 0 0 0,-1 0-1 0 0,1 0 1 0 0,-1 1 0 0 0,1-1 0 0 0,0 0 0 0 0,0 1 0 0 0,1-1 0 0 0,0 5 0 0 0,0-6 2 0 0,0-1 1 0 0,0 1-1 0 0,0-1 1 0 0,0 1 0 0 0,0-1-1 0 0,0 0 1 0 0,0 0 0 0 0,0 0-1 0 0,1 1 1 0 0,-1-1 0 0 0,0 0-1 0 0,1-1 1 0 0,-1 1 0 0 0,1 0-1 0 0,-1 0 1 0 0,1 0 0 0 0,-1-1-1 0 0,1 1 1 0 0,0-1 0 0 0,-1 0-1 0 0,1 1 1 0 0,0-1-1 0 0,-1 0 1 0 0,1 0 0 0 0,2 0-1 0 0,2 0 89 0 0,0 0-1 0 0,0 0 1 0 0,0-1-1 0 0,0 0 1 0 0,11-3-1 0 0,17-8-163 0 0,0-2 1 0 0,-1-1-1 0 0,-1-2 1 0 0,0-1-1 0 0,-1-1 0 0 0,-1-2 1 0 0,-1-1-1 0 0,43-43 0 0 0,-68 61 41 0 0,0-1 0 0 0,0 0 0 0 0,0 0 0 0 0,-1 0 1 0 0,1-1-1 0 0,-1 1 0 0 0,0-1 0 0 0,-1 0 0 0 0,0 0 0 0 0,0 0 0 0 0,0 0 0 0 0,0 0 0 0 0,-1 0 0 0 0,0-1 0 0 0,-1 1 0 0 0,1 0 0 0 0,-1-1 0 0 0,0 1 0 0 0,-2-9 0 0 0,2 14-11 0 0,0 0 0 0 0,0 0 0 0 0,0 0 0 0 0,0 1 0 0 0,0-1 0 0 0,-1 0 0 0 0,1 0 0 0 0,0 0 0 0 0,0 1 0 0 0,-1-1 0 0 0,1 0 1 0 0,-1 0-1 0 0,1 1 0 0 0,0-1 0 0 0,-1 0 0 0 0,1 1 0 0 0,-1-1 0 0 0,1 1 0 0 0,-1-1 0 0 0,0 0 0 0 0,1 1 0 0 0,-1-1 0 0 0,0 1 0 0 0,1 0 0 0 0,-1-1 0 0 0,0 1 0 0 0,0-1 0 0 0,1 1 0 0 0,-1 0 0 0 0,0 0 0 0 0,0-1 0 0 0,1 1 0 0 0,-1 0 0 0 0,0 0 1 0 0,0 0-1 0 0,0 0 0 0 0,0 0 0 0 0,1 0 0 0 0,-1 0 0 0 0,0 0 0 0 0,0 0 0 0 0,0 1 0 0 0,1-1 0 0 0,-1 0 0 0 0,-1 1 0 0 0,-1 0-18 0 0,0 1 0 0 0,1-1 1 0 0,-1 1-1 0 0,1-1 0 0 0,-1 1 0 0 0,1 0 0 0 0,0 0 0 0 0,-1 0 1 0 0,1 1-1 0 0,-3 4 0 0 0,3-4-3 0 0,-1 1 0 0 0,1-1 0 0 0,0 1 0 0 0,1 0 0 0 0,-1 0 1 0 0,1 0-1 0 0,-1 0 0 0 0,1 0 0 0 0,0 1 0 0 0,1-1 0 0 0,-1 0 0 0 0,1 0 0 0 0,0 1 0 0 0,0-1 0 0 0,0 0 1 0 0,0 0-1 0 0,2 7 0 0 0,0-5 2 0 0,0 0-1 0 0,1-1 1 0 0,-1 1 0 0 0,1-1 0 0 0,0 1-1 0 0,0-1 1 0 0,1 0 0 0 0,0 0 0 0 0,0 0-1 0 0,0-1 1 0 0,6 6 0 0 0,-1-3 27 0 0,0 1 0 0 0,1-1 0 0 0,0-1 1 0 0,0 1-1 0 0,1-2 0 0 0,-1 0 0 0 0,1 0 0 0 0,1-1 1 0 0,-1 0-1 0 0,1 0 0 0 0,-1-2 0 0 0,15 3 0 0 0,2-5-53 0 0,-1 0-1 0 0,0-2 1 0 0,0-1-1 0 0,0-1 0 0 0,34-9 1 0 0,130-49 629 0 0,-170 54-433 0 0,-14 6-150 0 0,1-1 1 0 0,-1 0-1 0 0,0-1 0 0 0,9-6 0 0 0,-14 9-8 0 0,0 0 1 0 0,0-1-1 0 0,-1 1 0 0 0,1-1 0 0 0,-1 1 0 0 0,1-1 0 0 0,-1 1 0 0 0,0-1 1 0 0,0 0-1 0 0,1 0 0 0 0,-1 0 0 0 0,0 0 0 0 0,-1 0 0 0 0,1 0 0 0 0,0 0 1 0 0,-1 0-1 0 0,1 0 0 0 0,-1 0 0 0 0,1 0 0 0 0,-1-4 0 0 0,0 6 11 0 0,0 0 0 0 0,0 0 0 0 0,0 0 0 0 0,0 0-1 0 0,0 0 1 0 0,0 0 0 0 0,0-1 0 0 0,0 1 0 0 0,0 0 0 0 0,0 0-1 0 0,0 0 1 0 0,0 0 0 0 0,0 0 0 0 0,0-1 0 0 0,0 1 0 0 0,0 0-1 0 0,0 0 1 0 0,-1 0 0 0 0,1 0 0 0 0,0 0 0 0 0,0 0-1 0 0,0 0 1 0 0,0-1 0 0 0,0 1 0 0 0,0 0 0 0 0,0 0 0 0 0,0 0-1 0 0,-1 0 1 0 0,1 0 0 0 0,0 0 0 0 0,0 0 0 0 0,0 0 0 0 0,0 0-1 0 0,0 0 1 0 0,0 0 0 0 0,-1 0 0 0 0,1 0 0 0 0,0 0 0 0 0,0 0-1 0 0,0 0 1 0 0,0 0 0 0 0,0 0 0 0 0,-1 0 0 0 0,1 0 0 0 0,-9 4-34 0 0,-5 7 37 0 0,8-4 114 0 0,0 1 0 0 0,1 0-1 0 0,0 0 1 0 0,1 0 0 0 0,0 1-1 0 0,0-1 1 0 0,1 1 0 0 0,0 0-1 0 0,1 0 1 0 0,-1 0 0 0 0,0 13-1 0 0,2-19-162 0 0,1 1-1 0 0,0 0 1 0 0,0 0 0 0 0,0-1-1 0 0,0 1 1 0 0,0 0 0 0 0,1 0-1 0 0,0-1 1 0 0,-1 1 0 0 0,1 0-1 0 0,1-1 1 0 0,-1 1-1 0 0,1-1 1 0 0,-1 1 0 0 0,1-1-1 0 0,0 0 1 0 0,0 0 0 0 0,0 0-1 0 0,1 0 1 0 0,-1 0 0 0 0,1 0-1 0 0,-1-1 1 0 0,1 1-1 0 0,0-1 1 0 0,0 1 0 0 0,0-1-1 0 0,1 0 1 0 0,-1-1 0 0 0,0 1-1 0 0,6 2 1 0 0,0-1-526 0 0,1-1 0 0 0,0 0 0 0 0,0 0 0 0 0,0-1 0 0 0,0 0-1 0 0,1-1 1 0 0,18-1 0 0 0,-8-2-2149 0 0,-1 0 0 0 0,41-13 0 0 0,-29 5-1634 0 0</inkml:trace>
  <inkml:trace contextRef="#ctx0" brushRef="#br0" timeOffset="7599.1">2505 1845 17002 0 0,'0'0'1784'0'0,"-43"2"-1784"0"0,31-2-52 0 0,0 0-108 0 0,4 0 124 0 0,3 1-200 0 0,0 0-304 0 0,2 0-284 0 0,15 3-10962 0 0,1-4 7446 0 0</inkml:trace>
  <inkml:trace contextRef="#ctx0" brushRef="#br0" timeOffset="8500.5">3096 1900 14145 0 0,'0'0'526'0'0,"3"9"-387"0"0,10 26 174 0 0,-13-32-308 0 0,1-1 0 0 0,-1 0 0 0 0,1 1 1 0 0,-1-1-1 0 0,0 0 0 0 0,0 1 0 0 0,0-1 1 0 0,0 1-1 0 0,-1-1 0 0 0,1 0 0 0 0,-1 1 0 0 0,1-1 1 0 0,-1 0-1 0 0,0 1 0 0 0,0-1 0 0 0,0 0 1 0 0,0 0-1 0 0,0 0 0 0 0,0 0 0 0 0,-1 0 1 0 0,-2 4-1 0 0,-2 0-6 0 0,0 0 0 0 0,-1 0-1 0 0,0-1 1 0 0,-9 7 0 0 0,7-6 20 0 0,-15 9-49 0 0,0-2 1 0 0,-2 0 0 0 0,0-2-1 0 0,0 0 1 0 0,-52 12 0 0 0,34-10 224 0 0,-43 18 1 0 0,85-30-206 0 0,-1 0-1 0 0,1 0 1 0 0,0 0-1 0 0,0 0 1 0 0,0 0-1 0 0,0 0 1 0 0,1 0 0 0 0,-1 1-1 0 0,0-1 1 0 0,1 1-1 0 0,-1-1 1 0 0,0 1-1 0 0,-1 2 1 0 0,3-4 12 0 0,0 1 0 0 0,0-1 1 0 0,0 1-1 0 0,0-1 0 0 0,0 1 0 0 0,0-1 0 0 0,0 1 1 0 0,0-1-1 0 0,0 1 0 0 0,0-1 0 0 0,0 1 1 0 0,0-1-1 0 0,0 1 0 0 0,0-1 0 0 0,0 0 0 0 0,0 1 1 0 0,1-1-1 0 0,-1 1 0 0 0,0-1 0 0 0,0 1 0 0 0,1-1 1 0 0,-1 1-1 0 0,17 12 224 0 0,4-4-181 0 0,1 0 0 0 0,0-1 0 0 0,1-2 0 0 0,0 0 0 0 0,37 4 0 0 0,35 10-10 0 0,-61-10-46 0 0,-1 1-1 0 0,0 2 1 0 0,-1 1-1 0 0,0 2 1 0 0,-1 1 0 0 0,-1 1-1 0 0,41 33 1 0 0,-66-47-38 0 0,-1 0 0 0 0,1 1 1 0 0,-1-1-1 0 0,0 1 1 0 0,0 0-1 0 0,0 0 0 0 0,-1 0 1 0 0,0 1-1 0 0,0-1 0 0 0,2 7 1 0 0,-4-9 24 0 0,0 0 0 0 0,0-1 0 0 0,-1 1 1 0 0,1 0-1 0 0,-1 0 0 0 0,0 0 0 0 0,0 0 1 0 0,0 0-1 0 0,0-1 0 0 0,0 1 0 0 0,0 0 1 0 0,-1 0-1 0 0,0 0 0 0 0,1 0 0 0 0,-1-1 0 0 0,0 1 1 0 0,0 0-1 0 0,-1-1 0 0 0,1 1 0 0 0,-1-1 1 0 0,1 1-1 0 0,-1-1 0 0 0,-3 4 0 0 0,-5 4-188 0 0,0-1 1 0 0,-1 0-1 0 0,0 0 0 0 0,0-1 0 0 0,-1-1 0 0 0,-21 11 0 0 0,-81 27-488 0 0,97-39 942 0 0,-1 0 0 0 0,0-2-1 0 0,-1 0 1 0 0,1-1 0 0 0,-1-1 0 0 0,1-1 0 0 0,-21-1 0 0 0,39 0-214 0 0,-1 0 1 0 0,0 0 0 0 0,0 0 0 0 0,1-1 0 0 0,-1 1-1 0 0,0 0 1 0 0,0 0 0 0 0,1-1 0 0 0,-1 1 0 0 0,0 0-1 0 0,1-1 1 0 0,-1 1 0 0 0,1-1 0 0 0,-1 1 0 0 0,0-1-1 0 0,1 1 1 0 0,-1-1 0 0 0,1 1 0 0 0,-1-1 0 0 0,1 0-1 0 0,-1 1 1 0 0,1-1 0 0 0,0 0 0 0 0,-1 1 0 0 0,1-1-1 0 0,0 0 1 0 0,0 1 0 0 0,-1-1 0 0 0,1 0 0 0 0,0 0-1 0 0,0 1 1 0 0,0-1 0 0 0,0 0 0 0 0,0 0-1 0 0,0 1 1 0 0,0-1 0 0 0,0 0 0 0 0,0 0 0 0 0,0 0-1 0 0,1 1 1 0 0,-1-1 0 0 0,0 0 0 0 0,1-1 0 0 0,0-3-45 0 0,1-1 0 0 0,0 1 0 0 0,1 0 1 0 0,3-8-1 0 0,1 3 32 0 0,1-1 1 0 0,0 1-1 0 0,0 1 1 0 0,0 0 0 0 0,2 0-1 0 0,12-10 1 0 0,69-43 236 0 0,-43 31-22 0 0,24-16-264 0 0,3 4 0 0 0,1 2 0 0 0,101-37 0 0 0,-174 77 18 0 0,6-2 4 0 0,-1-1-1 0 0,1 1 1 0 0,0 1 0 0 0,1 0-1 0 0,14-2 1 0 0,-24 4 0 0 0,0 1 0 0 0,0-1 1 0 0,1 0-1 0 0,-1 0 0 0 0,0 0 0 0 0,0 0 0 0 0,0 1 1 0 0,0-1-1 0 0,0 0 0 0 0,0 0 0 0 0,0 0 0 0 0,1 1 0 0 0,-1-1 1 0 0,0 0-1 0 0,0 0 0 0 0,0 1 0 0 0,0-1 0 0 0,0 0 0 0 0,0 0 1 0 0,0 1-1 0 0,0-1 0 0 0,0 0 0 0 0,0 0 0 0 0,0 0 1 0 0,0 1-1 0 0,0-1 0 0 0,0 0 0 0 0,0 0 0 0 0,-1 1 0 0 0,1-1 1 0 0,0 0-1 0 0,0 0 0 0 0,0 0 0 0 0,0 1 0 0 0,0-1 0 0 0,0 0 1 0 0,-1 0-1 0 0,1 0 0 0 0,0 0 0 0 0,0 1 0 0 0,0-1 1 0 0,0 0-1 0 0,-1 0 0 0 0,1 0 0 0 0,0 0 0 0 0,-1 0 0 0 0,-7 11 77 0 0,-9 4 37 0 0,0 0 0 0 0,-1-1 0 0 0,-23 13 0 0 0,-23 17 11 0 0,60-40-96 0 0,-93 81 763 0 0,88-76-580 0 0,0 1 0 0 0,1 0 1 0 0,1 0-1 0 0,-1 0 0 0 0,2 1 0 0 0,-1 1 0 0 0,-8 21 0 0 0,14-30-171 0 0,0 0 0 0 0,0 0-1 0 0,0 0 1 0 0,0 0 0 0 0,1 0 0 0 0,-1 0 0 0 0,1 1-1 0 0,0-1 1 0 0,0 0 0 0 0,0 0 0 0 0,0 0 0 0 0,1 0-1 0 0,-1 0 1 0 0,1 0 0 0 0,0 0 0 0 0,0 0 0 0 0,0 0-1 0 0,0 0 1 0 0,2 3 0 0 0,-1-3-1 0 0,1 0 0 0 0,-1 0 1 0 0,1 0-1 0 0,0 0 0 0 0,-1-1 0 0 0,2 1 1 0 0,-1-1-1 0 0,0 0 0 0 0,0 0 0 0 0,1 0 1 0 0,-1 0-1 0 0,1-1 0 0 0,5 2 0 0 0,3 1-125 0 0,0-1-1 0 0,1-1 0 0 0,0 0 1 0 0,0-1-1 0 0,-1 0 0 0 0,1-1 1 0 0,0-1-1 0 0,16-2 0 0 0,16-6-986 0 0,0-1 0 0 0,77-30 0 0 0,-18-4-2896 0 0,-3-7-3675 0 0,-74 36 4480 0 0</inkml:trace>
  <inkml:trace contextRef="#ctx0" brushRef="#br0" timeOffset="8824.02">4407 2029 10825 0 0,'0'0'3586'0'0,"-1"8"-3114"0"0,-12 49 1113 0 0,-30 81 1 0 0,-5 16-117 0 0,41-127-1449 0 0,1 0-1 0 0,2 1 1 0 0,-2 48-1 0 0,7-36-292 0 0,7 52-1 0 0,-6-74-471 0 0,2 0 1 0 0,0-1-1 0 0,1 1 0 0 0,1-1 1 0 0,10 22-1 0 0,-15-37 297 0 0,0 1 1 0 0,0-1-1 0 0,0 0 0 0 0,0 0 0 0 0,1 0 1 0 0,-1 0-1 0 0,1 0 0 0 0,0 0 1 0 0,0 0-1 0 0,-1 0 0 0 0,1 0 1 0 0,0-1-1 0 0,0 1 0 0 0,1-1 0 0 0,-1 1 1 0 0,0-1-1 0 0,0 0 0 0 0,1 0 1 0 0,-1 0-1 0 0,1 0 0 0 0,4 0 0 0 0,0-1-3080 0 0</inkml:trace>
  <inkml:trace contextRef="#ctx0" brushRef="#br0" timeOffset="9136.52">4012 2391 8721 0 0,'0'0'10025'0'0,"7"3"-9705"0"0,15 2-106 0 0,-1 0 0 0 0,2-1 0 0 0,-1-1 0 0 0,36 0 0 0 0,98-10-593 0 0,-119 2-706 0 0,0-1 0 0 0,38-12 0 0 0,-11-2-4610 0 0,88-42 0 0 0,-123 48 3059 0 0</inkml:trace>
  <inkml:trace contextRef="#ctx0" brushRef="#br0" timeOffset="9463.53">5029 2094 16029 0 0,'0'0'1828'0'0,"-3"7"-1647"0"0,-6 22 97 0 0,1 1 0 0 0,1 1 0 0 0,2-1 1 0 0,1 1-1 0 0,-1 40 0 0 0,15 165 592 0 0,-8-211-928 0 0,-1 6-393 0 0,2 0 1 0 0,2-1-1 0 0,0 1 0 0 0,20 56 0 0 0,-22-80 186 0 0,0 0 1 0 0,1 0-1 0 0,0 0 1 0 0,6 6-1 0 0,-9-11 72 0 0,1 0 1 0 0,-1 0 0 0 0,1 0-1 0 0,0 0 1 0 0,0-1-1 0 0,0 1 1 0 0,0-1-1 0 0,0 1 1 0 0,0-1-1 0 0,0 1 1 0 0,0-1-1 0 0,1 0 1 0 0,-1 0-1 0 0,0 0 1 0 0,1-1-1 0 0,3 2 1 0 0,-5-3 8 0 0,0 1 1 0 0,0 0-1 0 0,0-1 0 0 0,0 0 1 0 0,0 1-1 0 0,0-1 1 0 0,0 0-1 0 0,0 1 0 0 0,0-1 1 0 0,-1 0-1 0 0,1 0 0 0 0,0 0 1 0 0,0 0-1 0 0,-1 1 1 0 0,1-1-1 0 0,-1 0 0 0 0,1 0 1 0 0,-1-1-1 0 0,1 1 1 0 0,-1 0-1 0 0,1 0 0 0 0,-1 0 1 0 0,0 0-1 0 0,0 0 0 0 0,0 0 1 0 0,1-2-1 0 0,4-35-3749 0 0,-5 13 1130 0 0</inkml:trace>
  <inkml:trace contextRef="#ctx0" brushRef="#br0" timeOffset="9881.2">4866 1925 10613 0 0,'0'0'1938'0'0,"-2"-7"-444"0"0,-3-4-1120 0 0,2 0-1 0 0,0-1 1 0 0,0 1-1 0 0,1 0 1 0 0,0-1-1 0 0,1 0 1 0 0,0-17 0 0 0,1 24-322 0 0,1 0 1 0 0,-1 0 0 0 0,1 0 0 0 0,0 0 0 0 0,1 0 0 0 0,-1 0 0 0 0,1 1 0 0 0,0-1-1 0 0,0 0 1 0 0,0 1 0 0 0,1-1 0 0 0,-1 1 0 0 0,1 0 0 0 0,0 0 0 0 0,1 0 0 0 0,-1 0 0 0 0,1 1-1 0 0,-1-1 1 0 0,1 1 0 0 0,0 0 0 0 0,6-4 0 0 0,3-1-25 0 0,1 2-1 0 0,-1-1 1 0 0,1 1-1 0 0,0 1 1 0 0,0 0 0 0 0,1 2-1 0 0,-1-1 1 0 0,1 2-1 0 0,0-1 1 0 0,20 1 0 0 0,-22 3-43 0 0,0-1 0 0 0,0 2 0 0 0,0 0 1 0 0,-1 0-1 0 0,1 1 0 0 0,-1 1 0 0 0,0 0 1 0 0,0 1-1 0 0,0 0 0 0 0,-1 1 1 0 0,1 0-1 0 0,14 11 0 0 0,-7-3 32 0 0,0 1 0 0 0,-1 1 0 0 0,0 1 0 0 0,25 30 0 0 0,-36-37-58 0 0,1 1-1 0 0,-1-1 0 0 0,-1 1 1 0 0,0 0-1 0 0,-1 1 0 0 0,0 0 0 0 0,0 0 1 0 0,-2 0-1 0 0,1 0 0 0 0,2 20 1 0 0,-4-12 144 0 0,-1 1 1 0 0,-1-1-1 0 0,-1 0 0 0 0,0 0 1 0 0,-2 1-1 0 0,0-1 1 0 0,-2 0-1 0 0,0-1 1 0 0,-13 34-1 0 0,12-40-185 0 0,0 1 0 0 0,-1-1 0 0 0,-1-1 0 0 0,0 0 0 0 0,0 0 0 0 0,-2 0 0 0 0,1-1 0 0 0,-1 0 0 0 0,-1-1 0 0 0,0 0 0 0 0,0-1 0 0 0,-1 0 0 0 0,0-1 0 0 0,-17 9 0 0 0,21-14-351 0 0,0 0 0 0 0,0 0-1 0 0,0-1 1 0 0,0 0 0 0 0,-9 1 0 0 0,13-2-77 0 0,0 0 0 0 0,-1-1 0 0 0,1 0 0 0 0,0 0 0 0 0,-1 0-1 0 0,1 0 1 0 0,0-1 0 0 0,-1 0 0 0 0,1 0 0 0 0,0 0 0 0 0,-6-3-1 0 0,9 4 410 0 0,1 0-1 0 0,-1 0 0 0 0,1-1 1 0 0,-1 1-1 0 0,1 0 0 0 0,0-1 1 0 0,-1 1-1 0 0,1-1 0 0 0,-1 1 0 0 0,1 0 1 0 0,0-1-1 0 0,-1 1 0 0 0,1-1 1 0 0,0 1-1 0 0,0-1 0 0 0,-1 1 0 0 0,1-1 1 0 0,0 0-1 0 0,0 1 0 0 0,0-1 1 0 0,0 1-1 0 0,-1-1 0 0 0,1 1 0 0 0,0-1 1 0 0,0 1-1 0 0,0-1 0 0 0,0 0 1 0 0,0 1-1 0 0,1-1 0 0 0,-1 1 0 0 0,0-1 1 0 0,0 1-1 0 0,0-1 0 0 0,0 1 1 0 0,1-1-1 0 0,-1 0 0 0 0,15-18-4077 0 0,-6 11 3310 0 0</inkml:trace>
  <inkml:trace contextRef="#ctx0" brushRef="#br0" timeOffset="10724.22">5382 2273 4416 0 0,'6'0'2001'0'0,"11"0"-1356"0"0,-1 0 0 0 0,0 1-1 0 0,1 1 1 0 0,-1 1 0 0 0,27 8-1 0 0,-33-8-361 0 0,0 1 1 0 0,-1 0-1 0 0,0 0 1 0 0,0 1-1 0 0,0 1 0 0 0,0-1 1 0 0,-1 2-1 0 0,0-1 0 0 0,-1 1 1 0 0,1 0-1 0 0,6 9 0 0 0,-5-4-202 0 0,0 0-1 0 0,-1 1 0 0 0,0 0 1 0 0,-1 1-1 0 0,-1 0 0 0 0,0 0 1 0 0,-1 0-1 0 0,0 1 0 0 0,-1 0 1 0 0,2 15-1 0 0,0 19-85 0 0,-1 87 0 0 0,-2-39 70 0 0,-2-63 261 0 0,-2-30-104 0 0,-2-21-297 0 0,-4-54-411 0 0,4 0 1 0 0,6-81-1 0 0,-2 148 446 0 0,0-19 75 0 0,1 0 0 0 0,7-33 0 0 0,-8 50 96 0 0,1 0 1 0 0,0 0-1 0 0,0 1 1 0 0,0-1-1 0 0,0 1 1 0 0,1 0-1 0 0,0 0 0 0 0,0 0 1 0 0,1 0-1 0 0,-1 0 1 0 0,1 1-1 0 0,0-1 1 0 0,0 1-1 0 0,1 0 1 0 0,4-3-1 0 0,-5 5-87 0 0,-1 0 0 0 0,1 1 0 0 0,0 0 0 0 0,-1-1 1 0 0,1 2-1 0 0,0-1 0 0 0,0 0 0 0 0,0 1 0 0 0,0 0 0 0 0,0-1 0 0 0,0 2 0 0 0,0-1 0 0 0,4 1 0 0 0,51 11 322 0 0,-57-12-331 0 0,35 9 158 0 0,0-2 1 0 0,1-1-1 0 0,49 1 1 0 0,-63-7-192 0 0,-1-1 1 0 0,0-1 0 0 0,0-1-1 0 0,0 0 1 0 0,0-2 0 0 0,36-13-1 0 0,-34 9-53 0 0,-1-2 0 0 0,0-1 0 0 0,0 0 0 0 0,-1-2 0 0 0,-1-1-1 0 0,0 0 1 0 0,-1-2 0 0 0,-1-1 0 0 0,0 0 0 0 0,23-29 0 0 0,-32 35 74 0 0,-8 10-12 0 0,-1-1-1 0 0,1 1 1 0 0,-1-1 0 0 0,0 1-1 0 0,0-1 1 0 0,0 0-1 0 0,0 0 1 0 0,0 0-1 0 0,0 0 1 0 0,-1 0 0 0 0,3-6-1 0 0,-4 9 32 0 0,-5 2-82 0 0,0 0 0 0 0,0 0 1 0 0,0 1-1 0 0,0 0 0 0 0,0 0 1 0 0,1 0-1 0 0,-1 1 0 0 0,1-1 0 0 0,-5 7 1 0 0,4-6 20 0 0,-26 24 177 0 0,2 0 0 0 0,1 2 0 0 0,1 1 0 0 0,2 2 0 0 0,-22 36 0 0 0,43-62-122 0 0,1 0 1 0 0,-1 0-1 0 0,1 0 0 0 0,0 1 1 0 0,1-1-1 0 0,0 1 1 0 0,0 0-1 0 0,1-1 1 0 0,0 1-1 0 0,0 0 1 0 0,1 0-1 0 0,0 0 0 0 0,0 0 1 0 0,2 8-1 0 0,-1-9 62 0 0,1 0-1 0 0,0-1 0 0 0,1 1 0 0 0,0 0 0 0 0,0-1 0 0 0,0 0 0 0 0,0 1 0 0 0,1-1 1 0 0,0-1-1 0 0,1 1 0 0 0,-1-1 0 0 0,1 1 0 0 0,0-1 0 0 0,0 0 0 0 0,11 7 0 0 0,7 3 91 0 0,1-1-1 0 0,0-1 0 0 0,1-1 1 0 0,1-1-1 0 0,37 11 0 0 0,137 25 309 0 0,-177-42-434 0 0,14 3-385 0 0,243 46 751 0 0,-140-35-2902 0 0,-1-8-5511 0 0,-120-10 3368 0 0,8-1-1558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6:58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95 6577 0 0,'0'0'6041'0'0,"6"-4"-5844"0"0,4-2-93 0 0,0 1 1 0 0,1 0-1 0 0,0 1 1 0 0,0 0-1 0 0,0 1 1 0 0,0 0 0 0 0,19-2-1 0 0,167-4 872 0 0,-11 1-2278 0 0,-151 4-1027 0 0,52-13 0 0 0,-63 8-736 0 0,-11 0 383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6:58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0 123 10037 0 0,'0'0'2501'0'0,"6"-7"-2446"0"0,0 1 90 0 0,0-1-1 0 0,1 1 1 0 0,-1 1-1 0 0,1 0 1 0 0,0 0-1 0 0,1 0 1 0 0,-1 1-1 0 0,1 0 0 0 0,14-6 1 0 0,31-3-395 0 0,1 2-1 0 0,0 3 1 0 0,59-2-1 0 0,25-3-9281 0 0,-110 9 6200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7:00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0 885 19130 0 0,'0'0'-13'0'0,"10"-7"-1848"0"0,-8 28 57 0 0,1 12-1935 0 0,5-16-2894 0 0,-2-12 2329 0 0</inkml:trace>
  <inkml:trace contextRef="#ctx0" brushRef="#br0" timeOffset="923.13">607 83 80 0 0,'0'0'12466'0'0,"-5"-7"-12392"0"0,-16-21-79 0 0,21 27 1 0 0,-1 1 0 0 0,1-1-1 0 0,0 0 1 0 0,-1 1 0 0 0,1-1 0 0 0,0 0 0 0 0,-1 1-1 0 0,1-1 1 0 0,0 0 0 0 0,0 1 0 0 0,0-1-1 0 0,0 0 1 0 0,0 1 0 0 0,0-1 0 0 0,0 0-1 0 0,0 1 1 0 0,0-1 0 0 0,0 0 0 0 0,0 0-1 0 0,0 1 1 0 0,0-1 0 0 0,1 0 0 0 0,-1 1 0 0 0,0-1-1 0 0,0 0 1 0 0,1 1 0 0 0,-1-1 0 0 0,1 1-1 0 0,-1-1 1 0 0,0 1 0 0 0,1-1 0 0 0,-1 0-1 0 0,1 1 1 0 0,-1-1 0 0 0,1 1 0 0 0,-1 0 0 0 0,1-1-1 0 0,0 1 1 0 0,-1 0 0 0 0,2-1 0 0 0,24-9 13 0 0,-24 9-9 0 0,15-3 114 0 0,0 1 1 0 0,0 1-1 0 0,1 0 0 0 0,-1 2 1 0 0,34 2-1 0 0,-21 1-5 0 0,0 2-1 0 0,45 13 1 0 0,-48-10-60 0 0,-1 1 1 0 0,33 17 0 0 0,-51-22-28 0 0,0 0 0 0 0,0 1 0 0 0,0 0 1 0 0,-1 0-1 0 0,0 1 0 0 0,0 0 0 0 0,0 0 0 0 0,-1 1 1 0 0,0 0-1 0 0,10 14 0 0 0,-14-18-9 0 0,0 1 1 0 0,-1-1-1 0 0,0 0 1 0 0,0 1-1 0 0,0-1 1 0 0,0 1-1 0 0,-1-1 1 0 0,1 1-1 0 0,-1-1 1 0 0,0 1-1 0 0,0 0 1 0 0,0-1-1 0 0,0 1 1 0 0,-1-1-1 0 0,1 1 0 0 0,-1-1 1 0 0,0 1-1 0 0,0-1 1 0 0,0 1-1 0 0,-1-1 1 0 0,1 0-1 0 0,-1 0 1 0 0,0 1-1 0 0,0-1 1 0 0,0-1-1 0 0,0 1 1 0 0,-5 5-1 0 0,-4 3 7 0 0,0 0 0 0 0,0-1 0 0 0,-1-1 0 0 0,-1 1 0 0 0,-16 8 0 0 0,-17 6 175 0 0,0-2 0 0 0,-2-2 0 0 0,-74 20-1 0 0,57-19 113 0 0,65-21-295 0 0,-1 0 1 0 0,0 0-1 0 0,1 0 1 0 0,-1 0-1 0 0,0 0 0 0 0,1 0 1 0 0,-1 1-1 0 0,1-1 1 0 0,-1 0-1 0 0,1 0 1 0 0,-1 0-1 0 0,0 1 0 0 0,1-1 1 0 0,-1 0-1 0 0,1 1 1 0 0,-1-1-1 0 0,1 0 1 0 0,-1 1-1 0 0,1-1 1 0 0,0 1-1 0 0,-1-1 0 0 0,1 1 1 0 0,0-1-1 0 0,-1 1 1 0 0,1-1-1 0 0,0 1 1 0 0,-1-1-1 0 0,1 1 1 0 0,0-1-1 0 0,0 1 0 0 0,-1 0 1 0 0,2 0 24 0 0,0 0 0 0 0,0 0 0 0 0,0 0 0 0 0,0-1 0 0 0,-1 1 0 0 0,1 0-1 0 0,0-1 1 0 0,0 1 0 0 0,1-1 0 0 0,-1 1 0 0 0,0-1 0 0 0,0 1 0 0 0,0-1 0 0 0,1 0 0 0 0,47 10 246 0 0,-17-6-310 0 0,0 1 1 0 0,1 2 0 0 0,-2 1 0 0 0,41 15 0 0 0,-61-18 17 0 0,0 0 0 0 0,-1 1 0 0 0,1 0 0 0 0,-1 1-1 0 0,0 0 1 0 0,-1 0 0 0 0,1 1 0 0 0,-2 0 0 0 0,1 1 0 0 0,-1 0 0 0 0,0 0-1 0 0,-1 1 1 0 0,0 0 0 0 0,-1 0 0 0 0,6 12 0 0 0,-7-10 0 0 0,1 1 0 0 0,-2-1 0 0 0,0 1 0 0 0,0 1 0 0 0,-1-1 0 0 0,-1 0 0 0 0,0 1 0 0 0,-1 0 0 0 0,-1-1 0 0 0,0 1 0 0 0,-4 27 0 0 0,3-33 39 0 0,-1 0 0 0 0,0 0 0 0 0,0-1 0 0 0,-1 1 0 0 0,0 0 0 0 0,0-1-1 0 0,-1 0 1 0 0,0 0 0 0 0,-1 0 0 0 0,1 0 0 0 0,-1-1 0 0 0,0 1 0 0 0,-1-1-1 0 0,0-1 1 0 0,0 1 0 0 0,0-1 0 0 0,0 0 0 0 0,-1 0 0 0 0,0-1 0 0 0,0 0-1 0 0,-10 4 1 0 0,-6 1 1 0 0,-2-1-1 0 0,1-1 0 0 0,-1-2 1 0 0,0 0-1 0 0,0-2 0 0 0,0 0 1 0 0,-1-2-1 0 0,1-1 1 0 0,-1-1-1 0 0,-31-5 0 0 0,-22-8-1204 0 0,-148-45-1 0 0,210 53 740 0 0,-101-32-2805 0 0,40 6-2793 0 0,55 21 2466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7:04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1506 10053 0 0,'0'0'1636'0'0,"-4"-6"-1212"0"0,1 1-440 0 0,0 1 145 0 0,0-1 0 0 0,1 0 0 0 0,-1 0 0 0 0,1 0 0 0 0,0 0 0 0 0,-1-6 0 0 0,3 9-115 0 0,-1 0 0 0 0,1 0 0 0 0,0 0-1 0 0,0 0 1 0 0,0 0 0 0 0,0 0 0 0 0,0 1 0 0 0,1-1 0 0 0,-1 0-1 0 0,0 0 1 0 0,1 0 0 0 0,-1 0 0 0 0,1 0 0 0 0,0 1 0 0 0,0-1-1 0 0,0 0 1 0 0,0 1 0 0 0,0-1 0 0 0,0 0 0 0 0,0 1 0 0 0,0 0-1 0 0,1-1 1 0 0,-1 1 0 0 0,3-2 0 0 0,2-2-11 0 0,0 1 1 0 0,1 0-1 0 0,-1 1 1 0 0,1-1-1 0 0,0 1 1 0 0,0 1 0 0 0,0-1-1 0 0,11-1 1 0 0,64-8 250 0 0,-55 9-173 0 0,116-7 713 0 0,169 9 0 0 0,4 0-2100 0 0,-298 1-179 0 0,-1-1 1 0 0,-1-1-1 0 0,1-1 0 0 0,21-6 1 0 0,-31 5-964 0 0,-2-3-1292 0 0</inkml:trace>
  <inkml:trace contextRef="#ctx0" brushRef="#br0" timeOffset="344.29">1 968 11109 0 0,'0'0'3771'0'0,"0"-6"-3618"0"0,0 5-136 0 0,0-1 1 0 0,0 1 0 0 0,1-1-1 0 0,-1 1 1 0 0,0-1-1 0 0,1 1 1 0 0,-1-1 0 0 0,1 1-1 0 0,-1-1 1 0 0,1 1-1 0 0,0 0 1 0 0,1-3 0 0 0,-1 3 8 0 0,0 0 1 0 0,1 0-1 0 0,-1 1 0 0 0,1-1 1 0 0,-1 0-1 0 0,1 1 1 0 0,0-1-1 0 0,-1 1 0 0 0,1-1 1 0 0,-1 1-1 0 0,1 0 1 0 0,0 0-1 0 0,-1-1 1 0 0,1 1-1 0 0,0 0 0 0 0,2 1 1 0 0,161 2 1542 0 0,-55 1-1184 0 0,121-12-1 0 0,-167 0-686 0 0,-1-4 0 0 0,103-31 0 0 0,20-28-8341 0 0,-162 58 5336 0 0,6-8-1242 0 0</inkml:trace>
  <inkml:trace contextRef="#ctx0" brushRef="#br0" timeOffset="1652.78">2376 0 11693 0 0,'0'0'1005'0'0,"7"4"-806"0"0,11 3-160 0 0,1-1 0 0 0,0 0-1 0 0,0-1 1 0 0,25 2 0 0 0,91 6 342 0 0,-46-5 60 0 0,-50-4-334 0 0,151 19 124 0 0,-138-15 8 0 0,83 26-1 0 0,-128-31-240 0 0,0-1-1 0 0,0 1 1 0 0,0 0 0 0 0,0 1-1 0 0,-1-1 1 0 0,1 2-1 0 0,-1-1 1 0 0,8 8 0 0 0,-12-10 10 0 0,0-1 1 0 0,-1 1 0 0 0,1 0-1 0 0,-1 0 1 0 0,1 0-1 0 0,-1 0 1 0 0,0 0 0 0 0,0 0-1 0 0,0 1 1 0 0,0-1-1 0 0,0 0 1 0 0,0 1-1 0 0,-1-1 1 0 0,1 0 0 0 0,-1 1-1 0 0,0-1 1 0 0,0 1-1 0 0,1-1 1 0 0,-2 0 0 0 0,1 1-1 0 0,0-1 1 0 0,0 1-1 0 0,-1-1 1 0 0,1 1 0 0 0,-1-1-1 0 0,0 0 1 0 0,0 0-1 0 0,0 1 1 0 0,-2 2 0 0 0,-2 3 0 0 0,0 0 1 0 0,-1-1-1 0 0,1 0 0 0 0,-2 0 1 0 0,1-1-1 0 0,-1 1 1 0 0,0-2-1 0 0,0 1 0 0 0,0-1 1 0 0,-1 0-1 0 0,-11 5 1 0 0,-13 6-5 0 0,-51 17 0 0 0,68-27 8 0 0,-245 72 147 0 0,64-20-29 0 0,175-51-48 0 0,-28 13 0 0 0,51-17 110 0 0,7 1 54 0 0,10 1 107 0 0,164 9-186 0 0,27 3-100 0 0,-166-11-127 0 0,0 2 0 0 0,72 23 0 0 0,-99-25 22 0 0,-1 1 0 0 0,-1 0 0 0 0,1 0 1 0 0,-1 2-1 0 0,0 0 0 0 0,-1 1 0 0 0,0 0 0 0 0,-1 1 0 0 0,19 20 1 0 0,-27-26 33 0 0,0 0 1 0 0,-1 1 0 0 0,0 0-1 0 0,0 0 1 0 0,0 0 0 0 0,-1 0-1 0 0,0 1 1 0 0,0-1 0 0 0,-1 1-1 0 0,0 0 1 0 0,0 0 0 0 0,0 0-1 0 0,-1 0 1 0 0,0 0 0 0 0,0 0-1 0 0,-1 0 1 0 0,0 0 0 0 0,0 1-1 0 0,-1-1 1 0 0,0 0 0 0 0,0 0-1 0 0,-1 0 1 0 0,0 0 0 0 0,0-1-1 0 0,-5 12 1 0 0,1-6 45 0 0,0 0 1 0 0,-1 0-1 0 0,0-1 0 0 0,-1 0 1 0 0,0 0-1 0 0,-1-1 0 0 0,0 0 1 0 0,-12 9-1 0 0,5-6 43 0 0,0-1-1 0 0,-1 0 1 0 0,-1-1-1 0 0,-31 14 1 0 0,9-9-36 0 0,-1-2 1 0 0,0-2-1 0 0,-1-1 1 0 0,-58 6-1 0 0,47-10-92 0 0,-1-2 0 0 0,1-3 0 0 0,-56-4-1 0 0,76-2-567 0 0,1 0 0 0 0,-36-11 0 0 0,45 9-746 0 0,0-2 1 0 0,0-1-1 0 0,-31-17 0 0 0,45 22-54 0 0,0-2 0 0 0,0 1 0 0 0,-13-13 0 0 0,7 3-2000 0 0</inkml:trace>
  <inkml:trace contextRef="#ctx0" brushRef="#br0" timeOffset="2427.11">1926 1590 15493 0 0,'0'0'88'0'0,"8"-4"-732"0"0,15-6 642 0 0,0 1 0 0 0,1 1 0 0 0,1 1 0 0 0,24-4 0 0 0,427-49 70 0 0,118 34 945 0 0,339 31 677 0 0,-315 3-1410 0 0,-194-6-237 0 0,-254 2-4841 0 0,-156-2 2130 0 0,-6 1-2158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7:09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1 422 16141 0 0,'0'0'-81'0'0,"9"-5"-53"0"0,19-7 210 0 0,0 1 0 0 0,1 1-1 0 0,0 1 1 0 0,36-5 0 0 0,-34 10-12 0 0,0 2-1 0 0,1 0 1 0 0,-1 3 0 0 0,38 4 0 0 0,-57-4-85 0 0,0 1 1 0 0,0 1 0 0 0,0 0-1 0 0,0 0 1 0 0,0 2-1 0 0,-1-1 1 0 0,0 1-1 0 0,0 1 1 0 0,0 0-1 0 0,0 0 1 0 0,-1 1-1 0 0,0 0 1 0 0,14 15-1 0 0,-20-19 19 0 0,-1 1 0 0 0,0-1 0 0 0,-1 1 0 0 0,1 0 0 0 0,-1 0 0 0 0,1 0 0 0 0,-1 0 0 0 0,0 0 0 0 0,-1 0 0 0 0,1 0 0 0 0,-1 1 0 0 0,0-1 0 0 0,0 1 0 0 0,0-1 0 0 0,0 1 0 0 0,-1-1 0 0 0,0 1 0 0 0,0-1 0 0 0,0 1 0 0 0,0 0 0 0 0,-1-1 0 0 0,0 1 0 0 0,0-1 0 0 0,0 1 0 0 0,0-1 0 0 0,-1 0 0 0 0,0 0 0 0 0,0 1-1 0 0,0-1 1 0 0,0 0 0 0 0,-1 0 0 0 0,-5 6 0 0 0,-2 2 9 0 0,0-1 0 0 0,-1 0 0 0 0,0 0 0 0 0,-1-1 0 0 0,0-1 0 0 0,-1 0-1 0 0,1-1 1 0 0,-23 11 0 0 0,-129 45-1364 0 0,153-60 1171 0 0,9-4 167 0 0,1 0 1 0 0,0 1 0 0 0,0-1-1 0 0,0 1 1 0 0,-1-1 0 0 0,1 1-1 0 0,0-1 1 0 0,0 1 0 0 0,0 0-1 0 0,0-1 1 0 0,0 1 0 0 0,0 0-1 0 0,0 0 1 0 0,0 0 0 0 0,1 0-1 0 0,-1 0 1 0 0,0 0 0 0 0,0 0-1 0 0,1 0 1 0 0,-1 0 0 0 0,1 0-1 0 0,-1 0 1 0 0,1 0 0 0 0,-1 2-1 0 0,1-2 24 0 0,0 1-1 0 0,0-1 0 0 0,1 0 0 0 0,-1 0 0 0 0,0 1 0 0 0,1-1 1 0 0,-1 0-1 0 0,1 0 0 0 0,-1 0 0 0 0,1 1 0 0 0,0-1 1 0 0,-1 0-1 0 0,1 0 0 0 0,0 0 0 0 0,0 0 0 0 0,0 0 1 0 0,0 0-1 0 0,0-1 0 0 0,0 1 0 0 0,0 0 0 0 0,0 0 0 0 0,2 0 1 0 0,22 13 71 0 0,-1-2 1 0 0,2-1 0 0 0,0-2 0 0 0,32 9-1 0 0,-20-7-107 0 0,39 18-1 0 0,-56-18 38 0 0,0 0 0 0 0,0 2 0 0 0,-2 0 0 0 0,1 1 0 0 0,-2 1 0 0 0,0 1 0 0 0,27 30 0 0 0,-33-32 32 0 0,0 1 1 0 0,-1 1-1 0 0,-1 0 0 0 0,0 0 0 0 0,-1 1 0 0 0,-1 0 1 0 0,0 1-1 0 0,-1 0 0 0 0,-1 0 0 0 0,3 19 0 0 0,-8-33 12 0 0,0 1-1 0 0,-1-1 0 0 0,1 0 1 0 0,-1 0-1 0 0,0 0 0 0 0,0 0 1 0 0,-1 1-1 0 0,1-1 0 0 0,-1 0 1 0 0,0 0-1 0 0,0 0 0 0 0,0 0 1 0 0,-1 0-1 0 0,1 0 0 0 0,-1 0 0 0 0,-3 4 1 0 0,2-4-7 0 0,-1 0 1 0 0,1 0 0 0 0,-1 0-1 0 0,0-1 1 0 0,0 1 0 0 0,0-1-1 0 0,-1 0 1 0 0,1 0 0 0 0,-1-1 0 0 0,0 1-1 0 0,1-1 1 0 0,-10 3 0 0 0,0-1-78 0 0,-1-1 1 0 0,0 0 0 0 0,0 0-1 0 0,0-2 1 0 0,0 0 0 0 0,0-1 0 0 0,0 0-1 0 0,-22-4 1 0 0,-1-2-308 0 0,0-2 1 0 0,-41-13-1 0 0,-66-31-2452 0 0,120 40-191 0 0,-42-25 0 0 0,36 15-83 0 0</inkml:trace>
  <inkml:trace contextRef="#ctx0" brushRef="#br0" timeOffset="403.07">1172 469 7005 0 0,'0'0'9922'0'0,"6"9"-9985"0"0,-5-8 54 0 0,12 20 97 0 0,0 1 1 0 0,-1 0 0 0 0,-1 0 0 0 0,-1 1 0 0 0,7 24 0 0 0,-7 17 17 0 0,3 100 0 0 0,-10-116-81 0 0,19 168-159 0 0,-7-124-2549 0 0,-7-68-471 0 0,-8-23 2786 0 0,1 0 0 0 0,-1 0 0 0 0,1 0 1 0 0,0 0-1 0 0,-1 0 0 0 0,1-1 0 0 0,0 1 0 0 0,0 0 1 0 0,0 0-1 0 0,-1 0 0 0 0,1-1 0 0 0,0 1 1 0 0,0 0-1 0 0,0-1 0 0 0,0 1 0 0 0,0-1 0 0 0,0 1 1 0 0,0-1-1 0 0,0 0 0 0 0,2 1 0 0 0,2-1-2414 0 0</inkml:trace>
  <inkml:trace contextRef="#ctx0" brushRef="#br0" timeOffset="716.96">1047 721 7881 0 0,'0'0'9191'0'0,"9"0"-8706"0"0,212-18 749 0 0,-77 4-2346 0 0,-116 11-142 0 0,0-1-1 0 0,36-10 1 0 0,15-12-7374 0 0,-55 17 4572 0 0</inkml:trace>
  <inkml:trace contextRef="#ctx0" brushRef="#br0" timeOffset="1354.96">2097 288 16902 0 0,'0'0'390'0'0,"-1"9"-305"0"0,-3 65 526 0 0,3 0 0 0 0,3 0 1 0 0,13 82-1 0 0,30 109-1031 0 0,-6-91-2755 0 0,-37-166 2543 0 0,5 26-1822 0 0,-8-12-4470 0 0,0-19 3803 0 0,-2-3 613 0 0</inkml:trace>
  <inkml:trace contextRef="#ctx0" brushRef="#br0" timeOffset="1803.87">1947 86 15037 0 0,'0'0'238'0'0,"0"-7"28"0"0,0-21-171 0 0,0 27-98 0 0,0-1 0 0 0,1 1 0 0 0,-1-1 1 0 0,1 1-1 0 0,0 0 0 0 0,0-1 0 0 0,-1 1 0 0 0,1-1 0 0 0,0 1 0 0 0,0 0 1 0 0,0 0-1 0 0,0 0 0 0 0,0-1 0 0 0,1 1 0 0 0,-1 0 0 0 0,0 0 0 0 0,0 1 0 0 0,1-1 1 0 0,1-1-1 0 0,24-10 36 0 0,-15 8-41 0 0,0 1 0 0 0,1 1-1 0 0,-1 0 1 0 0,0 1 0 0 0,1 0-1 0 0,-1 1 1 0 0,1 0 0 0 0,-1 1-1 0 0,1 0 1 0 0,-1 1 0 0 0,1 1 0 0 0,-1 0-1 0 0,0 1 1 0 0,0 0 0 0 0,-1 0-1 0 0,1 1 1 0 0,-1 1 0 0 0,11 7 0 0 0,-3-1-24 0 0,0 1 1 0 0,-1 0 0 0 0,0 2-1 0 0,-1 0 1 0 0,-1 1 0 0 0,-1 1-1 0 0,0 0 1 0 0,-1 1 0 0 0,13 22-1 0 0,-17-24 100 0 0,-1 2-1 0 0,-1-1 0 0 0,-1 1 0 0 0,0 0 1 0 0,-1 0-1 0 0,-1 1 0 0 0,-1 0 1 0 0,-1 0-1 0 0,0 0 0 0 0,-1 0 0 0 0,-2 22 1 0 0,0-31-35 0 0,-1 0 0 0 0,0 0 0 0 0,0 0 1 0 0,-1 0-1 0 0,-1 0 0 0 0,1-1 1 0 0,-2 1-1 0 0,1-1 0 0 0,-1 0 0 0 0,-1 0 1 0 0,0 0-1 0 0,0 0 0 0 0,-1-1 0 0 0,1 0 1 0 0,-2 0-1 0 0,1-1 0 0 0,-1 1 0 0 0,-1-1 1 0 0,1-1-1 0 0,-1 0 0 0 0,0 0 0 0 0,-18 10 1 0 0,12-9-398 0 0,-1 0 0 0 0,-1-1 1 0 0,1 0-1 0 0,-1-1 0 0 0,-31 5 1 0 0,35-9-252 0 0,-1 0 0 0 0,1-1 0 0 0,0 0 0 0 0,0-1 0 0 0,0 0 0 0 0,0-1 0 0 0,0 0 0 0 0,-19-7 0 0 0,-6-2-4281 0 0,27 7 1939 0 0</inkml:trace>
  <inkml:trace contextRef="#ctx0" brushRef="#br0" timeOffset="2740.18">2541 603 204 0 0,'0'0'15614'0'0,"8"8"-15605"0"0,5 7 101 0 0,0-1 0 0 0,-1 1 0 0 0,-1 1 0 0 0,0 0 0 0 0,-1 1 0 0 0,9 20 0 0 0,-10-12-232 0 0,-2 0 0 0 0,0 0 0 0 0,-2 0 0 0 0,0 1 0 0 0,-2 0 0 0 0,0 30 455 0 0,0-77 84 0 0,7-35-804 0 0,-8 38 264 0 0,1-1 0 0 0,1 1-1 0 0,0 0 1 0 0,2 0 0 0 0,12-27 0 0 0,-17 43 146 0 0,0 0 0 0 0,0 0 0 0 0,0 0 0 0 0,1 1-1 0 0,-1-1 1 0 0,1 1 0 0 0,-1-1 0 0 0,1 1 0 0 0,0-1 0 0 0,0 1 0 0 0,-1 0 0 0 0,1 0 0 0 0,0 0 0 0 0,0 0 0 0 0,0 0 0 0 0,0 0 0 0 0,0 1 0 0 0,1-1 0 0 0,-1 1 0 0 0,0-1 0 0 0,0 1 0 0 0,0 0 0 0 0,0 0 0 0 0,1 0-1 0 0,-1 0 1 0 0,0 0 0 0 0,0 0 0 0 0,0 0 0 0 0,0 1 0 0 0,3 0 0 0 0,8 3 79 0 0,0 1 0 0 0,-1-1-1 0 0,0 2 1 0 0,12 6 0 0 0,0 1 113 0 0,7-1-155 0 0,1-1 0 0 0,0-1 1 0 0,1-2-1 0 0,0-1 1 0 0,0-1-1 0 0,0-2 0 0 0,1-2 1 0 0,-1-1-1 0 0,1-1 1 0 0,0-2-1 0 0,-1-1 0 0 0,0-2 1 0 0,0-1-1 0 0,60-20 1 0 0,-53 11-177 0 0,48-28 1 0 0,29-11-735 0 0,-112 52 843 0 0,1 0-60 0 0,0 0 0 0 0,0-1 0 0 0,0 1 0 0 0,0-1 0 0 0,-1-1-1 0 0,6-3 1 0 0,-11 7 288 0 0,-22 2-174 0 0,0 3-33 0 0,0 1-1 0 0,1 2 1 0 0,-1 0-1 0 0,2 1 1 0 0,-37 22-1 0 0,16-5 175 0 0,-62 53-1 0 0,94-73-78 0 0,2 1-1 0 0,-1 1 1 0 0,1 0-1 0 0,0 0 1 0 0,1 0-1 0 0,0 1 1 0 0,0 0-1 0 0,1 0 1 0 0,0 0-1 0 0,-6 17 1 0 0,10-21-12 0 0,-1 1 0 0 0,1 0 0 0 0,0 0 0 0 0,0 0 0 0 0,0 0 0 0 0,1 0 0 0 0,0 0 1 0 0,0 0-1 0 0,1 0 0 0 0,0 0 0 0 0,0 0 0 0 0,0 0 0 0 0,1 0 0 0 0,-1 0 0 0 0,1 0 0 0 0,1-1 1 0 0,-1 1-1 0 0,1-1 0 0 0,6 10 0 0 0,1-3-3 0 0,0 0 0 0 0,1-1 0 0 0,1 0 0 0 0,-1 0 1 0 0,2-1-1 0 0,-1-1 0 0 0,2 0 0 0 0,-1-1 0 0 0,23 11 0 0 0,13 3-173 0 0,75 21-1 0 0,37-2-681 0 0,-59-16-1023 0 0,-2 6-3829 0 0,-94-29 4405 0 0,1 1 0 0 0,-1 0 1 0 0,0 0-1 0 0,0 0 0 0 0,6 5 0 0 0,-2-1-3153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20:27:18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596 188 308 0 0,'0'0'8582'0'0,"-5"-11"-7612"0"0,5 11-916 0 0,0 0 1 0 0,0 0 0 0 0,0 0 0 0 0,0 0 0 0 0,1 0 0 0 0,-1 0 0 0 0,0 0-1 0 0,0 0 1 0 0,0 0 0 0 0,0 0 0 0 0,0 0 0 0 0,0 0 0 0 0,0 0 0 0 0,1 0-1 0 0,-1 0 1 0 0,0-1 0 0 0,0 1 0 0 0,0 0 0 0 0,0 0 0 0 0,0 0-1 0 0,0 0 1 0 0,0 0 0 0 0,0 0 0 0 0,0 0 0 0 0,0-1 0 0 0,0 1 0 0 0,0 0-1 0 0,0 0 1 0 0,0 0 0 0 0,0 0 0 0 0,1 0 0 0 0,-1 0 0 0 0,0-1 0 0 0,0 1-1 0 0,0 0 1 0 0,0 0 0 0 0,-1 0 0 0 0,1 0 0 0 0,0 0 0 0 0,0 0 0 0 0,0-1-1 0 0,0 1 1 0 0,0 0 0 0 0,0 0 0 0 0,0 0 0 0 0,0 0 0 0 0,0 0 0 0 0,0 0-1 0 0,0 0 1 0 0,0-1 0 0 0,0 1 0 0 0,0 0 0 0 0,0 0 0 0 0,-1 0 0 0 0,1 0-1 0 0,0 0 1 0 0,0 0 0 0 0,0 0 0 0 0,0 0 0 0 0,0 0 0 0 0,0 0 0 0 0,0 0-1 0 0,-1 0 1 0 0,1 0 0 0 0,0 0 0 0 0,0-1 0 0 0,0 1 0 0 0,0 0-1 0 0,16-13 832 0 0,23-13-729 0 0,-4 6 67 0 0,1 1 0 0 0,1 2 0 0 0,0 2 0 0 0,2 1 0 0 0,-1 2 0 0 0,1 2 0 0 0,78-10 1 0 0,-108 19-244 0 0,45-2-69 0 0,-51 3 72 0 0,-1 0 0 0 0,1 0 1 0 0,0 0-1 0 0,-1 1 0 0 0,1-1 1 0 0,-1 1-1 0 0,1-1 0 0 0,-1 1 1 0 0,1 0-1 0 0,-1 0 0 0 0,0 0 0 0 0,1 1 1 0 0,-1-1-1 0 0,0 0 0 0 0,0 1 1 0 0,0 0-1 0 0,2 1 0 0 0,-3-1 14 0 0,0-1 0 0 0,-1 1 0 0 0,1-1 1 0 0,-1 1-1 0 0,1 0 0 0 0,-1-1 0 0 0,0 1 0 0 0,1 0 0 0 0,-1 0 0 0 0,0-1 0 0 0,0 1 0 0 0,0 0 0 0 0,-1 0 0 0 0,1-1 1 0 0,0 1-1 0 0,-1 0 0 0 0,1-1 0 0 0,-1 1 0 0 0,1 0 0 0 0,-1-1 0 0 0,0 1 0 0 0,1-1 0 0 0,-1 1 0 0 0,0-1 0 0 0,0 1 1 0 0,0-1-1 0 0,0 1 0 0 0,-3 1 0 0 0,-2 4 27 0 0,0 0 0 0 0,-1-1 0 0 0,-13 12 0 0 0,-45 25-12 0 0,-2-3 0 0 0,-112 50-1 0 0,9-6 554 0 0,165-82-518 0 0,0 2 0 0 0,-1-1 1 0 0,1 0-1 0 0,1 1 0 0 0,-1 0 1 0 0,-7 8-1 0 0,11-12-56 0 0,20-3 185 0 0,12-10-67 0 0,1 2 1 0 0,0 1 0 0 0,68-12 0 0 0,-46 14-194 0 0,94 1-1 0 0,-137 7 82 0 0,-1 1 0 0 0,1 1 0 0 0,-1 0 0 0 0,0 1 0 0 0,0 0 0 0 0,0 0-1 0 0,0 1 1 0 0,0 0 0 0 0,-1 1 0 0 0,0 0 0 0 0,0 0 0 0 0,0 1 0 0 0,0 0 0 0 0,-1 1 0 0 0,0 0-1 0 0,-1 0 1 0 0,1 1 0 0 0,-2 0 0 0 0,1 0 0 0 0,-1 0 0 0 0,0 1 0 0 0,0 0 0 0 0,-1 0 0 0 0,-1 1-1 0 0,0-1 1 0 0,0 1 0 0 0,0 0 0 0 0,-1 0 0 0 0,1 12 0 0 0,-3-16 16 0 0,0 1 0 0 0,-1-1 0 0 0,1 0 0 0 0,-2 1 0 0 0,1-1 0 0 0,-1 0-1 0 0,0 1 1 0 0,0-1 0 0 0,0 0 0 0 0,-1 0 0 0 0,0 0 0 0 0,-1 0 0 0 0,1 0 0 0 0,-1 0 0 0 0,0-1 0 0 0,-6 9 0 0 0,0-3 33 0 0,-1 0 0 0 0,0-1 0 0 0,-1 0 1 0 0,1-1-1 0 0,-2 0 0 0 0,-15 10 0 0 0,-3-1-26 0 0,0-2-1 0 0,-1-1 0 0 0,-1-1 0 0 0,0-2 0 0 0,-45 12 1 0 0,-173 24-1523 0 0,76-18-1602 0 0,164-28 2533 0 0,-32 9-2077 0 0,40-10 2044 0 0,0-1 1 0 0,0 1-1 0 0,0 0 1 0 0,0 1-1 0 0,0-1 1 0 0,0 0-1 0 0,0 1 1 0 0,-3 2-1 0 0,3-1-1644 0 0</inkml:trace>
  <inkml:trace contextRef="#ctx0" brushRef="#br0" timeOffset="544.4">1 1313 11169 0 0,'0'0'394'0'0,"8"-1"-40"0"0,33-6 284 0 0,-1-1 0 0 0,57-19 1 0 0,85-39 386 0 0,-115 40-537 0 0,117-44 402 0 0,341-120 870 0 0,-397 151-1704 0 0,1 6 0 0 0,180-23 0 0 0,-274 51-513 0 0,-18 2-160 0 0,-1 1 1 0 0,1 0-1 0 0,0 1 0 0 0,0 1 1 0 0,24 2-1 0 0,-40-2 289 0 0,1 1 0 0 0,-1-1 1 0 0,1 1-1 0 0,-1 0 0 0 0,0-1 0 0 0,1 1 0 0 0,-1 0 0 0 0,0 0 1 0 0,1 0-1 0 0,-1 0 0 0 0,0 0 0 0 0,0 0 0 0 0,0 0 1 0 0,0 1-1 0 0,0-1 0 0 0,0 0 0 0 0,0 0 0 0 0,0 1 0 0 0,-1-1 1 0 0,1 1-1 0 0,0-1 0 0 0,-1 1 0 0 0,1-1 0 0 0,-1 1 1 0 0,0-1-1 0 0,1 1 0 0 0,-1 2 0 0 0,0 6-2811 0 0</inkml:trace>
  <inkml:trace contextRef="#ctx0" brushRef="#br0" timeOffset="974.41">594 1641 17462 0 0,'0'0'75'0'0,"3"9"-264"0"0,17 34 127 0 0,27 59-96 0 0,-13-38-3120 0 0,-32-59 2512 0 0,0-1-1 0 0,0 0 1 0 0,1 0-1 0 0,-1-1 1 0 0,1 1-1 0 0,0 0 1 0 0,0-1 0 0 0,0 0-1 0 0,1 0 1 0 0,-1 0-1 0 0,1 0 1 0 0,6 4-1 0 0,-4-5-2395 0 0</inkml:trace>
  <inkml:trace contextRef="#ctx0" brushRef="#br0" timeOffset="1811.44">836 1141 736 0 0,'0'0'11458'0'0,"4"-7"-11472"0"0,0 0 91 0 0,0 0 0 0 0,1 1-1 0 0,-1 0 1 0 0,2 0 0 0 0,-1 0-1 0 0,1 1 1 0 0,-1 0-1 0 0,1 0 1 0 0,1 0 0 0 0,9-5-1 0 0,5-1 105 0 0,1 0 0 0 0,0 2 0 0 0,1 0 0 0 0,0 2 0 0 0,0 0 0 0 0,1 2 0 0 0,-1 0 0 0 0,1 2 0 0 0,1 1 0 0 0,-1 0 0 0 0,43 5 0 0 0,-61-3-179 0 0,0 1 0 0 0,0 0 0 0 0,-1 1 0 0 0,1 0 0 0 0,0 0 0 0 0,-1 0 0 0 0,1 0 0 0 0,-1 1 0 0 0,0 0 0 0 0,0 0 0 0 0,0 0 0 0 0,0 1 0 0 0,-1 0 0 0 0,0 0 0 0 0,1 0 0 0 0,-1 0 0 0 0,0 0 0 0 0,3 7 0 0 0,-5-8 4 0 0,0 1 0 0 0,0 0 0 0 0,0 0 1 0 0,0-1-1 0 0,-1 1 0 0 0,0 0 0 0 0,0 1 0 0 0,0-1 1 0 0,0 0-1 0 0,0 0 0 0 0,-1 0 0 0 0,0 0 0 0 0,0 1 1 0 0,0-1-1 0 0,-1 0 0 0 0,1 0 0 0 0,-1 0 0 0 0,0 1 1 0 0,0-1-1 0 0,0 0 0 0 0,-1 0 0 0 0,1-1 0 0 0,-1 1 1 0 0,0 0-1 0 0,-4 6 0 0 0,0-3-28 0 0,0 0-1 0 0,0 0 1 0 0,-1 0-1 0 0,0-1 1 0 0,0 0-1 0 0,0 0 1 0 0,-1-1-1 0 0,1 1 0 0 0,-1-2 1 0 0,-1 1-1 0 0,1-1 1 0 0,-1-1-1 0 0,-10 4 1 0 0,-13 2 194 0 0,-1-2 1 0 0,-42 6-1 0 0,61-12-14 0 0,63-10-22 0 0,65-22 0 0 0,-68 16-166 0 0,1 3 0 0 0,58-8 0 0 0,-91 18 45 0 0,1 1 0 0 0,-1 1 0 0 0,1 0 0 0 0,-1 1-1 0 0,1 1 1 0 0,-1 0 0 0 0,0 0 0 0 0,25 9 0 0 0,-32-8 2 0 0,-1-1 1 0 0,0 1 0 0 0,0 1-1 0 0,-1-1 1 0 0,1 1-1 0 0,-1 0 1 0 0,1 0 0 0 0,-1 1-1 0 0,-1-1 1 0 0,1 1-1 0 0,-1 0 1 0 0,1 1-1 0 0,-2-1 1 0 0,1 1 0 0 0,0-1-1 0 0,-1 1 1 0 0,0 0-1 0 0,-1 0 1 0 0,1 1 0 0 0,-1-1-1 0 0,2 9 1 0 0,-2-7-2 0 0,-1 1 1 0 0,0-1 0 0 0,0 1-1 0 0,0-1 1 0 0,-1 1 0 0 0,-1-1-1 0 0,1 1 1 0 0,-1-1 0 0 0,-1 1-1 0 0,1-1 1 0 0,-2 0-1 0 0,1 1 1 0 0,-1-1 0 0 0,0 0-1 0 0,-1-1 1 0 0,-7 14 0 0 0,4-11 7 0 0,-1 1-1 0 0,-1-2 1 0 0,0 1 0 0 0,0-1 0 0 0,-1 0 0 0 0,0-1-1 0 0,0 0 1 0 0,-1-1 0 0 0,0 0 0 0 0,-17 8 0 0 0,-253 98-230 0 0,91-57-1350 0 0,62-25-2280 0 0,67-17 67 0 0,36-9 1173 0 0,-6-2-1555 0 0</inkml:trace>
  <inkml:trace contextRef="#ctx0" brushRef="#br0" timeOffset="3088.68">2523 876 4576 0 0,'0'0'8677'0'0,"-7"-4"-8490"0"0,-20-11 58 0 0,26 15-240 0 0,1 0 1 0 0,-1 0-1 0 0,0-1 0 0 0,1 1 0 0 0,-1 0 1 0 0,1-1-1 0 0,-1 1 0 0 0,1 0 0 0 0,-1-1 0 0 0,1 1 1 0 0,-1-1-1 0 0,1 1 0 0 0,-1-1 0 0 0,1 1 0 0 0,-1-1 1 0 0,1 1-1 0 0,0-1 0 0 0,-1 1 0 0 0,1-1 1 0 0,0 0-1 0 0,0 1 0 0 0,-1-1 0 0 0,1-1 0 0 0,0 2-10 0 0,0-1-1 0 0,1 1 0 0 0,-1-1 0 0 0,0 1 0 0 0,1-1 1 0 0,-1 1-1 0 0,1-1 0 0 0,-1 1 0 0 0,0 0 1 0 0,1-1-1 0 0,-1 1 0 0 0,1 0 0 0 0,-1-1 0 0 0,1 1 1 0 0,-1 0-1 0 0,1-1 0 0 0,-1 1 0 0 0,1 0 0 0 0,0 0 1 0 0,0 0-1 0 0,32-6-138 0 0,-32 6 182 0 0,511-47 4089 0 0,82-9-2337 0 0,-386 26-1978 0 0,-157 19-501 0 0,-1-1 0 0 0,52-21 0 0 0,-94 30 157 0 0,-1 0 1 0 0,0-1-1 0 0,0 0 1 0 0,0 0-1 0 0,0 0 0 0 0,-1-1 1 0 0,0 0-1 0 0,0-1 1 0 0,0 1-1 0 0,6-8 1 0 0,-10 11 350 0 0,-1-1 0 0 0,1 1 1 0 0,-1-1-1 0 0,1 1 1 0 0,-1-1-1 0 0,0 1 1 0 0,0-1-1 0 0,0 1 1 0 0,0-1-1 0 0,-1 0 0 0 0,1 0 1 0 0,-1 1-1 0 0,1-1 1 0 0,-1 0-1 0 0,0 0 1 0 0,0 0-1 0 0,0 1 1 0 0,-1-1-1 0 0,1 0 0 0 0,-1 0 1 0 0,1 0-1 0 0,-1 1 1 0 0,0-1-1 0 0,0 1 1 0 0,0-1-1 0 0,-1 0 1 0 0,1 1-1 0 0,0 0 0 0 0,-1-1 1 0 0,0 1-1 0 0,1 0 1 0 0,-3-3-1 0 0,-10-7 257 0 0,1 0-1 0 0,-2 1 0 0 0,1 0 1 0 0,-2 2-1 0 0,1-1 1 0 0,-1 2-1 0 0,-19-8 1 0 0,-6-4 94 0 0,9 3 354 0 0,-1 1 0 0 0,0 2 0 0 0,-1 1-1 0 0,-1 2 1 0 0,0 1 0 0 0,0 2 0 0 0,-1 1-1 0 0,0 2 1 0 0,-51-1 0 0 0,48 7 1304 0 0,-52 8-1 0 0,302-48 1815 0 0,36-5-3161 0 0,-202 38-519 0 0,1 3 0 0 0,-1 2-1 0 0,67 6 1 0 0,-96-4 20 0 0,-1 1 0 0 0,0 1 0 0 0,0 1-1 0 0,-1 0 1 0 0,1 1 0 0 0,-1 1 0 0 0,0 0-1 0 0,0 1 1 0 0,-1 0 0 0 0,0 1-1 0 0,0 0 1 0 0,-1 1 0 0 0,0 1 0 0 0,0 0-1 0 0,-1 0 1 0 0,-1 1 0 0 0,0 1 0 0 0,0 0-1 0 0,-1 0 1 0 0,-1 1 0 0 0,0 0-1 0 0,0 0 1 0 0,-1 1 0 0 0,-1 0 0 0 0,-1 0-1 0 0,0 0 1 0 0,0 1 0 0 0,-2 0 0 0 0,4 27-1 0 0,-6-24 60 0 0,-1-1 0 0 0,0 0-1 0 0,-2 1 1 0 0,0-1-1 0 0,-1 0 1 0 0,0 0 0 0 0,-1 0-1 0 0,-1 0 1 0 0,-1-1-1 0 0,-1 1 1 0 0,0-2 0 0 0,-1 1-1 0 0,-10 15 1 0 0,-16 18 151 0 0,-2 0 0 0 0,-59 61 1 0 0,62-73-121 0 0,-31 33-42 0 0,0-1-1280 0 0,-104 147-1 0 0,89-86-2256 0 0,30-37-2991 0 0,32-57 3080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44B9-0D2E-4144-A969-4AD325DE23CF}">
  <dimension ref="A1:A5"/>
  <sheetViews>
    <sheetView workbookViewId="0">
      <selection activeCell="F25" sqref="F25"/>
    </sheetView>
  </sheetViews>
  <sheetFormatPr baseColWidth="10" defaultColWidth="10.6640625" defaultRowHeight="16" x14ac:dyDescent="0.2"/>
  <sheetData>
    <row r="1" spans="1:1" x14ac:dyDescent="0.2">
      <c r="A1" s="1" t="s">
        <v>29</v>
      </c>
    </row>
    <row r="3" spans="1:1" x14ac:dyDescent="0.2">
      <c r="A3" s="1" t="s">
        <v>27</v>
      </c>
    </row>
    <row r="5" spans="1:1" x14ac:dyDescent="0.2">
      <c r="A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A728-33C5-2348-928C-535AB84CBFB2}">
  <dimension ref="A2:H95"/>
  <sheetViews>
    <sheetView tabSelected="1" zoomScale="150" zoomScaleNormal="150" workbookViewId="0">
      <selection activeCell="G86" sqref="G86"/>
    </sheetView>
  </sheetViews>
  <sheetFormatPr baseColWidth="10" defaultColWidth="10.6640625" defaultRowHeight="16" x14ac:dyDescent="0.2"/>
  <cols>
    <col min="1" max="1" width="18.5" customWidth="1"/>
    <col min="2" max="2" width="15" bestFit="1" customWidth="1"/>
    <col min="4" max="4" width="14" bestFit="1" customWidth="1"/>
    <col min="7" max="7" width="22.1640625" customWidth="1"/>
    <col min="11" max="11" width="14" bestFit="1" customWidth="1"/>
  </cols>
  <sheetData>
    <row r="2" spans="1:4" x14ac:dyDescent="0.2">
      <c r="A2" s="1" t="s">
        <v>0</v>
      </c>
      <c r="B2" s="1"/>
    </row>
    <row r="3" spans="1:4" x14ac:dyDescent="0.2">
      <c r="A3" t="s">
        <v>4</v>
      </c>
      <c r="B3">
        <v>0</v>
      </c>
    </row>
    <row r="4" spans="1:4" x14ac:dyDescent="0.2">
      <c r="A4" t="s">
        <v>9</v>
      </c>
      <c r="B4">
        <v>0</v>
      </c>
    </row>
    <row r="5" spans="1:4" x14ac:dyDescent="0.2">
      <c r="A5" t="s">
        <v>10</v>
      </c>
      <c r="B5">
        <f>B3+B4</f>
        <v>0</v>
      </c>
    </row>
    <row r="6" spans="1:4" x14ac:dyDescent="0.2">
      <c r="A6" s="2" t="s">
        <v>1</v>
      </c>
      <c r="B6" s="6" t="s">
        <v>2</v>
      </c>
      <c r="C6" s="6" t="s">
        <v>3</v>
      </c>
    </row>
    <row r="7" spans="1:4" x14ac:dyDescent="0.2">
      <c r="A7" t="s">
        <v>5</v>
      </c>
      <c r="B7">
        <v>400</v>
      </c>
      <c r="C7" s="4">
        <f>B7/B$11</f>
        <v>0.30769230769230771</v>
      </c>
      <c r="D7" t="str">
        <f ca="1">_xlfn.FORMULATEXT(C7)</f>
        <v>=B7/B$11</v>
      </c>
    </row>
    <row r="8" spans="1:4" x14ac:dyDescent="0.2">
      <c r="A8" t="s">
        <v>6</v>
      </c>
      <c r="B8">
        <v>400</v>
      </c>
      <c r="C8" s="4">
        <f t="shared" ref="C8:C10" si="0">B8/B$11</f>
        <v>0.30769230769230771</v>
      </c>
    </row>
    <row r="9" spans="1:4" x14ac:dyDescent="0.2">
      <c r="A9" t="s">
        <v>7</v>
      </c>
      <c r="B9">
        <v>300</v>
      </c>
      <c r="C9" s="4">
        <f t="shared" si="0"/>
        <v>0.23076923076923078</v>
      </c>
    </row>
    <row r="10" spans="1:4" x14ac:dyDescent="0.2">
      <c r="A10" t="s">
        <v>8</v>
      </c>
      <c r="B10">
        <v>200</v>
      </c>
      <c r="C10" s="4">
        <f t="shared" si="0"/>
        <v>0.15384615384615385</v>
      </c>
    </row>
    <row r="11" spans="1:4" x14ac:dyDescent="0.2">
      <c r="A11" s="3" t="s">
        <v>11</v>
      </c>
      <c r="B11" s="3">
        <f>SUM(B7:B10)</f>
        <v>1300</v>
      </c>
      <c r="C11" s="5"/>
    </row>
    <row r="14" spans="1:4" x14ac:dyDescent="0.2">
      <c r="A14" s="1" t="s">
        <v>12</v>
      </c>
      <c r="B14" s="1" t="s">
        <v>13</v>
      </c>
    </row>
    <row r="15" spans="1:4" x14ac:dyDescent="0.2">
      <c r="A15" t="s">
        <v>4</v>
      </c>
      <c r="B15">
        <v>0</v>
      </c>
    </row>
    <row r="16" spans="1:4" x14ac:dyDescent="0.2">
      <c r="A16" t="s">
        <v>9</v>
      </c>
      <c r="B16">
        <v>0</v>
      </c>
    </row>
    <row r="17" spans="1:7" x14ac:dyDescent="0.2">
      <c r="A17" t="s">
        <v>10</v>
      </c>
      <c r="B17">
        <f>B15+B16</f>
        <v>0</v>
      </c>
    </row>
    <row r="18" spans="1:7" x14ac:dyDescent="0.2">
      <c r="A18" s="2" t="s">
        <v>1</v>
      </c>
      <c r="B18" s="6" t="s">
        <v>2</v>
      </c>
      <c r="C18" s="6" t="s">
        <v>3</v>
      </c>
    </row>
    <row r="19" spans="1:7" x14ac:dyDescent="0.2">
      <c r="A19" t="s">
        <v>5</v>
      </c>
      <c r="B19">
        <v>400</v>
      </c>
      <c r="C19" s="4">
        <f>B19/$B$26</f>
        <v>0.28985507246376813</v>
      </c>
    </row>
    <row r="20" spans="1:7" x14ac:dyDescent="0.2">
      <c r="A20" t="s">
        <v>6</v>
      </c>
      <c r="B20">
        <v>400</v>
      </c>
      <c r="C20" s="4">
        <f t="shared" ref="C20:C25" si="1">B20/$B$26</f>
        <v>0.28985507246376813</v>
      </c>
    </row>
    <row r="21" spans="1:7" x14ac:dyDescent="0.2">
      <c r="A21" t="s">
        <v>7</v>
      </c>
      <c r="B21">
        <v>300</v>
      </c>
      <c r="C21" s="4">
        <f t="shared" si="1"/>
        <v>0.21739130434782608</v>
      </c>
    </row>
    <row r="22" spans="1:7" x14ac:dyDescent="0.2">
      <c r="A22" t="s">
        <v>8</v>
      </c>
      <c r="B22">
        <v>200</v>
      </c>
      <c r="C22" s="4">
        <f t="shared" si="1"/>
        <v>0.14492753623188406</v>
      </c>
    </row>
    <row r="23" spans="1:7" x14ac:dyDescent="0.2">
      <c r="A23" s="35" t="s">
        <v>14</v>
      </c>
      <c r="B23" s="35">
        <v>30</v>
      </c>
      <c r="C23" s="36">
        <f t="shared" si="1"/>
        <v>2.1739130434782608E-2</v>
      </c>
    </row>
    <row r="24" spans="1:7" x14ac:dyDescent="0.2">
      <c r="A24" s="37" t="s">
        <v>15</v>
      </c>
      <c r="B24" s="37">
        <v>25</v>
      </c>
      <c r="C24" s="38">
        <f t="shared" si="1"/>
        <v>1.8115942028985508E-2</v>
      </c>
    </row>
    <row r="25" spans="1:7" x14ac:dyDescent="0.2">
      <c r="A25" s="39" t="s">
        <v>16</v>
      </c>
      <c r="B25" s="39">
        <v>25</v>
      </c>
      <c r="C25" s="40">
        <f t="shared" si="1"/>
        <v>1.8115942028985508E-2</v>
      </c>
    </row>
    <row r="26" spans="1:7" x14ac:dyDescent="0.2">
      <c r="A26" s="3" t="s">
        <v>11</v>
      </c>
      <c r="B26" s="3">
        <f>SUM(B19:B25)</f>
        <v>1380</v>
      </c>
      <c r="C26" s="5">
        <f>SUM(C19:C25)</f>
        <v>0.99999999999999989</v>
      </c>
    </row>
    <row r="27" spans="1:7" x14ac:dyDescent="0.2">
      <c r="G27" s="12"/>
    </row>
    <row r="29" spans="1:7" x14ac:dyDescent="0.2">
      <c r="A29" s="1" t="s">
        <v>17</v>
      </c>
      <c r="B29" s="1"/>
    </row>
    <row r="30" spans="1:7" x14ac:dyDescent="0.2">
      <c r="A30" t="s">
        <v>4</v>
      </c>
      <c r="B30" s="8">
        <v>500000</v>
      </c>
      <c r="C30" s="7"/>
    </row>
    <row r="31" spans="1:7" x14ac:dyDescent="0.2">
      <c r="A31" t="s">
        <v>9</v>
      </c>
      <c r="B31">
        <v>3000000</v>
      </c>
      <c r="C31" s="14">
        <f>B31/B26</f>
        <v>2173.913043478261</v>
      </c>
      <c r="D31" t="s">
        <v>19</v>
      </c>
    </row>
    <row r="32" spans="1:7" x14ac:dyDescent="0.2">
      <c r="A32" t="s">
        <v>10</v>
      </c>
      <c r="B32" s="8">
        <f>B31+B30</f>
        <v>3500000</v>
      </c>
      <c r="C32" s="14">
        <f>B32/B42</f>
        <v>2173.913043478261</v>
      </c>
      <c r="D32" t="s">
        <v>19</v>
      </c>
    </row>
    <row r="33" spans="1:6" x14ac:dyDescent="0.2">
      <c r="A33" s="9" t="s">
        <v>1</v>
      </c>
      <c r="B33" s="10" t="s">
        <v>2</v>
      </c>
      <c r="C33" s="10" t="s">
        <v>3</v>
      </c>
    </row>
    <row r="34" spans="1:6" x14ac:dyDescent="0.2">
      <c r="A34" s="13" t="s">
        <v>18</v>
      </c>
      <c r="B34" s="21">
        <v>230</v>
      </c>
      <c r="C34" s="11">
        <f t="shared" ref="C34:C41" si="2">B34/$B$42</f>
        <v>0.14285714285714285</v>
      </c>
    </row>
    <row r="35" spans="1:6" x14ac:dyDescent="0.2">
      <c r="A35" t="s">
        <v>5</v>
      </c>
      <c r="B35">
        <v>400</v>
      </c>
      <c r="C35" s="11">
        <f t="shared" si="2"/>
        <v>0.2484472049689441</v>
      </c>
    </row>
    <row r="36" spans="1:6" x14ac:dyDescent="0.2">
      <c r="A36" t="s">
        <v>6</v>
      </c>
      <c r="B36">
        <v>400</v>
      </c>
      <c r="C36" s="11">
        <f t="shared" si="2"/>
        <v>0.2484472049689441</v>
      </c>
    </row>
    <row r="37" spans="1:6" x14ac:dyDescent="0.2">
      <c r="A37" t="s">
        <v>7</v>
      </c>
      <c r="B37">
        <v>300</v>
      </c>
      <c r="C37" s="11">
        <f t="shared" si="2"/>
        <v>0.18633540372670807</v>
      </c>
    </row>
    <row r="38" spans="1:6" x14ac:dyDescent="0.2">
      <c r="A38" t="s">
        <v>8</v>
      </c>
      <c r="B38">
        <v>200</v>
      </c>
      <c r="C38" s="11">
        <f t="shared" si="2"/>
        <v>0.12422360248447205</v>
      </c>
    </row>
    <row r="39" spans="1:6" x14ac:dyDescent="0.2">
      <c r="A39" t="s">
        <v>14</v>
      </c>
      <c r="B39">
        <f>B23</f>
        <v>30</v>
      </c>
      <c r="C39" s="11">
        <f t="shared" si="2"/>
        <v>1.8633540372670808E-2</v>
      </c>
    </row>
    <row r="40" spans="1:6" x14ac:dyDescent="0.2">
      <c r="A40" t="s">
        <v>15</v>
      </c>
      <c r="B40">
        <f>B24</f>
        <v>25</v>
      </c>
      <c r="C40" s="11">
        <f t="shared" si="2"/>
        <v>1.5527950310559006E-2</v>
      </c>
    </row>
    <row r="41" spans="1:6" x14ac:dyDescent="0.2">
      <c r="A41" t="s">
        <v>16</v>
      </c>
      <c r="B41">
        <f>B25</f>
        <v>25</v>
      </c>
      <c r="C41" s="11">
        <f t="shared" si="2"/>
        <v>1.5527950310559006E-2</v>
      </c>
    </row>
    <row r="42" spans="1:6" x14ac:dyDescent="0.2">
      <c r="A42" s="3" t="s">
        <v>11</v>
      </c>
      <c r="B42" s="3">
        <f>SUM(B34:B41)</f>
        <v>1610</v>
      </c>
      <c r="C42" s="5">
        <f>SUM(C34:C41)</f>
        <v>1</v>
      </c>
    </row>
    <row r="45" spans="1:6" x14ac:dyDescent="0.2">
      <c r="A45" s="1" t="s">
        <v>20</v>
      </c>
      <c r="B45" s="1"/>
    </row>
    <row r="46" spans="1:6" x14ac:dyDescent="0.2">
      <c r="A46" t="s">
        <v>4</v>
      </c>
      <c r="B46" s="8">
        <v>2500000</v>
      </c>
      <c r="C46" s="7"/>
      <c r="E46">
        <f>35000000/(1.3)^5</f>
        <v>9426517.6020016521</v>
      </c>
      <c r="F46" t="str">
        <f ca="1">_xlfn.FORMULATEXT(E46)</f>
        <v>=35000000/(1.3)^5</v>
      </c>
    </row>
    <row r="47" spans="1:6" x14ac:dyDescent="0.2">
      <c r="A47" t="s">
        <v>9</v>
      </c>
      <c r="B47" s="15">
        <f>35000000/(1.3)^5</f>
        <v>9426517.6020016521</v>
      </c>
      <c r="C47" s="14">
        <f>B47/B42</f>
        <v>5854.9798770196594</v>
      </c>
      <c r="D47" t="s">
        <v>19</v>
      </c>
      <c r="E47" s="18"/>
    </row>
    <row r="48" spans="1:6" x14ac:dyDescent="0.2">
      <c r="A48" t="s">
        <v>10</v>
      </c>
      <c r="B48" s="14">
        <f>B46+B47</f>
        <v>11926517.602001652</v>
      </c>
      <c r="C48" s="14">
        <f>B48/B59</f>
        <v>5854.9423672074872</v>
      </c>
      <c r="D48" t="s">
        <v>19</v>
      </c>
      <c r="E48" s="18"/>
    </row>
    <row r="49" spans="1:4" x14ac:dyDescent="0.2">
      <c r="A49" s="9" t="s">
        <v>1</v>
      </c>
      <c r="B49" s="10" t="s">
        <v>2</v>
      </c>
      <c r="C49" s="10" t="s">
        <v>3</v>
      </c>
    </row>
    <row r="50" spans="1:4" x14ac:dyDescent="0.2">
      <c r="A50" s="16" t="s">
        <v>20</v>
      </c>
      <c r="B50" s="23">
        <v>427</v>
      </c>
      <c r="C50" s="20">
        <f t="shared" ref="C50:C58" si="3">B50/$B$59</f>
        <v>0.20962199312714777</v>
      </c>
    </row>
    <row r="51" spans="1:4" x14ac:dyDescent="0.2">
      <c r="A51" s="13" t="s">
        <v>18</v>
      </c>
      <c r="B51" s="21">
        <f>B34</f>
        <v>230</v>
      </c>
      <c r="C51" s="29">
        <f t="shared" si="3"/>
        <v>0.11291114383897889</v>
      </c>
    </row>
    <row r="52" spans="1:4" x14ac:dyDescent="0.2">
      <c r="A52" t="s">
        <v>5</v>
      </c>
      <c r="B52">
        <v>400</v>
      </c>
      <c r="C52" s="19">
        <f t="shared" si="3"/>
        <v>0.19636720667648502</v>
      </c>
    </row>
    <row r="53" spans="1:4" x14ac:dyDescent="0.2">
      <c r="A53" t="s">
        <v>6</v>
      </c>
      <c r="B53">
        <v>400</v>
      </c>
      <c r="C53" s="19">
        <f t="shared" si="3"/>
        <v>0.19636720667648502</v>
      </c>
    </row>
    <row r="54" spans="1:4" x14ac:dyDescent="0.2">
      <c r="A54" t="s">
        <v>7</v>
      </c>
      <c r="B54">
        <v>300</v>
      </c>
      <c r="C54" s="19">
        <f t="shared" si="3"/>
        <v>0.14727540500736377</v>
      </c>
    </row>
    <row r="55" spans="1:4" x14ac:dyDescent="0.2">
      <c r="A55" t="s">
        <v>8</v>
      </c>
      <c r="B55">
        <v>200</v>
      </c>
      <c r="C55" s="19">
        <f t="shared" si="3"/>
        <v>9.8183603338242512E-2</v>
      </c>
    </row>
    <row r="56" spans="1:4" x14ac:dyDescent="0.2">
      <c r="A56" t="s">
        <v>14</v>
      </c>
      <c r="B56">
        <v>30</v>
      </c>
      <c r="C56" s="19">
        <f t="shared" si="3"/>
        <v>1.4727540500736377E-2</v>
      </c>
    </row>
    <row r="57" spans="1:4" x14ac:dyDescent="0.2">
      <c r="A57" t="s">
        <v>15</v>
      </c>
      <c r="B57">
        <v>25</v>
      </c>
      <c r="C57" s="19">
        <f t="shared" si="3"/>
        <v>1.2272950417280314E-2</v>
      </c>
    </row>
    <row r="58" spans="1:4" x14ac:dyDescent="0.2">
      <c r="A58" t="s">
        <v>16</v>
      </c>
      <c r="B58">
        <v>25</v>
      </c>
      <c r="C58" s="19">
        <f t="shared" si="3"/>
        <v>1.2272950417280314E-2</v>
      </c>
    </row>
    <row r="59" spans="1:4" x14ac:dyDescent="0.2">
      <c r="A59" s="3" t="s">
        <v>11</v>
      </c>
      <c r="B59" s="17">
        <f>SUM(B50:B58)</f>
        <v>2037</v>
      </c>
      <c r="C59" s="5">
        <f>SUM(C50:C58)</f>
        <v>0.99999999999999989</v>
      </c>
    </row>
    <row r="62" spans="1:4" x14ac:dyDescent="0.2">
      <c r="A62" s="1" t="s">
        <v>21</v>
      </c>
      <c r="B62" s="1"/>
    </row>
    <row r="63" spans="1:4" x14ac:dyDescent="0.2">
      <c r="A63" t="s">
        <v>4</v>
      </c>
      <c r="B63" s="8">
        <v>3000000</v>
      </c>
      <c r="C63" s="7"/>
    </row>
    <row r="64" spans="1:4" x14ac:dyDescent="0.2">
      <c r="A64" t="s">
        <v>9</v>
      </c>
      <c r="B64" s="15">
        <f>B65-B63</f>
        <v>7000000</v>
      </c>
      <c r="C64" s="14">
        <f>B64/B59</f>
        <v>3436.4261168384878</v>
      </c>
      <c r="D64" t="s">
        <v>19</v>
      </c>
    </row>
    <row r="65" spans="1:8" x14ac:dyDescent="0.2">
      <c r="A65" t="s">
        <v>10</v>
      </c>
      <c r="B65" s="14">
        <f>B63/0.3</f>
        <v>10000000</v>
      </c>
      <c r="C65" s="14"/>
      <c r="D65" t="s">
        <v>19</v>
      </c>
      <c r="E65" s="18"/>
    </row>
    <row r="66" spans="1:8" x14ac:dyDescent="0.2">
      <c r="A66" s="9" t="s">
        <v>1</v>
      </c>
      <c r="B66" s="10" t="s">
        <v>2</v>
      </c>
      <c r="C66" s="10" t="s">
        <v>3</v>
      </c>
    </row>
    <row r="67" spans="1:8" x14ac:dyDescent="0.2">
      <c r="A67" s="22" t="s">
        <v>21</v>
      </c>
      <c r="B67" s="24">
        <f>B63/C64</f>
        <v>873</v>
      </c>
      <c r="C67" s="26">
        <f t="shared" ref="C67:C76" si="4">B67/$B$77</f>
        <v>0.3</v>
      </c>
      <c r="H67" s="25"/>
    </row>
    <row r="68" spans="1:8" x14ac:dyDescent="0.2">
      <c r="A68" s="16" t="s">
        <v>20</v>
      </c>
      <c r="B68" s="23">
        <f>B50</f>
        <v>427</v>
      </c>
      <c r="C68" s="28">
        <f t="shared" si="4"/>
        <v>0.14673539518900344</v>
      </c>
    </row>
    <row r="69" spans="1:8" x14ac:dyDescent="0.2">
      <c r="A69" s="13" t="s">
        <v>18</v>
      </c>
      <c r="B69" s="21">
        <f>B51</f>
        <v>230</v>
      </c>
      <c r="C69" s="30">
        <f t="shared" si="4"/>
        <v>7.903780068728522E-2</v>
      </c>
    </row>
    <row r="70" spans="1:8" x14ac:dyDescent="0.2">
      <c r="A70" t="s">
        <v>5</v>
      </c>
      <c r="B70">
        <v>400</v>
      </c>
      <c r="C70" s="27">
        <f t="shared" si="4"/>
        <v>0.13745704467353953</v>
      </c>
    </row>
    <row r="71" spans="1:8" x14ac:dyDescent="0.2">
      <c r="A71" t="s">
        <v>6</v>
      </c>
      <c r="B71">
        <v>400</v>
      </c>
      <c r="C71" s="27">
        <f t="shared" si="4"/>
        <v>0.13745704467353953</v>
      </c>
    </row>
    <row r="72" spans="1:8" x14ac:dyDescent="0.2">
      <c r="A72" t="s">
        <v>7</v>
      </c>
      <c r="B72">
        <v>300</v>
      </c>
      <c r="C72" s="27">
        <f t="shared" si="4"/>
        <v>0.10309278350515463</v>
      </c>
    </row>
    <row r="73" spans="1:8" x14ac:dyDescent="0.2">
      <c r="A73" t="s">
        <v>8</v>
      </c>
      <c r="B73">
        <v>200</v>
      </c>
      <c r="C73" s="27">
        <f t="shared" si="4"/>
        <v>6.8728522336769765E-2</v>
      </c>
    </row>
    <row r="74" spans="1:8" x14ac:dyDescent="0.2">
      <c r="A74" t="s">
        <v>14</v>
      </c>
      <c r="B74">
        <v>30</v>
      </c>
      <c r="C74" s="27">
        <f t="shared" si="4"/>
        <v>1.0309278350515464E-2</v>
      </c>
    </row>
    <row r="75" spans="1:8" x14ac:dyDescent="0.2">
      <c r="A75" t="s">
        <v>15</v>
      </c>
      <c r="B75">
        <v>25</v>
      </c>
      <c r="C75" s="27">
        <f t="shared" si="4"/>
        <v>8.5910652920962206E-3</v>
      </c>
    </row>
    <row r="76" spans="1:8" x14ac:dyDescent="0.2">
      <c r="A76" t="s">
        <v>16</v>
      </c>
      <c r="B76">
        <v>25</v>
      </c>
      <c r="C76" s="27">
        <f t="shared" si="4"/>
        <v>8.5910652920962206E-3</v>
      </c>
    </row>
    <row r="77" spans="1:8" x14ac:dyDescent="0.2">
      <c r="A77" s="3" t="s">
        <v>11</v>
      </c>
      <c r="B77" s="17">
        <f>SUM(B67:B76)</f>
        <v>2910</v>
      </c>
      <c r="C77" s="5">
        <f>SUM(C67:C76)</f>
        <v>0.99999999999999967</v>
      </c>
    </row>
    <row r="80" spans="1:8" x14ac:dyDescent="0.2">
      <c r="A80" s="32" t="s">
        <v>22</v>
      </c>
      <c r="B80" s="32"/>
      <c r="C80" s="33"/>
      <c r="D80" s="33"/>
      <c r="E80" s="33"/>
      <c r="F80" s="33"/>
    </row>
    <row r="81" spans="1:6" x14ac:dyDescent="0.2">
      <c r="A81" t="s">
        <v>23</v>
      </c>
      <c r="B81" s="8">
        <v>25000000</v>
      </c>
      <c r="C81" s="7"/>
    </row>
    <row r="82" spans="1:6" x14ac:dyDescent="0.2">
      <c r="A82" t="s">
        <v>19</v>
      </c>
      <c r="B82" s="15">
        <f>B81/B77</f>
        <v>8591.0652920962202</v>
      </c>
      <c r="C82" s="14"/>
    </row>
    <row r="83" spans="1:6" x14ac:dyDescent="0.2">
      <c r="B83" s="14"/>
      <c r="C83" s="14"/>
      <c r="E83" s="18"/>
    </row>
    <row r="84" spans="1:6" ht="34" x14ac:dyDescent="0.2">
      <c r="A84" s="9" t="s">
        <v>1</v>
      </c>
      <c r="B84" s="10" t="s">
        <v>2</v>
      </c>
      <c r="C84" s="10" t="s">
        <v>3</v>
      </c>
      <c r="D84" s="33" t="s">
        <v>24</v>
      </c>
      <c r="E84" s="34" t="s">
        <v>25</v>
      </c>
      <c r="F84" s="34" t="s">
        <v>26</v>
      </c>
    </row>
    <row r="85" spans="1:6" x14ac:dyDescent="0.2">
      <c r="A85" s="22" t="s">
        <v>21</v>
      </c>
      <c r="B85" s="24">
        <f>B67</f>
        <v>873</v>
      </c>
      <c r="C85" s="26">
        <f>B85/$B$95</f>
        <v>0.3</v>
      </c>
      <c r="D85" s="14">
        <f>C85*$B$81</f>
        <v>7500000</v>
      </c>
      <c r="E85" s="8">
        <f>B63</f>
        <v>3000000</v>
      </c>
      <c r="F85" s="31">
        <f>D85/E85</f>
        <v>2.5</v>
      </c>
    </row>
    <row r="86" spans="1:6" x14ac:dyDescent="0.2">
      <c r="A86" s="16" t="s">
        <v>20</v>
      </c>
      <c r="B86" s="23">
        <v>427</v>
      </c>
      <c r="C86" s="28">
        <f t="shared" ref="C86:C94" si="5">B86/$B$95</f>
        <v>0.14673539518900344</v>
      </c>
      <c r="D86" s="14">
        <f t="shared" ref="D86:D94" si="6">C86*$B$81</f>
        <v>3668384.879725086</v>
      </c>
      <c r="E86" s="8">
        <f>B46</f>
        <v>2500000</v>
      </c>
      <c r="F86" s="31">
        <f t="shared" ref="F86:F87" si="7">D86/E86</f>
        <v>1.4673539518900345</v>
      </c>
    </row>
    <row r="87" spans="1:6" x14ac:dyDescent="0.2">
      <c r="A87" s="13" t="s">
        <v>18</v>
      </c>
      <c r="B87" s="21">
        <v>230</v>
      </c>
      <c r="C87" s="30">
        <f t="shared" si="5"/>
        <v>7.903780068728522E-2</v>
      </c>
      <c r="D87" s="14">
        <f t="shared" si="6"/>
        <v>1975945.0171821306</v>
      </c>
      <c r="E87" s="8">
        <f>B30</f>
        <v>500000</v>
      </c>
      <c r="F87" s="31">
        <f t="shared" si="7"/>
        <v>3.9518900343642613</v>
      </c>
    </row>
    <row r="88" spans="1:6" x14ac:dyDescent="0.2">
      <c r="A88" t="s">
        <v>5</v>
      </c>
      <c r="B88">
        <v>400</v>
      </c>
      <c r="C88" s="27">
        <f t="shared" si="5"/>
        <v>0.13745704467353953</v>
      </c>
      <c r="D88" s="14">
        <f t="shared" si="6"/>
        <v>3436426.1168384883</v>
      </c>
    </row>
    <row r="89" spans="1:6" x14ac:dyDescent="0.2">
      <c r="A89" t="s">
        <v>6</v>
      </c>
      <c r="B89">
        <v>400</v>
      </c>
      <c r="C89" s="27">
        <f t="shared" si="5"/>
        <v>0.13745704467353953</v>
      </c>
      <c r="D89" s="14">
        <f t="shared" si="6"/>
        <v>3436426.1168384883</v>
      </c>
    </row>
    <row r="90" spans="1:6" x14ac:dyDescent="0.2">
      <c r="A90" t="s">
        <v>7</v>
      </c>
      <c r="B90">
        <v>300</v>
      </c>
      <c r="C90" s="27">
        <f t="shared" si="5"/>
        <v>0.10309278350515463</v>
      </c>
      <c r="D90" s="14">
        <f t="shared" si="6"/>
        <v>2577319.5876288656</v>
      </c>
    </row>
    <row r="91" spans="1:6" x14ac:dyDescent="0.2">
      <c r="A91" t="s">
        <v>8</v>
      </c>
      <c r="B91">
        <v>200</v>
      </c>
      <c r="C91" s="27">
        <f t="shared" si="5"/>
        <v>6.8728522336769765E-2</v>
      </c>
      <c r="D91" s="14">
        <f t="shared" si="6"/>
        <v>1718213.0584192441</v>
      </c>
    </row>
    <row r="92" spans="1:6" x14ac:dyDescent="0.2">
      <c r="A92" t="s">
        <v>14</v>
      </c>
      <c r="B92">
        <v>30</v>
      </c>
      <c r="C92" s="27">
        <f t="shared" si="5"/>
        <v>1.0309278350515464E-2</v>
      </c>
      <c r="D92" s="14">
        <f t="shared" si="6"/>
        <v>257731.95876288658</v>
      </c>
    </row>
    <row r="93" spans="1:6" x14ac:dyDescent="0.2">
      <c r="A93" t="s">
        <v>15</v>
      </c>
      <c r="B93">
        <v>25</v>
      </c>
      <c r="C93" s="27">
        <f t="shared" si="5"/>
        <v>8.5910652920962206E-3</v>
      </c>
      <c r="D93" s="14">
        <f t="shared" si="6"/>
        <v>214776.63230240552</v>
      </c>
    </row>
    <row r="94" spans="1:6" x14ac:dyDescent="0.2">
      <c r="A94" t="s">
        <v>16</v>
      </c>
      <c r="B94">
        <v>25</v>
      </c>
      <c r="C94" s="27">
        <f t="shared" si="5"/>
        <v>8.5910652920962206E-3</v>
      </c>
      <c r="D94" s="14">
        <f t="shared" si="6"/>
        <v>214776.63230240552</v>
      </c>
    </row>
    <row r="95" spans="1:6" x14ac:dyDescent="0.2">
      <c r="A95" s="3" t="s">
        <v>11</v>
      </c>
      <c r="B95" s="17">
        <f>SUM(B85:B94)</f>
        <v>2910</v>
      </c>
      <c r="C95" s="5">
        <f>SUM(C85:C94)</f>
        <v>0.99999999999999967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Cap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2024-11-12T19:33:48Z</dcterms:created>
  <dcterms:modified xsi:type="dcterms:W3CDTF">2025-11-17T03:06:56Z</dcterms:modified>
</cp:coreProperties>
</file>