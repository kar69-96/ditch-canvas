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Course Materials/"/>
    </mc:Choice>
  </mc:AlternateContent>
  <xr:revisionPtr revIDLastSave="0" documentId="8_{0E1BDCF4-6A4A-314F-9E8A-91B670514F56}" xr6:coauthVersionLast="47" xr6:coauthVersionMax="47" xr10:uidLastSave="{00000000-0000-0000-0000-000000000000}"/>
  <bookViews>
    <workbookView xWindow="9220" yWindow="1900" windowWidth="17940" windowHeight="10200" activeTab="1" xr2:uid="{26288C73-BEB5-B647-A412-D9CD69605BCE}"/>
  </bookViews>
  <sheets>
    <sheet name="RVC Cover" sheetId="2" r:id="rId1"/>
    <sheet name="Cap Table" sheetId="1" r:id="rId2"/>
  </sheets>
  <definedNames>
    <definedName name="ACapital">'Cap Table'!$D$63</definedName>
    <definedName name="AngelCapital">'Cap Table'!$D$45</definedName>
    <definedName name="BCapital">'Cap Table'!$D$83</definedName>
    <definedName name="SeedCapital">'Cap Table'!$D$29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F30" i="1"/>
  <c r="D30" i="1"/>
  <c r="C135" i="1" l="1"/>
  <c r="C136" i="1" s="1"/>
  <c r="C137" i="1" s="1"/>
  <c r="C138" i="1" s="1"/>
  <c r="C139" i="1" s="1"/>
  <c r="C140" i="1" s="1"/>
  <c r="C141" i="1" s="1"/>
  <c r="C142" i="1" s="1"/>
  <c r="C134" i="1"/>
  <c r="E132" i="1"/>
  <c r="F132" i="1" s="1"/>
  <c r="G132" i="1" s="1"/>
  <c r="H132" i="1" s="1"/>
  <c r="I132" i="1" s="1"/>
  <c r="F116" i="1"/>
  <c r="F115" i="1"/>
  <c r="F114" i="1"/>
  <c r="F113" i="1"/>
  <c r="C113" i="1"/>
  <c r="D104" i="1"/>
  <c r="C104" i="1"/>
  <c r="C92" i="1"/>
  <c r="C114" i="1" s="1"/>
  <c r="E88" i="1"/>
  <c r="D85" i="1"/>
  <c r="D84" i="1" s="1"/>
  <c r="D79" i="1"/>
  <c r="D103" i="1" s="1"/>
  <c r="C79" i="1"/>
  <c r="C103" i="1" s="1"/>
  <c r="C69" i="1"/>
  <c r="C93" i="1" s="1"/>
  <c r="C115" i="1" s="1"/>
  <c r="E68" i="1"/>
  <c r="D65" i="1"/>
  <c r="D64" i="1" s="1"/>
  <c r="D59" i="1"/>
  <c r="D78" i="1" s="1"/>
  <c r="C59" i="1"/>
  <c r="C78" i="1" s="1"/>
  <c r="C102" i="1" s="1"/>
  <c r="C51" i="1"/>
  <c r="C70" i="1" s="1"/>
  <c r="C94" i="1" s="1"/>
  <c r="C116" i="1" s="1"/>
  <c r="E50" i="1"/>
  <c r="D47" i="1"/>
  <c r="D46" i="1" s="1"/>
  <c r="D41" i="1"/>
  <c r="C41" i="1"/>
  <c r="C58" i="1" s="1"/>
  <c r="C77" i="1" s="1"/>
  <c r="C101" i="1" s="1"/>
  <c r="C123" i="1" s="1"/>
  <c r="D40" i="1"/>
  <c r="D57" i="1" s="1"/>
  <c r="C40" i="1"/>
  <c r="C57" i="1" s="1"/>
  <c r="C76" i="1" s="1"/>
  <c r="C100" i="1" s="1"/>
  <c r="C122" i="1" s="1"/>
  <c r="D39" i="1"/>
  <c r="C39" i="1"/>
  <c r="C56" i="1" s="1"/>
  <c r="C75" i="1" s="1"/>
  <c r="C99" i="1" s="1"/>
  <c r="C121" i="1" s="1"/>
  <c r="C38" i="1"/>
  <c r="C55" i="1" s="1"/>
  <c r="C74" i="1" s="1"/>
  <c r="C98" i="1" s="1"/>
  <c r="C120" i="1" s="1"/>
  <c r="C37" i="1"/>
  <c r="C54" i="1" s="1"/>
  <c r="C73" i="1" s="1"/>
  <c r="C97" i="1" s="1"/>
  <c r="C119" i="1" s="1"/>
  <c r="C36" i="1"/>
  <c r="C53" i="1" s="1"/>
  <c r="C72" i="1" s="1"/>
  <c r="C96" i="1" s="1"/>
  <c r="C118" i="1" s="1"/>
  <c r="C35" i="1"/>
  <c r="C52" i="1" s="1"/>
  <c r="C71" i="1" s="1"/>
  <c r="C95" i="1" s="1"/>
  <c r="C117" i="1" s="1"/>
  <c r="E34" i="1"/>
  <c r="D31" i="1"/>
  <c r="D18" i="1"/>
  <c r="E14" i="1"/>
  <c r="F14" i="1" s="1"/>
  <c r="D13" i="1"/>
  <c r="D21" i="1" s="1"/>
  <c r="D38" i="1" s="1"/>
  <c r="D12" i="1"/>
  <c r="D20" i="1" s="1"/>
  <c r="D11" i="1"/>
  <c r="D19" i="1" s="1"/>
  <c r="F125" i="1" l="1"/>
  <c r="D55" i="1"/>
  <c r="D36" i="1"/>
  <c r="D76" i="1"/>
  <c r="D37" i="1"/>
  <c r="D25" i="1"/>
  <c r="E20" i="1" s="1"/>
  <c r="D56" i="1"/>
  <c r="D58" i="1"/>
  <c r="D102" i="1"/>
  <c r="D35" i="1"/>
  <c r="E19" i="1" l="1"/>
  <c r="D54" i="1"/>
  <c r="D53" i="1"/>
  <c r="E21" i="1"/>
  <c r="D74" i="1"/>
  <c r="D75" i="1"/>
  <c r="E24" i="1"/>
  <c r="E22" i="1"/>
  <c r="D34" i="1"/>
  <c r="E23" i="1"/>
  <c r="D52" i="1"/>
  <c r="E18" i="1"/>
  <c r="D100" i="1"/>
  <c r="D77" i="1"/>
  <c r="D98" i="1" l="1"/>
  <c r="D51" i="1"/>
  <c r="D43" i="1"/>
  <c r="D101" i="1"/>
  <c r="D72" i="1"/>
  <c r="D99" i="1"/>
  <c r="E25" i="1"/>
  <c r="F25" i="1" s="1"/>
  <c r="D73" i="1"/>
  <c r="D71" i="1"/>
  <c r="D95" i="1" l="1"/>
  <c r="D96" i="1"/>
  <c r="D97" i="1"/>
  <c r="E42" i="1"/>
  <c r="E40" i="1"/>
  <c r="D50" i="1"/>
  <c r="E38" i="1"/>
  <c r="E41" i="1"/>
  <c r="E39" i="1"/>
  <c r="E37" i="1"/>
  <c r="E36" i="1"/>
  <c r="E35" i="1"/>
  <c r="D70" i="1"/>
  <c r="E43" i="1" l="1"/>
  <c r="F43" i="1" s="1"/>
  <c r="D69" i="1"/>
  <c r="D61" i="1"/>
  <c r="D94" i="1"/>
  <c r="D93" i="1" l="1"/>
  <c r="D68" i="1"/>
  <c r="E60" i="1"/>
  <c r="E57" i="1"/>
  <c r="E59" i="1"/>
  <c r="E55" i="1"/>
  <c r="E56" i="1"/>
  <c r="E58" i="1"/>
  <c r="E54" i="1"/>
  <c r="E53" i="1"/>
  <c r="E52" i="1"/>
  <c r="E51" i="1"/>
  <c r="E61" i="1" l="1"/>
  <c r="F61" i="1" s="1"/>
  <c r="H60" i="1"/>
  <c r="D92" i="1"/>
  <c r="D81" i="1"/>
  <c r="E80" i="1" l="1"/>
  <c r="D88" i="1"/>
  <c r="E79" i="1"/>
  <c r="E78" i="1"/>
  <c r="E76" i="1"/>
  <c r="E74" i="1"/>
  <c r="E75" i="1"/>
  <c r="E77" i="1"/>
  <c r="E72" i="1"/>
  <c r="E71" i="1"/>
  <c r="E73" i="1"/>
  <c r="E70" i="1"/>
  <c r="E69" i="1"/>
  <c r="E81" i="1" l="1"/>
  <c r="F81" i="1" s="1"/>
  <c r="H80" i="1"/>
  <c r="D106" i="1"/>
  <c r="E104" i="1" l="1"/>
  <c r="E105" i="1"/>
  <c r="D110" i="1"/>
  <c r="E103" i="1"/>
  <c r="E102" i="1"/>
  <c r="E100" i="1"/>
  <c r="D122" i="1" s="1"/>
  <c r="E99" i="1"/>
  <c r="D121" i="1" s="1"/>
  <c r="E121" i="1" s="1"/>
  <c r="E98" i="1"/>
  <c r="D120" i="1" s="1"/>
  <c r="E101" i="1"/>
  <c r="D123" i="1" s="1"/>
  <c r="E96" i="1"/>
  <c r="D118" i="1" s="1"/>
  <c r="E97" i="1"/>
  <c r="D119" i="1" s="1"/>
  <c r="E95" i="1"/>
  <c r="D117" i="1" s="1"/>
  <c r="E94" i="1"/>
  <c r="D116" i="1" s="1"/>
  <c r="E93" i="1"/>
  <c r="D115" i="1" s="1"/>
  <c r="E92" i="1"/>
  <c r="E120" i="1" l="1"/>
  <c r="E122" i="1"/>
  <c r="E116" i="1"/>
  <c r="G116" i="1" s="1"/>
  <c r="E117" i="1"/>
  <c r="E115" i="1"/>
  <c r="G115" i="1" s="1"/>
  <c r="E119" i="1"/>
  <c r="E106" i="1"/>
  <c r="F106" i="1" s="1"/>
  <c r="E91" i="1"/>
  <c r="D124" i="1"/>
  <c r="E124" i="1" s="1"/>
  <c r="H105" i="1"/>
  <c r="E118" i="1"/>
  <c r="E123" i="1"/>
  <c r="D114" i="1" l="1"/>
  <c r="E114" i="1" s="1"/>
  <c r="G114" i="1" s="1"/>
  <c r="C132" i="1" s="1"/>
  <c r="D91" i="1"/>
  <c r="D90" i="1" s="1"/>
  <c r="E90" i="1" s="1"/>
  <c r="D113" i="1" s="1"/>
  <c r="E113" i="1" l="1"/>
  <c r="D125" i="1"/>
  <c r="D126" i="1" s="1"/>
  <c r="E125" i="1" l="1"/>
  <c r="E126" i="1" s="1"/>
  <c r="G113" i="1"/>
</calcChain>
</file>

<file path=xl/sharedStrings.xml><?xml version="1.0" encoding="utf-8"?>
<sst xmlns="http://schemas.openxmlformats.org/spreadsheetml/2006/main" count="90" uniqueCount="51">
  <si>
    <t>CAP TABLE VALUATION MODEL</t>
  </si>
  <si>
    <t>Instructions</t>
  </si>
  <si>
    <t>This model shows the cumulative dilution effect of multiple rounds of investment.  You can model</t>
  </si>
  <si>
    <t>more complex exit scenarios and total return to investors under various scenarios.</t>
  </si>
  <si>
    <t>Complete the raise amount and equity percentage for each round and then enter the anticipated exit.</t>
  </si>
  <si>
    <t>Founding</t>
  </si>
  <si>
    <t>Holder</t>
  </si>
  <si>
    <t>Shares</t>
  </si>
  <si>
    <t>%</t>
  </si>
  <si>
    <t>NOTES</t>
  </si>
  <si>
    <t>Founder 1</t>
  </si>
  <si>
    <t>Zero out % if you have fewer founders; make sure it adds up to 100%</t>
  </si>
  <si>
    <t>Founder 2</t>
  </si>
  <si>
    <t>Founder 3</t>
  </si>
  <si>
    <t>Founder 4</t>
  </si>
  <si>
    <t>Total Shares</t>
  </si>
  <si>
    <t>Interim Expansion (if any)</t>
  </si>
  <si>
    <t>New Teammate</t>
  </si>
  <si>
    <t>Advisor</t>
  </si>
  <si>
    <t>Seed Round</t>
  </si>
  <si>
    <t>Left input is amount to raise, right input is investor ownership</t>
  </si>
  <si>
    <t>PreMoney Valuation</t>
  </si>
  <si>
    <t>Post</t>
  </si>
  <si>
    <t>Seed Investor</t>
  </si>
  <si>
    <t>Employee Options Pool Starter</t>
  </si>
  <si>
    <t>Angel Round</t>
  </si>
  <si>
    <t>Angel Investor(s)</t>
  </si>
  <si>
    <t>Employee Option Pool 1</t>
  </si>
  <si>
    <t>Total Options Pool:</t>
  </si>
  <si>
    <t>A Round</t>
  </si>
  <si>
    <t>A Investor</t>
  </si>
  <si>
    <t>In this scenario, angels do not re-up (see B round for example of modeling a re-up)</t>
  </si>
  <si>
    <t>Employee Option Pool 2</t>
  </si>
  <si>
    <t>B Round</t>
  </si>
  <si>
    <t>B Investor</t>
  </si>
  <si>
    <t>A Investor re-up</t>
  </si>
  <si>
    <t>In this scenario, A Investor re-ups to maintain ownership stake</t>
  </si>
  <si>
    <t>Employee Option Pool 3</t>
  </si>
  <si>
    <t>Exit</t>
  </si>
  <si>
    <t>Value per Share ($)</t>
  </si>
  <si>
    <t>Ownership</t>
  </si>
  <si>
    <t>Return</t>
  </si>
  <si>
    <t>Investment</t>
  </si>
  <si>
    <t>Multiple</t>
  </si>
  <si>
    <t>Employee Options Pool</t>
  </si>
  <si>
    <t>Total</t>
  </si>
  <si>
    <t>Example Data Table</t>
  </si>
  <si>
    <t>Multiple of Return for A Round Investor with a $2500 initial investment</t>
  </si>
  <si>
    <t>Total Exit</t>
  </si>
  <si>
    <t>A Investor Ownership Stake at Time of A Round</t>
  </si>
  <si>
    <t>RVC Valuation Worksheet for Early Stage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</si>
</sst>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%"/>
    <numFmt numFmtId="166" formatCode="&quot;$&quot;#,##0"/>
    <numFmt numFmtId="167" formatCode="0.000"/>
    <numFmt numFmtId="168" formatCode="&quot;$&quot;#,##0.00"/>
    <numFmt numFmtId="169" formatCode="0.0\x"/>
    <numFmt numFmtId="170" formatCode="&quot;$&quot;#,##0.0"/>
    <numFmt numFmtId="171" formatCode="#,##0.0000"/>
    <numFmt numFmtId="172" formatCode="_(&quot;$&quot;* #,##0_);_(&quot;$&quot;* \(#,##0\);_(&quot;$&quot;* &quot;-&quot;??_);_(@_)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8"/>
      <name val="Arial"/>
      <family val="2"/>
    </font>
    <font>
      <sz val="10"/>
      <color indexed="16"/>
      <name val="Arial"/>
      <family val="2"/>
    </font>
    <font>
      <sz val="10"/>
      <color indexed="12"/>
      <name val="Arial"/>
      <family val="2"/>
    </font>
    <font>
      <sz val="8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sz val="10"/>
      <color indexed="22"/>
      <name val="Arial"/>
      <family val="2"/>
    </font>
    <font>
      <u/>
      <sz val="10"/>
      <color indexed="12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7" fillId="0" borderId="0" xfId="0" applyFont="1"/>
    <xf numFmtId="1" fontId="0" fillId="0" borderId="0" xfId="0" applyNumberFormat="1"/>
    <xf numFmtId="10" fontId="7" fillId="0" borderId="0" xfId="0" applyNumberFormat="1" applyFont="1"/>
    <xf numFmtId="0" fontId="6" fillId="0" borderId="0" xfId="0" applyFont="1"/>
    <xf numFmtId="0" fontId="0" fillId="0" borderId="2" xfId="0" applyBorder="1"/>
    <xf numFmtId="164" fontId="7" fillId="0" borderId="2" xfId="0" applyNumberFormat="1" applyFont="1" applyBorder="1"/>
    <xf numFmtId="165" fontId="3" fillId="0" borderId="2" xfId="0" applyNumberFormat="1" applyFont="1" applyBorder="1"/>
    <xf numFmtId="0" fontId="8" fillId="0" borderId="0" xfId="0" applyFont="1"/>
    <xf numFmtId="10" fontId="0" fillId="0" borderId="0" xfId="0" applyNumberFormat="1"/>
    <xf numFmtId="3" fontId="7" fillId="0" borderId="0" xfId="0" applyNumberFormat="1" applyFont="1"/>
    <xf numFmtId="164" fontId="3" fillId="0" borderId="2" xfId="0" applyNumberFormat="1" applyFont="1" applyBorder="1"/>
    <xf numFmtId="165" fontId="0" fillId="0" borderId="2" xfId="0" applyNumberFormat="1" applyBorder="1"/>
    <xf numFmtId="3" fontId="0" fillId="0" borderId="0" xfId="0" applyNumberFormat="1"/>
    <xf numFmtId="166" fontId="7" fillId="3" borderId="3" xfId="0" applyNumberFormat="1" applyFont="1" applyFill="1" applyBorder="1"/>
    <xf numFmtId="165" fontId="7" fillId="3" borderId="3" xfId="0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9" fillId="0" borderId="0" xfId="0" applyFont="1"/>
    <xf numFmtId="0" fontId="10" fillId="0" borderId="0" xfId="0" applyFont="1"/>
    <xf numFmtId="3" fontId="9" fillId="0" borderId="0" xfId="0" applyNumberFormat="1" applyFont="1"/>
    <xf numFmtId="165" fontId="9" fillId="0" borderId="0" xfId="0" applyNumberFormat="1" applyFont="1"/>
    <xf numFmtId="167" fontId="0" fillId="0" borderId="0" xfId="0" applyNumberFormat="1"/>
    <xf numFmtId="165" fontId="0" fillId="0" borderId="0" xfId="0" applyNumberFormat="1"/>
    <xf numFmtId="3" fontId="0" fillId="0" borderId="2" xfId="0" applyNumberFormat="1" applyBorder="1"/>
    <xf numFmtId="165" fontId="3" fillId="0" borderId="0" xfId="0" applyNumberFormat="1" applyFont="1"/>
    <xf numFmtId="0" fontId="3" fillId="2" borderId="0" xfId="0" applyFont="1" applyFill="1" applyAlignment="1">
      <alignment horizontal="right"/>
    </xf>
    <xf numFmtId="165" fontId="0" fillId="2" borderId="3" xfId="0" applyNumberFormat="1" applyFill="1" applyBorder="1"/>
    <xf numFmtId="3" fontId="3" fillId="0" borderId="2" xfId="0" applyNumberFormat="1" applyFont="1" applyBorder="1"/>
    <xf numFmtId="0" fontId="7" fillId="0" borderId="4" xfId="0" applyFont="1" applyBorder="1"/>
    <xf numFmtId="165" fontId="3" fillId="0" borderId="5" xfId="0" applyNumberFormat="1" applyFont="1" applyBorder="1"/>
    <xf numFmtId="0" fontId="7" fillId="0" borderId="6" xfId="0" applyFont="1" applyBorder="1"/>
    <xf numFmtId="3" fontId="3" fillId="0" borderId="1" xfId="0" applyNumberFormat="1" applyFont="1" applyBorder="1"/>
    <xf numFmtId="165" fontId="3" fillId="0" borderId="7" xfId="0" applyNumberFormat="1" applyFont="1" applyBorder="1"/>
    <xf numFmtId="3" fontId="3" fillId="0" borderId="0" xfId="0" applyNumberFormat="1" applyFont="1"/>
    <xf numFmtId="168" fontId="3" fillId="0" borderId="0" xfId="0" applyNumberFormat="1" applyFont="1"/>
    <xf numFmtId="166" fontId="7" fillId="0" borderId="0" xfId="0" applyNumberFormat="1" applyFont="1"/>
    <xf numFmtId="0" fontId="3" fillId="0" borderId="1" xfId="0" applyFont="1" applyBorder="1" applyAlignment="1">
      <alignment horizontal="center"/>
    </xf>
    <xf numFmtId="169" fontId="0" fillId="0" borderId="0" xfId="0" applyNumberFormat="1"/>
    <xf numFmtId="14" fontId="0" fillId="0" borderId="0" xfId="0" applyNumberFormat="1"/>
    <xf numFmtId="168" fontId="0" fillId="0" borderId="0" xfId="0" applyNumberFormat="1"/>
    <xf numFmtId="9" fontId="0" fillId="0" borderId="0" xfId="0" applyNumberFormat="1"/>
    <xf numFmtId="9" fontId="0" fillId="0" borderId="2" xfId="0" applyNumberFormat="1" applyBorder="1"/>
    <xf numFmtId="166" fontId="0" fillId="0" borderId="2" xfId="0" applyNumberFormat="1" applyBorder="1"/>
    <xf numFmtId="168" fontId="11" fillId="0" borderId="0" xfId="0" applyNumberFormat="1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3" fillId="0" borderId="8" xfId="0" applyFont="1" applyBorder="1" applyAlignment="1">
      <alignment horizontal="right"/>
    </xf>
    <xf numFmtId="168" fontId="3" fillId="0" borderId="2" xfId="0" applyNumberFormat="1" applyFont="1" applyBorder="1" applyAlignment="1">
      <alignment horizontal="centerContinuous"/>
    </xf>
    <xf numFmtId="0" fontId="9" fillId="0" borderId="2" xfId="0" applyFont="1" applyBorder="1" applyAlignment="1">
      <alignment horizontal="centerContinuous"/>
    </xf>
    <xf numFmtId="0" fontId="9" fillId="0" borderId="5" xfId="0" applyFont="1" applyBorder="1" applyAlignment="1">
      <alignment horizontal="centerContinuous"/>
    </xf>
    <xf numFmtId="169" fontId="12" fillId="0" borderId="9" xfId="0" applyNumberFormat="1" applyFont="1" applyBorder="1" applyAlignment="1">
      <alignment horizontal="right"/>
    </xf>
    <xf numFmtId="9" fontId="7" fillId="0" borderId="0" xfId="0" applyNumberFormat="1" applyFont="1"/>
    <xf numFmtId="9" fontId="0" fillId="0" borderId="10" xfId="0" applyNumberFormat="1" applyBorder="1"/>
    <xf numFmtId="166" fontId="7" fillId="0" borderId="9" xfId="0" applyNumberFormat="1" applyFont="1" applyBorder="1"/>
    <xf numFmtId="169" fontId="0" fillId="0" borderId="4" xfId="0" applyNumberFormat="1" applyBorder="1"/>
    <xf numFmtId="169" fontId="0" fillId="0" borderId="2" xfId="0" applyNumberFormat="1" applyBorder="1"/>
    <xf numFmtId="169" fontId="0" fillId="0" borderId="5" xfId="0" applyNumberFormat="1" applyBorder="1"/>
    <xf numFmtId="166" fontId="0" fillId="0" borderId="9" xfId="0" applyNumberFormat="1" applyBorder="1"/>
    <xf numFmtId="169" fontId="0" fillId="0" borderId="11" xfId="0" applyNumberFormat="1" applyBorder="1"/>
    <xf numFmtId="169" fontId="0" fillId="0" borderId="10" xfId="0" applyNumberFormat="1" applyBorder="1"/>
    <xf numFmtId="166" fontId="0" fillId="0" borderId="12" xfId="0" applyNumberFormat="1" applyBorder="1"/>
    <xf numFmtId="169" fontId="0" fillId="0" borderId="6" xfId="0" applyNumberFormat="1" applyBorder="1"/>
    <xf numFmtId="169" fontId="0" fillId="0" borderId="1" xfId="0" applyNumberFormat="1" applyBorder="1"/>
    <xf numFmtId="169" fontId="0" fillId="0" borderId="7" xfId="0" applyNumberFormat="1" applyBorder="1"/>
    <xf numFmtId="170" fontId="0" fillId="0" borderId="0" xfId="0" applyNumberFormat="1"/>
    <xf numFmtId="0" fontId="13" fillId="0" borderId="0" xfId="4" applyBorder="1" applyAlignment="1" applyProtection="1"/>
    <xf numFmtId="0" fontId="13" fillId="0" borderId="0" xfId="4" applyFill="1" applyBorder="1" applyAlignment="1" applyProtection="1"/>
    <xf numFmtId="0" fontId="14" fillId="0" borderId="0" xfId="0" applyFont="1"/>
    <xf numFmtId="0" fontId="15" fillId="0" borderId="0" xfId="0" applyFont="1"/>
    <xf numFmtId="9" fontId="0" fillId="0" borderId="0" xfId="3" applyFont="1" applyBorder="1"/>
    <xf numFmtId="43" fontId="0" fillId="0" borderId="0" xfId="1" applyFont="1" applyBorder="1"/>
    <xf numFmtId="171" fontId="0" fillId="0" borderId="0" xfId="0" applyNumberFormat="1"/>
    <xf numFmtId="44" fontId="15" fillId="0" borderId="0" xfId="2" applyFont="1" applyBorder="1"/>
    <xf numFmtId="6" fontId="0" fillId="0" borderId="0" xfId="0" applyNumberFormat="1"/>
    <xf numFmtId="6" fontId="15" fillId="0" borderId="0" xfId="0" applyNumberFormat="1" applyFont="1"/>
    <xf numFmtId="44" fontId="0" fillId="0" borderId="0" xfId="2" applyFont="1" applyBorder="1"/>
    <xf numFmtId="44" fontId="0" fillId="0" borderId="0" xfId="0" applyNumberFormat="1"/>
    <xf numFmtId="44" fontId="16" fillId="0" borderId="0" xfId="2" applyFont="1" applyBorder="1"/>
    <xf numFmtId="44" fontId="15" fillId="0" borderId="0" xfId="0" applyNumberFormat="1" applyFont="1"/>
    <xf numFmtId="172" fontId="0" fillId="0" borderId="0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72" fontId="0" fillId="0" borderId="0" xfId="2" applyNumberFormat="1" applyFont="1" applyBorder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3">
    <dxf>
      <fill>
        <patternFill>
          <bgColor indexed="47"/>
        </patternFill>
      </fill>
    </dxf>
    <dxf>
      <fill>
        <patternFill>
          <bgColor indexed="43"/>
        </patternFill>
      </fill>
    </dxf>
    <dxf>
      <fill>
        <patternFill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1</xdr:row>
      <xdr:rowOff>180974</xdr:rowOff>
    </xdr:from>
    <xdr:to>
      <xdr:col>1</xdr:col>
      <xdr:colOff>587836</xdr:colOff>
      <xdr:row>6</xdr:row>
      <xdr:rowOff>88899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7C161-768A-6F4F-872B-F19DB650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511174"/>
          <a:ext cx="2753186" cy="9239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1</xdr:rowOff>
    </xdr:from>
    <xdr:to>
      <xdr:col>0</xdr:col>
      <xdr:colOff>952501</xdr:colOff>
      <xdr:row>6</xdr:row>
      <xdr:rowOff>88901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F85049-27A2-3842-A513-F11998CD4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30201"/>
          <a:ext cx="11049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CD38-FBA0-9E41-B7AA-C73C617C3E26}">
  <dimension ref="A1:D65"/>
  <sheetViews>
    <sheetView workbookViewId="0">
      <selection activeCell="A14" sqref="A14"/>
    </sheetView>
  </sheetViews>
  <sheetFormatPr baseColWidth="10" defaultColWidth="8.83203125" defaultRowHeight="16" x14ac:dyDescent="0.2"/>
  <cols>
    <col min="1" max="1" width="37.6640625" customWidth="1"/>
    <col min="2" max="2" width="23.5" customWidth="1"/>
    <col min="3" max="3" width="15.33203125" bestFit="1" customWidth="1"/>
    <col min="4" max="4" width="14.33203125" bestFit="1" customWidth="1"/>
  </cols>
  <sheetData>
    <row r="1" spans="1:4" ht="26" x14ac:dyDescent="0.3">
      <c r="A1" s="76" t="s">
        <v>50</v>
      </c>
    </row>
    <row r="10" spans="1:4" x14ac:dyDescent="0.2">
      <c r="A10" s="77"/>
    </row>
    <row r="11" spans="1:4" x14ac:dyDescent="0.2">
      <c r="D11" s="22"/>
    </row>
    <row r="12" spans="1:4" x14ac:dyDescent="0.2">
      <c r="B12" s="78"/>
      <c r="C12" s="78"/>
      <c r="D12" s="79"/>
    </row>
    <row r="13" spans="1:4" x14ac:dyDescent="0.2">
      <c r="B13" s="78"/>
      <c r="C13" s="78"/>
      <c r="D13" s="79"/>
    </row>
    <row r="14" spans="1:4" x14ac:dyDescent="0.2">
      <c r="B14" s="78"/>
      <c r="C14" s="78"/>
      <c r="D14" s="79"/>
    </row>
    <row r="15" spans="1:4" x14ac:dyDescent="0.2">
      <c r="B15" s="78"/>
      <c r="C15" s="78"/>
      <c r="D15" s="79"/>
    </row>
    <row r="16" spans="1:4" x14ac:dyDescent="0.2">
      <c r="B16" s="78"/>
      <c r="C16" s="78"/>
      <c r="D16" s="79"/>
    </row>
    <row r="17" spans="2:4" x14ac:dyDescent="0.2">
      <c r="B17" s="78"/>
      <c r="C17" s="78"/>
      <c r="D17" s="79"/>
    </row>
    <row r="18" spans="2:4" x14ac:dyDescent="0.2">
      <c r="B18" s="78"/>
      <c r="C18" s="78"/>
      <c r="D18" s="79"/>
    </row>
    <row r="19" spans="2:4" x14ac:dyDescent="0.2">
      <c r="D19" s="80"/>
    </row>
    <row r="21" spans="2:4" s="77" customFormat="1" ht="15" x14ac:dyDescent="0.2">
      <c r="D21" s="81"/>
    </row>
    <row r="24" spans="2:4" s="77" customFormat="1" ht="15" x14ac:dyDescent="0.2"/>
    <row r="38" spans="1:3" s="77" customFormat="1" ht="15" x14ac:dyDescent="0.2"/>
    <row r="40" spans="1:3" x14ac:dyDescent="0.2">
      <c r="A40" s="77"/>
    </row>
    <row r="42" spans="1:3" x14ac:dyDescent="0.2">
      <c r="C42" s="82"/>
    </row>
    <row r="44" spans="1:3" s="77" customFormat="1" ht="15" x14ac:dyDescent="0.2">
      <c r="C44" s="83"/>
    </row>
    <row r="46" spans="1:3" x14ac:dyDescent="0.2">
      <c r="A46" s="77"/>
    </row>
    <row r="48" spans="1:3" x14ac:dyDescent="0.2">
      <c r="C48" s="84"/>
    </row>
    <row r="50" spans="1:4" x14ac:dyDescent="0.2">
      <c r="C50" s="84"/>
      <c r="D50" s="85"/>
    </row>
    <row r="51" spans="1:4" x14ac:dyDescent="0.2">
      <c r="C51" s="78"/>
    </row>
    <row r="52" spans="1:4" x14ac:dyDescent="0.2">
      <c r="C52" s="86"/>
    </row>
    <row r="53" spans="1:4" s="77" customFormat="1" ht="15" x14ac:dyDescent="0.2">
      <c r="C53" s="87"/>
    </row>
    <row r="55" spans="1:4" x14ac:dyDescent="0.2">
      <c r="A55" s="77"/>
    </row>
    <row r="56" spans="1:4" x14ac:dyDescent="0.2">
      <c r="C56" s="88"/>
    </row>
    <row r="57" spans="1:4" x14ac:dyDescent="0.2">
      <c r="C57" s="89"/>
    </row>
    <row r="58" spans="1:4" x14ac:dyDescent="0.2">
      <c r="C58" s="88"/>
    </row>
    <row r="59" spans="1:4" x14ac:dyDescent="0.2">
      <c r="C59" s="88"/>
    </row>
    <row r="60" spans="1:4" x14ac:dyDescent="0.2">
      <c r="C60" s="89"/>
    </row>
    <row r="61" spans="1:4" x14ac:dyDescent="0.2">
      <c r="C61" s="88"/>
    </row>
    <row r="62" spans="1:4" x14ac:dyDescent="0.2">
      <c r="C62" s="90"/>
    </row>
    <row r="63" spans="1:4" x14ac:dyDescent="0.2">
      <c r="C63" s="89"/>
    </row>
    <row r="64" spans="1:4" x14ac:dyDescent="0.2">
      <c r="C64" s="91"/>
    </row>
    <row r="65" spans="3:3" x14ac:dyDescent="0.2">
      <c r="C65" s="8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F6B8-9870-4243-A514-9DD46425AD40}">
  <dimension ref="A1:O150"/>
  <sheetViews>
    <sheetView tabSelected="1" workbookViewId="0">
      <selection activeCell="D110" sqref="D110"/>
    </sheetView>
  </sheetViews>
  <sheetFormatPr baseColWidth="10" defaultColWidth="8.83203125" defaultRowHeight="16" x14ac:dyDescent="0.2"/>
  <cols>
    <col min="1" max="2" width="1.6640625" customWidth="1"/>
    <col min="3" max="3" width="28.6640625" customWidth="1"/>
    <col min="4" max="12" width="12.83203125" customWidth="1"/>
    <col min="257" max="258" width="1.6640625" customWidth="1"/>
    <col min="259" max="259" width="28.6640625" customWidth="1"/>
    <col min="260" max="268" width="12.83203125" customWidth="1"/>
    <col min="513" max="514" width="1.6640625" customWidth="1"/>
    <col min="515" max="515" width="28.6640625" customWidth="1"/>
    <col min="516" max="524" width="12.83203125" customWidth="1"/>
    <col min="769" max="770" width="1.6640625" customWidth="1"/>
    <col min="771" max="771" width="28.6640625" customWidth="1"/>
    <col min="772" max="780" width="12.83203125" customWidth="1"/>
    <col min="1025" max="1026" width="1.6640625" customWidth="1"/>
    <col min="1027" max="1027" width="28.6640625" customWidth="1"/>
    <col min="1028" max="1036" width="12.83203125" customWidth="1"/>
    <col min="1281" max="1282" width="1.6640625" customWidth="1"/>
    <col min="1283" max="1283" width="28.6640625" customWidth="1"/>
    <col min="1284" max="1292" width="12.83203125" customWidth="1"/>
    <col min="1537" max="1538" width="1.6640625" customWidth="1"/>
    <col min="1539" max="1539" width="28.6640625" customWidth="1"/>
    <col min="1540" max="1548" width="12.83203125" customWidth="1"/>
    <col min="1793" max="1794" width="1.6640625" customWidth="1"/>
    <col min="1795" max="1795" width="28.6640625" customWidth="1"/>
    <col min="1796" max="1804" width="12.83203125" customWidth="1"/>
    <col min="2049" max="2050" width="1.6640625" customWidth="1"/>
    <col min="2051" max="2051" width="28.6640625" customWidth="1"/>
    <col min="2052" max="2060" width="12.83203125" customWidth="1"/>
    <col min="2305" max="2306" width="1.6640625" customWidth="1"/>
    <col min="2307" max="2307" width="28.6640625" customWidth="1"/>
    <col min="2308" max="2316" width="12.83203125" customWidth="1"/>
    <col min="2561" max="2562" width="1.6640625" customWidth="1"/>
    <col min="2563" max="2563" width="28.6640625" customWidth="1"/>
    <col min="2564" max="2572" width="12.83203125" customWidth="1"/>
    <col min="2817" max="2818" width="1.6640625" customWidth="1"/>
    <col min="2819" max="2819" width="28.6640625" customWidth="1"/>
    <col min="2820" max="2828" width="12.83203125" customWidth="1"/>
    <col min="3073" max="3074" width="1.6640625" customWidth="1"/>
    <col min="3075" max="3075" width="28.6640625" customWidth="1"/>
    <col min="3076" max="3084" width="12.83203125" customWidth="1"/>
    <col min="3329" max="3330" width="1.6640625" customWidth="1"/>
    <col min="3331" max="3331" width="28.6640625" customWidth="1"/>
    <col min="3332" max="3340" width="12.83203125" customWidth="1"/>
    <col min="3585" max="3586" width="1.6640625" customWidth="1"/>
    <col min="3587" max="3587" width="28.6640625" customWidth="1"/>
    <col min="3588" max="3596" width="12.83203125" customWidth="1"/>
    <col min="3841" max="3842" width="1.6640625" customWidth="1"/>
    <col min="3843" max="3843" width="28.6640625" customWidth="1"/>
    <col min="3844" max="3852" width="12.83203125" customWidth="1"/>
    <col min="4097" max="4098" width="1.6640625" customWidth="1"/>
    <col min="4099" max="4099" width="28.6640625" customWidth="1"/>
    <col min="4100" max="4108" width="12.83203125" customWidth="1"/>
    <col min="4353" max="4354" width="1.6640625" customWidth="1"/>
    <col min="4355" max="4355" width="28.6640625" customWidth="1"/>
    <col min="4356" max="4364" width="12.83203125" customWidth="1"/>
    <col min="4609" max="4610" width="1.6640625" customWidth="1"/>
    <col min="4611" max="4611" width="28.6640625" customWidth="1"/>
    <col min="4612" max="4620" width="12.83203125" customWidth="1"/>
    <col min="4865" max="4866" width="1.6640625" customWidth="1"/>
    <col min="4867" max="4867" width="28.6640625" customWidth="1"/>
    <col min="4868" max="4876" width="12.83203125" customWidth="1"/>
    <col min="5121" max="5122" width="1.6640625" customWidth="1"/>
    <col min="5123" max="5123" width="28.6640625" customWidth="1"/>
    <col min="5124" max="5132" width="12.83203125" customWidth="1"/>
    <col min="5377" max="5378" width="1.6640625" customWidth="1"/>
    <col min="5379" max="5379" width="28.6640625" customWidth="1"/>
    <col min="5380" max="5388" width="12.83203125" customWidth="1"/>
    <col min="5633" max="5634" width="1.6640625" customWidth="1"/>
    <col min="5635" max="5635" width="28.6640625" customWidth="1"/>
    <col min="5636" max="5644" width="12.83203125" customWidth="1"/>
    <col min="5889" max="5890" width="1.6640625" customWidth="1"/>
    <col min="5891" max="5891" width="28.6640625" customWidth="1"/>
    <col min="5892" max="5900" width="12.83203125" customWidth="1"/>
    <col min="6145" max="6146" width="1.6640625" customWidth="1"/>
    <col min="6147" max="6147" width="28.6640625" customWidth="1"/>
    <col min="6148" max="6156" width="12.83203125" customWidth="1"/>
    <col min="6401" max="6402" width="1.6640625" customWidth="1"/>
    <col min="6403" max="6403" width="28.6640625" customWidth="1"/>
    <col min="6404" max="6412" width="12.83203125" customWidth="1"/>
    <col min="6657" max="6658" width="1.6640625" customWidth="1"/>
    <col min="6659" max="6659" width="28.6640625" customWidth="1"/>
    <col min="6660" max="6668" width="12.83203125" customWidth="1"/>
    <col min="6913" max="6914" width="1.6640625" customWidth="1"/>
    <col min="6915" max="6915" width="28.6640625" customWidth="1"/>
    <col min="6916" max="6924" width="12.83203125" customWidth="1"/>
    <col min="7169" max="7170" width="1.6640625" customWidth="1"/>
    <col min="7171" max="7171" width="28.6640625" customWidth="1"/>
    <col min="7172" max="7180" width="12.83203125" customWidth="1"/>
    <col min="7425" max="7426" width="1.6640625" customWidth="1"/>
    <col min="7427" max="7427" width="28.6640625" customWidth="1"/>
    <col min="7428" max="7436" width="12.83203125" customWidth="1"/>
    <col min="7681" max="7682" width="1.6640625" customWidth="1"/>
    <col min="7683" max="7683" width="28.6640625" customWidth="1"/>
    <col min="7684" max="7692" width="12.83203125" customWidth="1"/>
    <col min="7937" max="7938" width="1.6640625" customWidth="1"/>
    <col min="7939" max="7939" width="28.6640625" customWidth="1"/>
    <col min="7940" max="7948" width="12.83203125" customWidth="1"/>
    <col min="8193" max="8194" width="1.6640625" customWidth="1"/>
    <col min="8195" max="8195" width="28.6640625" customWidth="1"/>
    <col min="8196" max="8204" width="12.83203125" customWidth="1"/>
    <col min="8449" max="8450" width="1.6640625" customWidth="1"/>
    <col min="8451" max="8451" width="28.6640625" customWidth="1"/>
    <col min="8452" max="8460" width="12.83203125" customWidth="1"/>
    <col min="8705" max="8706" width="1.6640625" customWidth="1"/>
    <col min="8707" max="8707" width="28.6640625" customWidth="1"/>
    <col min="8708" max="8716" width="12.83203125" customWidth="1"/>
    <col min="8961" max="8962" width="1.6640625" customWidth="1"/>
    <col min="8963" max="8963" width="28.6640625" customWidth="1"/>
    <col min="8964" max="8972" width="12.83203125" customWidth="1"/>
    <col min="9217" max="9218" width="1.6640625" customWidth="1"/>
    <col min="9219" max="9219" width="28.6640625" customWidth="1"/>
    <col min="9220" max="9228" width="12.83203125" customWidth="1"/>
    <col min="9473" max="9474" width="1.6640625" customWidth="1"/>
    <col min="9475" max="9475" width="28.6640625" customWidth="1"/>
    <col min="9476" max="9484" width="12.83203125" customWidth="1"/>
    <col min="9729" max="9730" width="1.6640625" customWidth="1"/>
    <col min="9731" max="9731" width="28.6640625" customWidth="1"/>
    <col min="9732" max="9740" width="12.83203125" customWidth="1"/>
    <col min="9985" max="9986" width="1.6640625" customWidth="1"/>
    <col min="9987" max="9987" width="28.6640625" customWidth="1"/>
    <col min="9988" max="9996" width="12.83203125" customWidth="1"/>
    <col min="10241" max="10242" width="1.6640625" customWidth="1"/>
    <col min="10243" max="10243" width="28.6640625" customWidth="1"/>
    <col min="10244" max="10252" width="12.83203125" customWidth="1"/>
    <col min="10497" max="10498" width="1.6640625" customWidth="1"/>
    <col min="10499" max="10499" width="28.6640625" customWidth="1"/>
    <col min="10500" max="10508" width="12.83203125" customWidth="1"/>
    <col min="10753" max="10754" width="1.6640625" customWidth="1"/>
    <col min="10755" max="10755" width="28.6640625" customWidth="1"/>
    <col min="10756" max="10764" width="12.83203125" customWidth="1"/>
    <col min="11009" max="11010" width="1.6640625" customWidth="1"/>
    <col min="11011" max="11011" width="28.6640625" customWidth="1"/>
    <col min="11012" max="11020" width="12.83203125" customWidth="1"/>
    <col min="11265" max="11266" width="1.6640625" customWidth="1"/>
    <col min="11267" max="11267" width="28.6640625" customWidth="1"/>
    <col min="11268" max="11276" width="12.83203125" customWidth="1"/>
    <col min="11521" max="11522" width="1.6640625" customWidth="1"/>
    <col min="11523" max="11523" width="28.6640625" customWidth="1"/>
    <col min="11524" max="11532" width="12.83203125" customWidth="1"/>
    <col min="11777" max="11778" width="1.6640625" customWidth="1"/>
    <col min="11779" max="11779" width="28.6640625" customWidth="1"/>
    <col min="11780" max="11788" width="12.83203125" customWidth="1"/>
    <col min="12033" max="12034" width="1.6640625" customWidth="1"/>
    <col min="12035" max="12035" width="28.6640625" customWidth="1"/>
    <col min="12036" max="12044" width="12.83203125" customWidth="1"/>
    <col min="12289" max="12290" width="1.6640625" customWidth="1"/>
    <col min="12291" max="12291" width="28.6640625" customWidth="1"/>
    <col min="12292" max="12300" width="12.83203125" customWidth="1"/>
    <col min="12545" max="12546" width="1.6640625" customWidth="1"/>
    <col min="12547" max="12547" width="28.6640625" customWidth="1"/>
    <col min="12548" max="12556" width="12.83203125" customWidth="1"/>
    <col min="12801" max="12802" width="1.6640625" customWidth="1"/>
    <col min="12803" max="12803" width="28.6640625" customWidth="1"/>
    <col min="12804" max="12812" width="12.83203125" customWidth="1"/>
    <col min="13057" max="13058" width="1.6640625" customWidth="1"/>
    <col min="13059" max="13059" width="28.6640625" customWidth="1"/>
    <col min="13060" max="13068" width="12.83203125" customWidth="1"/>
    <col min="13313" max="13314" width="1.6640625" customWidth="1"/>
    <col min="13315" max="13315" width="28.6640625" customWidth="1"/>
    <col min="13316" max="13324" width="12.83203125" customWidth="1"/>
    <col min="13569" max="13570" width="1.6640625" customWidth="1"/>
    <col min="13571" max="13571" width="28.6640625" customWidth="1"/>
    <col min="13572" max="13580" width="12.83203125" customWidth="1"/>
    <col min="13825" max="13826" width="1.6640625" customWidth="1"/>
    <col min="13827" max="13827" width="28.6640625" customWidth="1"/>
    <col min="13828" max="13836" width="12.83203125" customWidth="1"/>
    <col min="14081" max="14082" width="1.6640625" customWidth="1"/>
    <col min="14083" max="14083" width="28.6640625" customWidth="1"/>
    <col min="14084" max="14092" width="12.83203125" customWidth="1"/>
    <col min="14337" max="14338" width="1.6640625" customWidth="1"/>
    <col min="14339" max="14339" width="28.6640625" customWidth="1"/>
    <col min="14340" max="14348" width="12.83203125" customWidth="1"/>
    <col min="14593" max="14594" width="1.6640625" customWidth="1"/>
    <col min="14595" max="14595" width="28.6640625" customWidth="1"/>
    <col min="14596" max="14604" width="12.83203125" customWidth="1"/>
    <col min="14849" max="14850" width="1.6640625" customWidth="1"/>
    <col min="14851" max="14851" width="28.6640625" customWidth="1"/>
    <col min="14852" max="14860" width="12.83203125" customWidth="1"/>
    <col min="15105" max="15106" width="1.6640625" customWidth="1"/>
    <col min="15107" max="15107" width="28.6640625" customWidth="1"/>
    <col min="15108" max="15116" width="12.83203125" customWidth="1"/>
    <col min="15361" max="15362" width="1.6640625" customWidth="1"/>
    <col min="15363" max="15363" width="28.6640625" customWidth="1"/>
    <col min="15364" max="15372" width="12.83203125" customWidth="1"/>
    <col min="15617" max="15618" width="1.6640625" customWidth="1"/>
    <col min="15619" max="15619" width="28.6640625" customWidth="1"/>
    <col min="15620" max="15628" width="12.83203125" customWidth="1"/>
    <col min="15873" max="15874" width="1.6640625" customWidth="1"/>
    <col min="15875" max="15875" width="28.6640625" customWidth="1"/>
    <col min="15876" max="15884" width="12.83203125" customWidth="1"/>
    <col min="16129" max="16130" width="1.6640625" customWidth="1"/>
    <col min="16131" max="16131" width="28.6640625" customWidth="1"/>
    <col min="16132" max="16140" width="12.83203125" customWidth="1"/>
  </cols>
  <sheetData>
    <row r="1" spans="1:15" ht="25" x14ac:dyDescent="0.25">
      <c r="A1" s="1" t="s">
        <v>0</v>
      </c>
    </row>
    <row r="2" spans="1:15" s="2" customFormat="1" ht="13" x14ac:dyDescent="0.15">
      <c r="C2" s="3"/>
    </row>
    <row r="3" spans="1:15" s="2" customFormat="1" ht="13" x14ac:dyDescent="0.15">
      <c r="C3" s="3" t="s">
        <v>1</v>
      </c>
    </row>
    <row r="4" spans="1:15" s="2" customFormat="1" ht="13" x14ac:dyDescent="0.15">
      <c r="A4" s="4"/>
      <c r="B4" s="4"/>
      <c r="C4" s="4" t="s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s="2" customFormat="1" ht="13" x14ac:dyDescent="0.15">
      <c r="A5" s="4"/>
      <c r="B5" s="4"/>
      <c r="C5" s="4" t="s">
        <v>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">
      <c r="A6" s="5"/>
      <c r="B6" s="5"/>
      <c r="C6" s="5" t="s">
        <v>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8" spans="1:15" ht="23" x14ac:dyDescent="0.25">
      <c r="A8" s="6" t="s">
        <v>5</v>
      </c>
    </row>
    <row r="9" spans="1:15" x14ac:dyDescent="0.2">
      <c r="C9" s="7" t="s">
        <v>6</v>
      </c>
      <c r="D9" s="8" t="s">
        <v>7</v>
      </c>
      <c r="E9" s="8" t="s">
        <v>8</v>
      </c>
      <c r="G9" s="9" t="s">
        <v>9</v>
      </c>
      <c r="H9" s="7"/>
      <c r="I9" s="7"/>
      <c r="J9" s="7"/>
      <c r="K9" s="7"/>
      <c r="L9" s="7"/>
      <c r="M9" s="7"/>
      <c r="N9" s="7"/>
      <c r="O9" s="7"/>
    </row>
    <row r="10" spans="1:15" x14ac:dyDescent="0.2">
      <c r="C10" s="10" t="s">
        <v>10</v>
      </c>
      <c r="D10" s="11">
        <v>300</v>
      </c>
      <c r="E10" s="12">
        <v>0.3</v>
      </c>
      <c r="G10" s="13" t="s">
        <v>11</v>
      </c>
    </row>
    <row r="11" spans="1:15" x14ac:dyDescent="0.2">
      <c r="C11" s="10" t="s">
        <v>12</v>
      </c>
      <c r="D11" s="11">
        <f>ROUND(E11*$D$14,0)</f>
        <v>300</v>
      </c>
      <c r="E11" s="12">
        <v>0.3</v>
      </c>
    </row>
    <row r="12" spans="1:15" x14ac:dyDescent="0.2">
      <c r="C12" s="10" t="s">
        <v>13</v>
      </c>
      <c r="D12" s="11">
        <f>ROUND(E12*$D$14,0)</f>
        <v>300</v>
      </c>
      <c r="E12" s="12">
        <v>0.3</v>
      </c>
    </row>
    <row r="13" spans="1:15" x14ac:dyDescent="0.2">
      <c r="C13" s="10" t="s">
        <v>14</v>
      </c>
      <c r="D13" s="11">
        <f>ROUND(E13*$D$14,0)</f>
        <v>100</v>
      </c>
      <c r="E13" s="12">
        <v>0.1</v>
      </c>
    </row>
    <row r="14" spans="1:15" x14ac:dyDescent="0.2">
      <c r="C14" s="14" t="s">
        <v>15</v>
      </c>
      <c r="D14" s="15">
        <v>1000</v>
      </c>
      <c r="E14" s="16">
        <f>SUM(E10:E13)</f>
        <v>0.99999999999999989</v>
      </c>
      <c r="F14" s="17" t="str">
        <f>IF(E14=1,"","ERROR!")</f>
        <v/>
      </c>
    </row>
    <row r="16" spans="1:15" ht="23" x14ac:dyDescent="0.25">
      <c r="A16" s="6" t="s">
        <v>16</v>
      </c>
    </row>
    <row r="17" spans="1:7" x14ac:dyDescent="0.2">
      <c r="C17" s="7" t="s">
        <v>6</v>
      </c>
      <c r="D17" s="8" t="s">
        <v>7</v>
      </c>
      <c r="E17" s="8" t="s">
        <v>8</v>
      </c>
    </row>
    <row r="18" spans="1:7" x14ac:dyDescent="0.2">
      <c r="C18" t="s">
        <v>10</v>
      </c>
      <c r="D18" s="11">
        <f>D10</f>
        <v>300</v>
      </c>
      <c r="E18" s="18">
        <f>D18/$D$25</f>
        <v>0.29268292682926828</v>
      </c>
    </row>
    <row r="19" spans="1:7" x14ac:dyDescent="0.2">
      <c r="C19" t="s">
        <v>12</v>
      </c>
      <c r="D19" s="11">
        <f>D11</f>
        <v>300</v>
      </c>
      <c r="E19" s="18">
        <f t="shared" ref="E19:E24" si="0">D19/$D$25</f>
        <v>0.29268292682926828</v>
      </c>
    </row>
    <row r="20" spans="1:7" x14ac:dyDescent="0.2">
      <c r="C20" t="s">
        <v>13</v>
      </c>
      <c r="D20" s="11">
        <f>D12</f>
        <v>300</v>
      </c>
      <c r="E20" s="18">
        <f t="shared" si="0"/>
        <v>0.29268292682926828</v>
      </c>
    </row>
    <row r="21" spans="1:7" x14ac:dyDescent="0.2">
      <c r="C21" t="s">
        <v>14</v>
      </c>
      <c r="D21" s="11">
        <f>D13</f>
        <v>100</v>
      </c>
      <c r="E21" s="18">
        <f t="shared" si="0"/>
        <v>9.7560975609756101E-2</v>
      </c>
    </row>
    <row r="22" spans="1:7" x14ac:dyDescent="0.2">
      <c r="C22" s="10" t="s">
        <v>17</v>
      </c>
      <c r="D22" s="19">
        <v>0</v>
      </c>
      <c r="E22" s="18">
        <f t="shared" si="0"/>
        <v>0</v>
      </c>
    </row>
    <row r="23" spans="1:7" x14ac:dyDescent="0.2">
      <c r="C23" s="10" t="s">
        <v>17</v>
      </c>
      <c r="D23" s="19">
        <v>0</v>
      </c>
      <c r="E23" s="18">
        <f t="shared" si="0"/>
        <v>0</v>
      </c>
    </row>
    <row r="24" spans="1:7" x14ac:dyDescent="0.2">
      <c r="C24" s="10" t="s">
        <v>18</v>
      </c>
      <c r="D24" s="19">
        <v>25</v>
      </c>
      <c r="E24" s="18">
        <f t="shared" si="0"/>
        <v>2.4390243902439025E-2</v>
      </c>
    </row>
    <row r="25" spans="1:7" x14ac:dyDescent="0.2">
      <c r="C25" s="14" t="s">
        <v>15</v>
      </c>
      <c r="D25" s="20">
        <f>SUM(D18:D24)</f>
        <v>1025</v>
      </c>
      <c r="E25" s="21">
        <f>SUM(E18:E24)</f>
        <v>0.99999999999999989</v>
      </c>
      <c r="F25" s="17" t="str">
        <f>IF(E25=1,"","ERROR!")</f>
        <v/>
      </c>
    </row>
    <row r="28" spans="1:7" x14ac:dyDescent="0.2">
      <c r="D28" s="22"/>
    </row>
    <row r="29" spans="1:7" ht="23" x14ac:dyDescent="0.25">
      <c r="A29" s="6" t="s">
        <v>19</v>
      </c>
      <c r="D29" s="23">
        <v>300000</v>
      </c>
      <c r="E29" s="24">
        <v>0.2</v>
      </c>
      <c r="G29" s="13" t="s">
        <v>20</v>
      </c>
    </row>
    <row r="30" spans="1:7" x14ac:dyDescent="0.2">
      <c r="C30" t="s">
        <v>21</v>
      </c>
      <c r="D30" s="25">
        <f>D31-SeedCapital</f>
        <v>1200000</v>
      </c>
      <c r="F30" s="49">
        <f>D30/D25</f>
        <v>1170.7317073170732</v>
      </c>
    </row>
    <row r="31" spans="1:7" x14ac:dyDescent="0.2">
      <c r="C31" t="s">
        <v>22</v>
      </c>
      <c r="D31" s="26">
        <f>IF(ISNUMBER(D29/E29),D29/E29,0)</f>
        <v>1500000</v>
      </c>
    </row>
    <row r="32" spans="1:7" x14ac:dyDescent="0.2">
      <c r="C32" s="27"/>
    </row>
    <row r="33" spans="1:7" x14ac:dyDescent="0.2">
      <c r="C33" s="7" t="s">
        <v>6</v>
      </c>
      <c r="D33" s="8" t="s">
        <v>7</v>
      </c>
      <c r="E33" s="8" t="s">
        <v>8</v>
      </c>
    </row>
    <row r="34" spans="1:7" x14ac:dyDescent="0.2">
      <c r="C34" s="28" t="s">
        <v>23</v>
      </c>
      <c r="D34" s="29">
        <f>(D25+D42)/(1/E34-1)</f>
        <v>256.25</v>
      </c>
      <c r="E34" s="30">
        <f>E29</f>
        <v>0.2</v>
      </c>
      <c r="G34" s="31"/>
    </row>
    <row r="35" spans="1:7" x14ac:dyDescent="0.2">
      <c r="C35" t="str">
        <f>C18</f>
        <v>Founder 1</v>
      </c>
      <c r="D35" s="22">
        <f>D18</f>
        <v>300</v>
      </c>
      <c r="E35" s="32">
        <f>D35/$D$43</f>
        <v>0.23414634146341465</v>
      </c>
    </row>
    <row r="36" spans="1:7" x14ac:dyDescent="0.2">
      <c r="C36" t="str">
        <f t="shared" ref="C36:D41" si="1">C19</f>
        <v>Founder 2</v>
      </c>
      <c r="D36" s="22">
        <f t="shared" si="1"/>
        <v>300</v>
      </c>
      <c r="E36" s="32">
        <f t="shared" ref="E36:E42" si="2">D36/$D$43</f>
        <v>0.23414634146341465</v>
      </c>
    </row>
    <row r="37" spans="1:7" x14ac:dyDescent="0.2">
      <c r="C37" t="str">
        <f t="shared" si="1"/>
        <v>Founder 3</v>
      </c>
      <c r="D37" s="22">
        <f t="shared" si="1"/>
        <v>300</v>
      </c>
      <c r="E37" s="32">
        <f t="shared" si="2"/>
        <v>0.23414634146341465</v>
      </c>
    </row>
    <row r="38" spans="1:7" x14ac:dyDescent="0.2">
      <c r="C38" t="str">
        <f t="shared" si="1"/>
        <v>Founder 4</v>
      </c>
      <c r="D38" s="22">
        <f t="shared" si="1"/>
        <v>100</v>
      </c>
      <c r="E38" s="32">
        <f t="shared" si="2"/>
        <v>7.8048780487804878E-2</v>
      </c>
    </row>
    <row r="39" spans="1:7" x14ac:dyDescent="0.2">
      <c r="C39" t="str">
        <f t="shared" si="1"/>
        <v>New Teammate</v>
      </c>
      <c r="D39" s="22">
        <f t="shared" si="1"/>
        <v>0</v>
      </c>
      <c r="E39" s="32">
        <f t="shared" si="2"/>
        <v>0</v>
      </c>
    </row>
    <row r="40" spans="1:7" x14ac:dyDescent="0.2">
      <c r="C40" t="str">
        <f t="shared" si="1"/>
        <v>New Teammate</v>
      </c>
      <c r="D40" s="22">
        <f t="shared" si="1"/>
        <v>0</v>
      </c>
      <c r="E40" s="32">
        <f t="shared" si="2"/>
        <v>0</v>
      </c>
    </row>
    <row r="41" spans="1:7" x14ac:dyDescent="0.2">
      <c r="C41" t="str">
        <f t="shared" si="1"/>
        <v>Advisor</v>
      </c>
      <c r="D41" s="22">
        <f t="shared" si="1"/>
        <v>25</v>
      </c>
      <c r="E41" s="32">
        <f t="shared" si="2"/>
        <v>1.9512195121951219E-2</v>
      </c>
    </row>
    <row r="42" spans="1:7" x14ac:dyDescent="0.2">
      <c r="C42" t="s">
        <v>24</v>
      </c>
      <c r="D42" s="19">
        <v>0</v>
      </c>
      <c r="E42" s="32">
        <f t="shared" si="2"/>
        <v>0</v>
      </c>
    </row>
    <row r="43" spans="1:7" x14ac:dyDescent="0.2">
      <c r="C43" s="14" t="s">
        <v>15</v>
      </c>
      <c r="D43" s="33">
        <f>SUM(D34:D42)</f>
        <v>1281.25</v>
      </c>
      <c r="E43" s="21">
        <f>SUM(E34:E42)</f>
        <v>1</v>
      </c>
      <c r="F43" s="17" t="str">
        <f>IF(E43=1,"","ERROR!")</f>
        <v/>
      </c>
    </row>
    <row r="44" spans="1:7" x14ac:dyDescent="0.2">
      <c r="D44" s="22"/>
    </row>
    <row r="45" spans="1:7" ht="23" x14ac:dyDescent="0.25">
      <c r="A45" s="6" t="s">
        <v>25</v>
      </c>
      <c r="D45" s="23">
        <v>500000</v>
      </c>
      <c r="E45" s="24">
        <v>0.2</v>
      </c>
      <c r="G45" s="13" t="s">
        <v>20</v>
      </c>
    </row>
    <row r="46" spans="1:7" x14ac:dyDescent="0.2">
      <c r="C46" t="s">
        <v>21</v>
      </c>
      <c r="D46" s="25">
        <f>IF(ISNUMBER(D47-D45),D47-D45,0)</f>
        <v>2000000</v>
      </c>
      <c r="F46" s="49">
        <f>D46/D43</f>
        <v>1560.9756097560976</v>
      </c>
    </row>
    <row r="47" spans="1:7" x14ac:dyDescent="0.2">
      <c r="C47" t="s">
        <v>22</v>
      </c>
      <c r="D47" s="26">
        <f>IF(ISNUMBER(D45/E45),D45/E45,0)</f>
        <v>2500000</v>
      </c>
    </row>
    <row r="48" spans="1:7" x14ac:dyDescent="0.2">
      <c r="C48" s="27"/>
    </row>
    <row r="49" spans="1:8" x14ac:dyDescent="0.2">
      <c r="C49" s="7" t="s">
        <v>6</v>
      </c>
      <c r="D49" s="8" t="s">
        <v>7</v>
      </c>
      <c r="E49" s="8" t="s">
        <v>8</v>
      </c>
    </row>
    <row r="50" spans="1:8" x14ac:dyDescent="0.2">
      <c r="C50" s="28" t="s">
        <v>26</v>
      </c>
      <c r="D50" s="29">
        <f>(D43+D60)/(1/E50-1)</f>
        <v>357.8125</v>
      </c>
      <c r="E50" s="30">
        <f>E45</f>
        <v>0.2</v>
      </c>
    </row>
    <row r="51" spans="1:8" x14ac:dyDescent="0.2">
      <c r="C51" t="str">
        <f t="shared" ref="C51:D59" si="3">C34</f>
        <v>Seed Investor</v>
      </c>
      <c r="D51" s="22">
        <f t="shared" si="3"/>
        <v>256.25</v>
      </c>
      <c r="E51" s="34">
        <f>D51/$D$61</f>
        <v>0.14323144104803492</v>
      </c>
      <c r="G51" s="32"/>
    </row>
    <row r="52" spans="1:8" x14ac:dyDescent="0.2">
      <c r="C52" t="str">
        <f t="shared" si="3"/>
        <v>Founder 1</v>
      </c>
      <c r="D52" s="22">
        <f t="shared" si="3"/>
        <v>300</v>
      </c>
      <c r="E52" s="34">
        <f t="shared" ref="E52:E60" si="4">D52/$D$61</f>
        <v>0.16768558951965065</v>
      </c>
    </row>
    <row r="53" spans="1:8" x14ac:dyDescent="0.2">
      <c r="C53" t="str">
        <f t="shared" si="3"/>
        <v>Founder 2</v>
      </c>
      <c r="D53" s="22">
        <f t="shared" si="3"/>
        <v>300</v>
      </c>
      <c r="E53" s="34">
        <f t="shared" si="4"/>
        <v>0.16768558951965065</v>
      </c>
    </row>
    <row r="54" spans="1:8" x14ac:dyDescent="0.2">
      <c r="C54" t="str">
        <f t="shared" si="3"/>
        <v>Founder 3</v>
      </c>
      <c r="D54" s="22">
        <f t="shared" si="3"/>
        <v>300</v>
      </c>
      <c r="E54" s="34">
        <f t="shared" si="4"/>
        <v>0.16768558951965065</v>
      </c>
    </row>
    <row r="55" spans="1:8" x14ac:dyDescent="0.2">
      <c r="C55" t="str">
        <f t="shared" si="3"/>
        <v>Founder 4</v>
      </c>
      <c r="D55" s="22">
        <f t="shared" si="3"/>
        <v>100</v>
      </c>
      <c r="E55" s="34">
        <f t="shared" si="4"/>
        <v>5.589519650655022E-2</v>
      </c>
    </row>
    <row r="56" spans="1:8" x14ac:dyDescent="0.2">
      <c r="C56" t="str">
        <f t="shared" si="3"/>
        <v>New Teammate</v>
      </c>
      <c r="D56" s="22">
        <f t="shared" si="3"/>
        <v>0</v>
      </c>
      <c r="E56" s="34">
        <f t="shared" si="4"/>
        <v>0</v>
      </c>
    </row>
    <row r="57" spans="1:8" x14ac:dyDescent="0.2">
      <c r="C57" t="str">
        <f t="shared" si="3"/>
        <v>New Teammate</v>
      </c>
      <c r="D57" s="22">
        <f t="shared" si="3"/>
        <v>0</v>
      </c>
      <c r="E57" s="34">
        <f t="shared" si="4"/>
        <v>0</v>
      </c>
    </row>
    <row r="58" spans="1:8" x14ac:dyDescent="0.2">
      <c r="C58" t="str">
        <f t="shared" si="3"/>
        <v>Advisor</v>
      </c>
      <c r="D58" s="22">
        <f t="shared" si="3"/>
        <v>25</v>
      </c>
      <c r="E58" s="34">
        <f t="shared" si="4"/>
        <v>1.3973799126637555E-2</v>
      </c>
      <c r="F58" s="49"/>
    </row>
    <row r="59" spans="1:8" x14ac:dyDescent="0.2">
      <c r="C59" t="str">
        <f t="shared" si="3"/>
        <v>Employee Options Pool Starter</v>
      </c>
      <c r="D59" s="22">
        <f t="shared" si="3"/>
        <v>0</v>
      </c>
      <c r="E59" s="34">
        <f t="shared" si="4"/>
        <v>0</v>
      </c>
      <c r="F59" s="5"/>
    </row>
    <row r="60" spans="1:8" x14ac:dyDescent="0.2">
      <c r="C60" s="10" t="s">
        <v>27</v>
      </c>
      <c r="D60" s="19">
        <v>150</v>
      </c>
      <c r="E60" s="34">
        <f t="shared" si="4"/>
        <v>8.3842794759825326E-2</v>
      </c>
      <c r="F60" s="5"/>
      <c r="G60" s="35" t="s">
        <v>28</v>
      </c>
      <c r="H60" s="36">
        <f>SUM(E59:E60)</f>
        <v>8.3842794759825326E-2</v>
      </c>
    </row>
    <row r="61" spans="1:8" x14ac:dyDescent="0.2">
      <c r="C61" s="14" t="s">
        <v>15</v>
      </c>
      <c r="D61" s="33">
        <f>SUM(D50:D60)</f>
        <v>1789.0625</v>
      </c>
      <c r="E61" s="21">
        <f>SUM(E50:E60)</f>
        <v>0.99999999999999989</v>
      </c>
      <c r="F61" s="17" t="str">
        <f>IF(E61=1,"","ERROR!")</f>
        <v/>
      </c>
    </row>
    <row r="63" spans="1:8" ht="23" x14ac:dyDescent="0.25">
      <c r="A63" s="6" t="s">
        <v>29</v>
      </c>
      <c r="D63" s="23">
        <v>400000</v>
      </c>
      <c r="E63" s="24">
        <v>0.2</v>
      </c>
      <c r="G63" s="13" t="s">
        <v>20</v>
      </c>
    </row>
    <row r="64" spans="1:8" x14ac:dyDescent="0.2">
      <c r="C64" t="s">
        <v>21</v>
      </c>
      <c r="D64" s="25">
        <f>IF(ISNUMBER(D65-D63),D65-D63,0)</f>
        <v>1600000</v>
      </c>
    </row>
    <row r="65" spans="3:8" x14ac:dyDescent="0.2">
      <c r="C65" t="s">
        <v>22</v>
      </c>
      <c r="D65" s="26">
        <f>IF(ISNUMBER(D63/E63),D63/E63,0)</f>
        <v>2000000</v>
      </c>
    </row>
    <row r="67" spans="3:8" x14ac:dyDescent="0.2">
      <c r="C67" s="7" t="s">
        <v>6</v>
      </c>
      <c r="D67" s="8" t="s">
        <v>7</v>
      </c>
      <c r="E67" s="8" t="s">
        <v>8</v>
      </c>
    </row>
    <row r="68" spans="3:8" x14ac:dyDescent="0.2">
      <c r="C68" s="28" t="s">
        <v>30</v>
      </c>
      <c r="D68" s="29">
        <f>IF(ISNUMBER((D61+D80)/(1/E68-1)),(D61+D80)/(1/E68-1),0)</f>
        <v>502.265625</v>
      </c>
      <c r="E68" s="30">
        <f>E63</f>
        <v>0.2</v>
      </c>
    </row>
    <row r="69" spans="3:8" x14ac:dyDescent="0.2">
      <c r="C69" t="str">
        <f t="shared" ref="C69:D78" si="5">C50</f>
        <v>Angel Investor(s)</v>
      </c>
      <c r="D69" s="22">
        <f t="shared" si="5"/>
        <v>357.8125</v>
      </c>
      <c r="E69" s="32">
        <f>D69/D$81</f>
        <v>0.14247939026287137</v>
      </c>
      <c r="G69" s="13" t="s">
        <v>31</v>
      </c>
    </row>
    <row r="70" spans="3:8" x14ac:dyDescent="0.2">
      <c r="C70" t="str">
        <f t="shared" si="5"/>
        <v>Seed Investor</v>
      </c>
      <c r="D70" s="22">
        <f t="shared" si="5"/>
        <v>256.25</v>
      </c>
      <c r="E70" s="32">
        <f t="shared" ref="E70:E79" si="6">D70/D$81</f>
        <v>0.10203764193498212</v>
      </c>
    </row>
    <row r="71" spans="3:8" x14ac:dyDescent="0.2">
      <c r="C71" t="str">
        <f t="shared" si="5"/>
        <v>Founder 1</v>
      </c>
      <c r="D71" s="22">
        <f t="shared" si="5"/>
        <v>300</v>
      </c>
      <c r="E71" s="32">
        <f t="shared" si="6"/>
        <v>0.11945870275314979</v>
      </c>
    </row>
    <row r="72" spans="3:8" x14ac:dyDescent="0.2">
      <c r="C72" t="str">
        <f t="shared" si="5"/>
        <v>Founder 2</v>
      </c>
      <c r="D72" s="22">
        <f t="shared" si="5"/>
        <v>300</v>
      </c>
      <c r="E72" s="32">
        <f t="shared" si="6"/>
        <v>0.11945870275314979</v>
      </c>
    </row>
    <row r="73" spans="3:8" x14ac:dyDescent="0.2">
      <c r="C73" t="str">
        <f t="shared" si="5"/>
        <v>Founder 3</v>
      </c>
      <c r="D73" s="22">
        <f t="shared" si="5"/>
        <v>300</v>
      </c>
      <c r="E73" s="32">
        <f t="shared" si="6"/>
        <v>0.11945870275314979</v>
      </c>
    </row>
    <row r="74" spans="3:8" x14ac:dyDescent="0.2">
      <c r="C74" t="str">
        <f t="shared" si="5"/>
        <v>Founder 4</v>
      </c>
      <c r="D74" s="22">
        <f t="shared" si="5"/>
        <v>100</v>
      </c>
      <c r="E74" s="32">
        <f t="shared" si="6"/>
        <v>3.9819567584383264E-2</v>
      </c>
    </row>
    <row r="75" spans="3:8" x14ac:dyDescent="0.2">
      <c r="C75" t="str">
        <f t="shared" si="5"/>
        <v>New Teammate</v>
      </c>
      <c r="D75" s="22">
        <f t="shared" si="5"/>
        <v>0</v>
      </c>
      <c r="E75" s="32">
        <f t="shared" si="6"/>
        <v>0</v>
      </c>
    </row>
    <row r="76" spans="3:8" x14ac:dyDescent="0.2">
      <c r="C76" t="str">
        <f t="shared" si="5"/>
        <v>New Teammate</v>
      </c>
      <c r="D76" s="22">
        <f t="shared" si="5"/>
        <v>0</v>
      </c>
      <c r="E76" s="32">
        <f t="shared" si="6"/>
        <v>0</v>
      </c>
    </row>
    <row r="77" spans="3:8" x14ac:dyDescent="0.2">
      <c r="C77" t="str">
        <f t="shared" si="5"/>
        <v>Advisor</v>
      </c>
      <c r="D77" s="22">
        <f t="shared" si="5"/>
        <v>25</v>
      </c>
      <c r="E77" s="32">
        <f t="shared" si="6"/>
        <v>9.954891896095816E-3</v>
      </c>
    </row>
    <row r="78" spans="3:8" x14ac:dyDescent="0.2">
      <c r="C78" t="str">
        <f t="shared" si="5"/>
        <v>Employee Options Pool Starter</v>
      </c>
      <c r="D78" s="22">
        <f t="shared" si="5"/>
        <v>0</v>
      </c>
      <c r="E78" s="32">
        <f t="shared" si="6"/>
        <v>0</v>
      </c>
      <c r="F78" s="5"/>
    </row>
    <row r="79" spans="3:8" x14ac:dyDescent="0.2">
      <c r="C79" t="str">
        <f>C60</f>
        <v>Employee Option Pool 1</v>
      </c>
      <c r="D79" s="22">
        <f>D60</f>
        <v>150</v>
      </c>
      <c r="E79" s="32">
        <f t="shared" si="6"/>
        <v>5.9729351376574896E-2</v>
      </c>
      <c r="F79" s="5"/>
    </row>
    <row r="80" spans="3:8" x14ac:dyDescent="0.2">
      <c r="C80" s="10" t="s">
        <v>32</v>
      </c>
      <c r="D80" s="19">
        <v>220</v>
      </c>
      <c r="E80" s="32">
        <f>D80/D$81</f>
        <v>8.7603048685643184E-2</v>
      </c>
      <c r="F80" s="5"/>
      <c r="G80" s="35" t="s">
        <v>28</v>
      </c>
      <c r="H80" s="36">
        <f>SUM(E78:E80)</f>
        <v>0.14733240006221809</v>
      </c>
    </row>
    <row r="81" spans="1:7" x14ac:dyDescent="0.2">
      <c r="C81" s="14" t="s">
        <v>15</v>
      </c>
      <c r="D81" s="37">
        <f>SUM(D68:D80)</f>
        <v>2511.328125</v>
      </c>
      <c r="E81" s="21">
        <f>SUM(E68:E80)</f>
        <v>0.99999999999999989</v>
      </c>
      <c r="F81" s="17" t="str">
        <f>IF(E81=1,"","ERROR!")</f>
        <v/>
      </c>
    </row>
    <row r="83" spans="1:7" ht="23" x14ac:dyDescent="0.25">
      <c r="A83" s="6" t="s">
        <v>33</v>
      </c>
      <c r="D83" s="23">
        <v>0</v>
      </c>
      <c r="E83" s="24">
        <v>0.2</v>
      </c>
      <c r="G83" s="13" t="s">
        <v>20</v>
      </c>
    </row>
    <row r="84" spans="1:7" x14ac:dyDescent="0.2">
      <c r="C84" t="s">
        <v>21</v>
      </c>
      <c r="D84" s="25">
        <f>IF(ISNUMBER(D85-D83),D85-D83,0)</f>
        <v>0</v>
      </c>
    </row>
    <row r="85" spans="1:7" x14ac:dyDescent="0.2">
      <c r="C85" t="s">
        <v>22</v>
      </c>
      <c r="D85" s="26">
        <f>IF(ISNUMBER(D83/E83),D83/E83,0)</f>
        <v>0</v>
      </c>
    </row>
    <row r="87" spans="1:7" x14ac:dyDescent="0.2">
      <c r="C87" s="7" t="s">
        <v>6</v>
      </c>
      <c r="D87" s="8" t="s">
        <v>7</v>
      </c>
      <c r="E87" s="8" t="s">
        <v>8</v>
      </c>
    </row>
    <row r="88" spans="1:7" x14ac:dyDescent="0.2">
      <c r="C88" s="28" t="s">
        <v>33</v>
      </c>
      <c r="D88" s="29">
        <f>IF(ISNUMBER((D81+D105)/(1/E88-1)),(D81+D105)/(1/E88-1),0)</f>
        <v>640.33203125</v>
      </c>
      <c r="E88" s="30">
        <f>E83</f>
        <v>0.2</v>
      </c>
    </row>
    <row r="89" spans="1:7" x14ac:dyDescent="0.2">
      <c r="C89" s="28"/>
      <c r="D89" s="29"/>
      <c r="E89" s="30"/>
    </row>
    <row r="90" spans="1:7" x14ac:dyDescent="0.2">
      <c r="C90" s="38" t="s">
        <v>34</v>
      </c>
      <c r="D90" s="37">
        <f>D88-D91</f>
        <v>502.26562499999994</v>
      </c>
      <c r="E90" s="39">
        <f>D90/D106</f>
        <v>0.15687662040567329</v>
      </c>
    </row>
    <row r="91" spans="1:7" x14ac:dyDescent="0.2">
      <c r="C91" s="40" t="s">
        <v>35</v>
      </c>
      <c r="D91" s="41">
        <f>E91*D106</f>
        <v>138.06640625000006</v>
      </c>
      <c r="E91" s="42">
        <f>E68-E92</f>
        <v>4.3123379594326688E-2</v>
      </c>
      <c r="G91" s="13" t="s">
        <v>36</v>
      </c>
    </row>
    <row r="92" spans="1:7" x14ac:dyDescent="0.2">
      <c r="C92" t="str">
        <f>C68</f>
        <v>A Investor</v>
      </c>
      <c r="D92" s="43">
        <f>D68</f>
        <v>502.265625</v>
      </c>
      <c r="E92" s="32">
        <f>D92/$D$106</f>
        <v>0.15687662040567332</v>
      </c>
    </row>
    <row r="93" spans="1:7" x14ac:dyDescent="0.2">
      <c r="C93" t="str">
        <f t="shared" ref="C93:D102" si="7">C69</f>
        <v>Angel Investor(s)</v>
      </c>
      <c r="D93" s="43">
        <f t="shared" si="7"/>
        <v>357.8125</v>
      </c>
      <c r="E93" s="32">
        <f t="shared" ref="E93:E104" si="8">D93/$D$106</f>
        <v>0.11175842610950129</v>
      </c>
    </row>
    <row r="94" spans="1:7" x14ac:dyDescent="0.2">
      <c r="C94" t="str">
        <f t="shared" si="7"/>
        <v>Seed Investor</v>
      </c>
      <c r="D94" s="43">
        <f t="shared" si="7"/>
        <v>256.25</v>
      </c>
      <c r="E94" s="32">
        <f t="shared" si="8"/>
        <v>8.0036602104621019E-2</v>
      </c>
    </row>
    <row r="95" spans="1:7" x14ac:dyDescent="0.2">
      <c r="C95" t="str">
        <f t="shared" si="7"/>
        <v>Founder 1</v>
      </c>
      <c r="D95" s="43">
        <f t="shared" si="7"/>
        <v>300</v>
      </c>
      <c r="E95" s="32">
        <f t="shared" si="8"/>
        <v>9.3701387829800212E-2</v>
      </c>
      <c r="G95" s="22"/>
    </row>
    <row r="96" spans="1:7" x14ac:dyDescent="0.2">
      <c r="C96" t="str">
        <f t="shared" si="7"/>
        <v>Founder 2</v>
      </c>
      <c r="D96" s="43">
        <f t="shared" si="7"/>
        <v>300</v>
      </c>
      <c r="E96" s="32">
        <f t="shared" si="8"/>
        <v>9.3701387829800212E-2</v>
      </c>
    </row>
    <row r="97" spans="1:8" x14ac:dyDescent="0.2">
      <c r="C97" t="str">
        <f t="shared" si="7"/>
        <v>Founder 3</v>
      </c>
      <c r="D97" s="43">
        <f t="shared" si="7"/>
        <v>300</v>
      </c>
      <c r="E97" s="32">
        <f t="shared" si="8"/>
        <v>9.3701387829800212E-2</v>
      </c>
    </row>
    <row r="98" spans="1:8" x14ac:dyDescent="0.2">
      <c r="C98" t="str">
        <f t="shared" si="7"/>
        <v>Founder 4</v>
      </c>
      <c r="D98" s="43">
        <f t="shared" si="7"/>
        <v>100</v>
      </c>
      <c r="E98" s="32">
        <f t="shared" si="8"/>
        <v>3.1233795943266737E-2</v>
      </c>
    </row>
    <row r="99" spans="1:8" x14ac:dyDescent="0.2">
      <c r="C99" t="str">
        <f t="shared" si="7"/>
        <v>New Teammate</v>
      </c>
      <c r="D99" s="43">
        <f t="shared" si="7"/>
        <v>0</v>
      </c>
      <c r="E99" s="32">
        <f t="shared" si="8"/>
        <v>0</v>
      </c>
    </row>
    <row r="100" spans="1:8" x14ac:dyDescent="0.2">
      <c r="C100" t="str">
        <f t="shared" si="7"/>
        <v>New Teammate</v>
      </c>
      <c r="D100" s="43">
        <f t="shared" si="7"/>
        <v>0</v>
      </c>
      <c r="E100" s="32">
        <f t="shared" si="8"/>
        <v>0</v>
      </c>
    </row>
    <row r="101" spans="1:8" x14ac:dyDescent="0.2">
      <c r="C101" t="str">
        <f t="shared" si="7"/>
        <v>Advisor</v>
      </c>
      <c r="D101" s="43">
        <f t="shared" si="7"/>
        <v>25</v>
      </c>
      <c r="E101" s="32">
        <f t="shared" si="8"/>
        <v>7.8084489858166843E-3</v>
      </c>
    </row>
    <row r="102" spans="1:8" x14ac:dyDescent="0.2">
      <c r="C102" t="str">
        <f t="shared" si="7"/>
        <v>Employee Options Pool Starter</v>
      </c>
      <c r="D102" s="43">
        <f t="shared" si="7"/>
        <v>0</v>
      </c>
      <c r="E102" s="32">
        <f t="shared" si="8"/>
        <v>0</v>
      </c>
      <c r="F102" s="5"/>
    </row>
    <row r="103" spans="1:8" x14ac:dyDescent="0.2">
      <c r="C103" t="str">
        <f>C79</f>
        <v>Employee Option Pool 1</v>
      </c>
      <c r="D103" s="43">
        <f>D79</f>
        <v>150</v>
      </c>
      <c r="E103" s="32">
        <f t="shared" si="8"/>
        <v>4.6850693914900106E-2</v>
      </c>
      <c r="F103" s="5"/>
    </row>
    <row r="104" spans="1:8" x14ac:dyDescent="0.2">
      <c r="C104" t="str">
        <f>C80</f>
        <v>Employee Option Pool 2</v>
      </c>
      <c r="D104" s="43">
        <f>D80</f>
        <v>220</v>
      </c>
      <c r="E104" s="32">
        <f t="shared" si="8"/>
        <v>6.8714351075186822E-2</v>
      </c>
      <c r="F104" s="5"/>
    </row>
    <row r="105" spans="1:8" x14ac:dyDescent="0.2">
      <c r="C105" s="10" t="s">
        <v>37</v>
      </c>
      <c r="D105" s="19">
        <v>50</v>
      </c>
      <c r="E105" s="32">
        <f>D105/$D$106</f>
        <v>1.5616897971633369E-2</v>
      </c>
      <c r="F105" s="5"/>
      <c r="G105" s="35" t="s">
        <v>28</v>
      </c>
      <c r="H105" s="36">
        <f>SUM(E102:E105)</f>
        <v>0.13118194296172031</v>
      </c>
    </row>
    <row r="106" spans="1:8" x14ac:dyDescent="0.2">
      <c r="C106" s="14" t="s">
        <v>15</v>
      </c>
      <c r="D106" s="37">
        <f>SUM(D92:D105)+D88</f>
        <v>3201.66015625</v>
      </c>
      <c r="E106" s="21">
        <f>SUM(E92:E105)+E88</f>
        <v>1</v>
      </c>
      <c r="F106" s="17" t="str">
        <f>IF(E106=1,"","ERROR!")</f>
        <v/>
      </c>
    </row>
    <row r="108" spans="1:8" ht="23" x14ac:dyDescent="0.25">
      <c r="A108" s="6" t="s">
        <v>38</v>
      </c>
      <c r="C108" s="27"/>
    </row>
    <row r="109" spans="1:8" x14ac:dyDescent="0.2">
      <c r="C109" t="s">
        <v>38</v>
      </c>
      <c r="D109" s="23">
        <v>4000000</v>
      </c>
      <c r="G109" s="27"/>
    </row>
    <row r="110" spans="1:8" x14ac:dyDescent="0.2">
      <c r="C110" t="s">
        <v>39</v>
      </c>
      <c r="D110" s="44">
        <f>D109/D106</f>
        <v>1249.3518377306696</v>
      </c>
      <c r="G110" s="27"/>
    </row>
    <row r="111" spans="1:8" x14ac:dyDescent="0.2">
      <c r="D111" s="45"/>
    </row>
    <row r="112" spans="1:8" x14ac:dyDescent="0.2">
      <c r="C112" s="7" t="s">
        <v>6</v>
      </c>
      <c r="D112" s="46" t="s">
        <v>40</v>
      </c>
      <c r="E112" s="46" t="s">
        <v>41</v>
      </c>
      <c r="F112" s="46" t="s">
        <v>42</v>
      </c>
      <c r="G112" s="46" t="s">
        <v>43</v>
      </c>
    </row>
    <row r="113" spans="1:9" x14ac:dyDescent="0.2">
      <c r="C113" t="str">
        <f>C90</f>
        <v>B Investor</v>
      </c>
      <c r="D113" s="32">
        <f>E90</f>
        <v>0.15687662040567329</v>
      </c>
      <c r="E113" s="26">
        <f>D113*$D$106*$D$110</f>
        <v>627506.48162269313</v>
      </c>
      <c r="F113" s="26">
        <f>BCapital</f>
        <v>0</v>
      </c>
      <c r="G113" s="47">
        <f>IF(ISNUMBER(E113/F113),E113/F113,0)</f>
        <v>0</v>
      </c>
      <c r="I113" s="48"/>
    </row>
    <row r="114" spans="1:9" x14ac:dyDescent="0.2">
      <c r="C114" t="str">
        <f t="shared" ref="C114:C123" si="9">C92</f>
        <v>A Investor</v>
      </c>
      <c r="D114" s="32">
        <f>SUM(E91:E92)</f>
        <v>0.2</v>
      </c>
      <c r="E114" s="26">
        <f t="shared" ref="E114:E124" si="10">D114*$D$106*$D$110</f>
        <v>800000</v>
      </c>
      <c r="F114" s="26">
        <f>ACapital</f>
        <v>400000</v>
      </c>
      <c r="G114" s="47">
        <f>IF(ISNUMBER(E114/F114),E114/F114,0)</f>
        <v>2</v>
      </c>
      <c r="H114" s="49"/>
      <c r="I114" s="48"/>
    </row>
    <row r="115" spans="1:9" x14ac:dyDescent="0.2">
      <c r="C115" t="str">
        <f t="shared" si="9"/>
        <v>Angel Investor(s)</v>
      </c>
      <c r="D115" s="32">
        <f>E93</f>
        <v>0.11175842610950129</v>
      </c>
      <c r="E115" s="26">
        <f t="shared" si="10"/>
        <v>447033.70443800522</v>
      </c>
      <c r="F115" s="26">
        <f>AngelCapital</f>
        <v>500000</v>
      </c>
      <c r="G115" s="47">
        <f>IF(ISNUMBER(E115/F115),E115/F115,0)</f>
        <v>0.89406740887601044</v>
      </c>
    </row>
    <row r="116" spans="1:9" x14ac:dyDescent="0.2">
      <c r="C116" t="str">
        <f t="shared" si="9"/>
        <v>Seed Investor</v>
      </c>
      <c r="D116" s="32">
        <f t="shared" ref="D116:D123" si="11">E94</f>
        <v>8.0036602104621019E-2</v>
      </c>
      <c r="E116" s="26">
        <f t="shared" si="10"/>
        <v>320146.40841848409</v>
      </c>
      <c r="F116" s="26">
        <f>SeedCapital</f>
        <v>300000</v>
      </c>
      <c r="G116" s="47">
        <f>IF(ISNUMBER(E116/F116),E116/F116,0)</f>
        <v>1.0671546947282804</v>
      </c>
    </row>
    <row r="117" spans="1:9" x14ac:dyDescent="0.2">
      <c r="C117" t="str">
        <f t="shared" si="9"/>
        <v>Founder 1</v>
      </c>
      <c r="D117" s="32">
        <f t="shared" si="11"/>
        <v>9.3701387829800212E-2</v>
      </c>
      <c r="E117" s="26">
        <f t="shared" si="10"/>
        <v>374805.55131920089</v>
      </c>
      <c r="F117" s="26"/>
    </row>
    <row r="118" spans="1:9" x14ac:dyDescent="0.2">
      <c r="C118" t="str">
        <f t="shared" si="9"/>
        <v>Founder 2</v>
      </c>
      <c r="D118" s="32">
        <f t="shared" si="11"/>
        <v>9.3701387829800212E-2</v>
      </c>
      <c r="E118" s="26">
        <f t="shared" si="10"/>
        <v>374805.55131920089</v>
      </c>
      <c r="F118" s="26"/>
    </row>
    <row r="119" spans="1:9" x14ac:dyDescent="0.2">
      <c r="C119" t="str">
        <f t="shared" si="9"/>
        <v>Founder 3</v>
      </c>
      <c r="D119" s="32">
        <f t="shared" si="11"/>
        <v>9.3701387829800212E-2</v>
      </c>
      <c r="E119" s="26">
        <f t="shared" si="10"/>
        <v>374805.55131920089</v>
      </c>
      <c r="F119" s="26"/>
      <c r="I119" s="26"/>
    </row>
    <row r="120" spans="1:9" x14ac:dyDescent="0.2">
      <c r="C120" t="str">
        <f t="shared" si="9"/>
        <v>Founder 4</v>
      </c>
      <c r="D120" s="32">
        <f t="shared" si="11"/>
        <v>3.1233795943266737E-2</v>
      </c>
      <c r="E120" s="26">
        <f t="shared" si="10"/>
        <v>124935.18377306695</v>
      </c>
      <c r="F120" s="26"/>
      <c r="I120" s="50"/>
    </row>
    <row r="121" spans="1:9" x14ac:dyDescent="0.2">
      <c r="C121" t="str">
        <f t="shared" si="9"/>
        <v>New Teammate</v>
      </c>
      <c r="D121" s="32">
        <f t="shared" si="11"/>
        <v>0</v>
      </c>
      <c r="E121" s="26">
        <f t="shared" si="10"/>
        <v>0</v>
      </c>
      <c r="F121" s="26"/>
    </row>
    <row r="122" spans="1:9" x14ac:dyDescent="0.2">
      <c r="C122" t="str">
        <f t="shared" si="9"/>
        <v>New Teammate</v>
      </c>
      <c r="D122" s="32">
        <f t="shared" si="11"/>
        <v>0</v>
      </c>
      <c r="E122" s="26">
        <f t="shared" si="10"/>
        <v>0</v>
      </c>
      <c r="F122" s="26"/>
    </row>
    <row r="123" spans="1:9" x14ac:dyDescent="0.2">
      <c r="C123" t="str">
        <f t="shared" si="9"/>
        <v>Advisor</v>
      </c>
      <c r="D123" s="32">
        <f t="shared" si="11"/>
        <v>7.8084489858166843E-3</v>
      </c>
      <c r="E123" s="26">
        <f t="shared" si="10"/>
        <v>31233.795943266738</v>
      </c>
      <c r="F123" s="26"/>
    </row>
    <row r="124" spans="1:9" x14ac:dyDescent="0.2">
      <c r="C124" t="s">
        <v>44</v>
      </c>
      <c r="D124" s="32">
        <f>SUM(E102:E105)</f>
        <v>0.13118194296172031</v>
      </c>
      <c r="E124" s="26">
        <f t="shared" si="10"/>
        <v>524727.77184688125</v>
      </c>
      <c r="F124" s="26"/>
    </row>
    <row r="125" spans="1:9" x14ac:dyDescent="0.2">
      <c r="C125" s="14" t="s">
        <v>45</v>
      </c>
      <c r="D125" s="51">
        <f>SUM(D113:D124)</f>
        <v>1</v>
      </c>
      <c r="E125" s="52">
        <f>SUM(E113:E124)</f>
        <v>4000000</v>
      </c>
      <c r="F125" s="52">
        <f>SUM(F113:F124)</f>
        <v>1200000</v>
      </c>
    </row>
    <row r="126" spans="1:9" x14ac:dyDescent="0.2">
      <c r="D126" s="17" t="str">
        <f>IF(D125=1,"","ERROR!")</f>
        <v/>
      </c>
      <c r="E126" s="17" t="str">
        <f>IF(E125=D109,"","ERROR!")</f>
        <v/>
      </c>
    </row>
    <row r="127" spans="1:9" x14ac:dyDescent="0.2">
      <c r="D127" s="49"/>
    </row>
    <row r="128" spans="1:9" ht="23" x14ac:dyDescent="0.25">
      <c r="A128" s="6" t="s">
        <v>46</v>
      </c>
      <c r="D128" s="49"/>
    </row>
    <row r="129" spans="3:9" x14ac:dyDescent="0.2">
      <c r="D129" s="49"/>
    </row>
    <row r="130" spans="3:9" x14ac:dyDescent="0.2">
      <c r="D130" s="53" t="s">
        <v>47</v>
      </c>
      <c r="E130" s="54"/>
      <c r="G130" s="54"/>
      <c r="H130" s="54"/>
      <c r="I130" s="54"/>
    </row>
    <row r="131" spans="3:9" x14ac:dyDescent="0.2">
      <c r="C131" s="55" t="s">
        <v>48</v>
      </c>
      <c r="D131" s="56" t="s">
        <v>49</v>
      </c>
      <c r="E131" s="57"/>
      <c r="F131" s="57"/>
      <c r="G131" s="57"/>
      <c r="H131" s="57"/>
      <c r="I131" s="58"/>
    </row>
    <row r="132" spans="3:9" x14ac:dyDescent="0.2">
      <c r="C132" s="59">
        <f>G114</f>
        <v>2</v>
      </c>
      <c r="D132" s="60">
        <v>0.15</v>
      </c>
      <c r="E132" s="50">
        <f>D132+0.05</f>
        <v>0.2</v>
      </c>
      <c r="F132" s="50">
        <f>E132+0.05</f>
        <v>0.25</v>
      </c>
      <c r="G132" s="50">
        <f>F132+0.05</f>
        <v>0.3</v>
      </c>
      <c r="H132" s="50">
        <f>G132+0.05</f>
        <v>0.35</v>
      </c>
      <c r="I132" s="61">
        <f>H132+0.05</f>
        <v>0.39999999999999997</v>
      </c>
    </row>
    <row r="133" spans="3:9" x14ac:dyDescent="0.2">
      <c r="C133" s="62">
        <v>10000</v>
      </c>
      <c r="D133" s="63">
        <v>0.6</v>
      </c>
      <c r="E133" s="64">
        <v>0.8</v>
      </c>
      <c r="F133" s="64">
        <v>1</v>
      </c>
      <c r="G133" s="64">
        <v>1.2</v>
      </c>
      <c r="H133" s="64">
        <v>1.4</v>
      </c>
      <c r="I133" s="65">
        <v>1.6</v>
      </c>
    </row>
    <row r="134" spans="3:9" x14ac:dyDescent="0.2">
      <c r="C134" s="66">
        <f>C133+20000</f>
        <v>30000</v>
      </c>
      <c r="D134" s="67">
        <v>1.8</v>
      </c>
      <c r="E134" s="47">
        <v>2.4</v>
      </c>
      <c r="F134" s="47">
        <v>3.0000000000000004</v>
      </c>
      <c r="G134" s="47">
        <v>3.6</v>
      </c>
      <c r="H134" s="47">
        <v>4.1999999999999993</v>
      </c>
      <c r="I134" s="68">
        <v>4.8</v>
      </c>
    </row>
    <row r="135" spans="3:9" x14ac:dyDescent="0.2">
      <c r="C135" s="66">
        <f t="shared" ref="C135:C142" si="12">C134+20000</f>
        <v>50000</v>
      </c>
      <c r="D135" s="67">
        <v>2.9999999999999996</v>
      </c>
      <c r="E135" s="47">
        <v>4</v>
      </c>
      <c r="F135" s="47">
        <v>4.9999999999999991</v>
      </c>
      <c r="G135" s="47">
        <v>6</v>
      </c>
      <c r="H135" s="47">
        <v>7</v>
      </c>
      <c r="I135" s="68">
        <v>8</v>
      </c>
    </row>
    <row r="136" spans="3:9" x14ac:dyDescent="0.2">
      <c r="C136" s="66">
        <f t="shared" si="12"/>
        <v>70000</v>
      </c>
      <c r="D136" s="67">
        <v>4.2</v>
      </c>
      <c r="E136" s="47">
        <v>5.6</v>
      </c>
      <c r="F136" s="47">
        <v>7</v>
      </c>
      <c r="G136" s="47">
        <v>8.4</v>
      </c>
      <c r="H136" s="47">
        <v>9.8000000000000007</v>
      </c>
      <c r="I136" s="68">
        <v>11.2</v>
      </c>
    </row>
    <row r="137" spans="3:9" x14ac:dyDescent="0.2">
      <c r="C137" s="66">
        <f t="shared" si="12"/>
        <v>90000</v>
      </c>
      <c r="D137" s="67">
        <v>5.3999999999999995</v>
      </c>
      <c r="E137" s="47">
        <v>7.2</v>
      </c>
      <c r="F137" s="47">
        <v>9</v>
      </c>
      <c r="G137" s="47">
        <v>10.8</v>
      </c>
      <c r="H137" s="47">
        <v>12.599999999999998</v>
      </c>
      <c r="I137" s="68">
        <v>14.4</v>
      </c>
    </row>
    <row r="138" spans="3:9" x14ac:dyDescent="0.2">
      <c r="C138" s="66">
        <f t="shared" si="12"/>
        <v>110000</v>
      </c>
      <c r="D138" s="67">
        <v>6.6</v>
      </c>
      <c r="E138" s="47">
        <v>8.8000000000000007</v>
      </c>
      <c r="F138" s="47">
        <v>11</v>
      </c>
      <c r="G138" s="47">
        <v>13.2</v>
      </c>
      <c r="H138" s="47">
        <v>15.399999999999997</v>
      </c>
      <c r="I138" s="68">
        <v>17.600000000000001</v>
      </c>
    </row>
    <row r="139" spans="3:9" x14ac:dyDescent="0.2">
      <c r="C139" s="66">
        <f t="shared" si="12"/>
        <v>130000</v>
      </c>
      <c r="D139" s="67">
        <v>7.8</v>
      </c>
      <c r="E139" s="47">
        <v>10.4</v>
      </c>
      <c r="F139" s="47">
        <v>13</v>
      </c>
      <c r="G139" s="47">
        <v>15.6</v>
      </c>
      <c r="H139" s="47">
        <v>18.199999999999996</v>
      </c>
      <c r="I139" s="68">
        <v>20.8</v>
      </c>
    </row>
    <row r="140" spans="3:9" x14ac:dyDescent="0.2">
      <c r="C140" s="66">
        <f t="shared" si="12"/>
        <v>150000</v>
      </c>
      <c r="D140" s="67">
        <v>9</v>
      </c>
      <c r="E140" s="47">
        <v>12</v>
      </c>
      <c r="F140" s="47">
        <v>15</v>
      </c>
      <c r="G140" s="47">
        <v>18</v>
      </c>
      <c r="H140" s="47">
        <v>20.999999999999993</v>
      </c>
      <c r="I140" s="68">
        <v>23.999999999999996</v>
      </c>
    </row>
    <row r="141" spans="3:9" x14ac:dyDescent="0.2">
      <c r="C141" s="66">
        <f t="shared" si="12"/>
        <v>170000</v>
      </c>
      <c r="D141" s="67">
        <v>10.199999999999999</v>
      </c>
      <c r="E141" s="47">
        <v>13.6</v>
      </c>
      <c r="F141" s="47">
        <v>17</v>
      </c>
      <c r="G141" s="47">
        <v>20.399999999999999</v>
      </c>
      <c r="H141" s="47">
        <v>23.799999999999997</v>
      </c>
      <c r="I141" s="68">
        <v>27.2</v>
      </c>
    </row>
    <row r="142" spans="3:9" x14ac:dyDescent="0.2">
      <c r="C142" s="69">
        <f t="shared" si="12"/>
        <v>190000</v>
      </c>
      <c r="D142" s="70">
        <v>11.4</v>
      </c>
      <c r="E142" s="71">
        <v>15.2</v>
      </c>
      <c r="F142" s="71">
        <v>19</v>
      </c>
      <c r="G142" s="71">
        <v>22.8</v>
      </c>
      <c r="H142" s="71">
        <v>26.599999999999994</v>
      </c>
      <c r="I142" s="72">
        <v>30.4</v>
      </c>
    </row>
    <row r="143" spans="3:9" x14ac:dyDescent="0.2">
      <c r="D143" s="49"/>
    </row>
    <row r="144" spans="3:9" x14ac:dyDescent="0.2">
      <c r="D144" s="49"/>
    </row>
    <row r="145" spans="1:9" x14ac:dyDescent="0.2">
      <c r="I145" s="73"/>
    </row>
    <row r="146" spans="1:9" x14ac:dyDescent="0.2">
      <c r="I146" s="73"/>
    </row>
    <row r="150" spans="1:9" x14ac:dyDescent="0.2">
      <c r="A150" s="74"/>
      <c r="C150" s="75"/>
    </row>
  </sheetData>
  <conditionalFormatting sqref="D133:I142">
    <cfRule type="cellIs" dxfId="2" priority="1" stopIfTrue="1" operator="between">
      <formula>5</formula>
      <formula>10</formula>
    </cfRule>
    <cfRule type="cellIs" dxfId="1" priority="2" stopIfTrue="1" operator="greaterThan">
      <formula>10</formula>
    </cfRule>
    <cfRule type="cellIs" dxfId="0" priority="3" stopIfTrue="1" operator="lessThan">
      <formula>5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RVC Cover</vt:lpstr>
      <vt:lpstr>Cap Table</vt:lpstr>
      <vt:lpstr>ACapital</vt:lpstr>
      <vt:lpstr>AngelCapital</vt:lpstr>
      <vt:lpstr>BCapital</vt:lpstr>
      <vt:lpstr>SeedCapital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Burnes</cp:lastModifiedBy>
  <dcterms:created xsi:type="dcterms:W3CDTF">2022-10-25T16:22:26Z</dcterms:created>
  <dcterms:modified xsi:type="dcterms:W3CDTF">2024-11-01T17:56:47Z</dcterms:modified>
</cp:coreProperties>
</file>