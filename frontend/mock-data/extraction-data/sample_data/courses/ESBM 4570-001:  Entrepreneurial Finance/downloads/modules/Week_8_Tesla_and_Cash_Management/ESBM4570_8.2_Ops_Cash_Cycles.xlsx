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ESBM4570/F2025/Lectures/"/>
    </mc:Choice>
  </mc:AlternateContent>
  <xr:revisionPtr revIDLastSave="0" documentId="8_{9FB6A34B-B335-41F0-8D80-1E199A0A1D74}" xr6:coauthVersionLast="47" xr6:coauthVersionMax="47" xr10:uidLastSave="{00000000-0000-0000-0000-000000000000}"/>
  <bookViews>
    <workbookView xWindow="1125" yWindow="885" windowWidth="26700" windowHeight="13170" xr2:uid="{546D17DB-7CAE-EB47-93C3-69D7335A0C43}"/>
  </bookViews>
  <sheets>
    <sheet name="Cover" sheetId="7" r:id="rId1"/>
    <sheet name="Fin Statements" sheetId="13" r:id="rId2"/>
    <sheet name="Operating Cycle_Blank" sheetId="9" r:id="rId3"/>
    <sheet name="Cash Cycle_Blank" sheetId="11" r:id="rId4"/>
    <sheet name="Forecast_Blank" sheetId="15" r:id="rId5"/>
    <sheet name="Operating Cycle" sheetId="8" r:id="rId6"/>
    <sheet name="Cash Cycle" sheetId="10" r:id="rId7"/>
    <sheet name="Forecast_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6" l="1"/>
  <c r="E8" i="16"/>
  <c r="B8" i="15"/>
  <c r="B5" i="15"/>
  <c r="I24" i="13"/>
  <c r="I13" i="13"/>
  <c r="H13" i="13"/>
  <c r="I18" i="13"/>
  <c r="H18" i="13"/>
  <c r="H24" i="13" s="1"/>
  <c r="I12" i="13"/>
  <c r="H12" i="13"/>
  <c r="I8" i="13"/>
  <c r="H8" i="13"/>
  <c r="C6" i="13"/>
  <c r="C11" i="13" s="1"/>
  <c r="C13" i="13" s="1"/>
  <c r="C15" i="13" s="1"/>
  <c r="F14" i="16"/>
  <c r="E14" i="16"/>
  <c r="F9" i="16"/>
  <c r="F10" i="16"/>
  <c r="E10" i="16"/>
  <c r="E9" i="16"/>
  <c r="B8" i="16"/>
  <c r="B5" i="16"/>
  <c r="D4" i="16"/>
  <c r="E4" i="16" s="1"/>
  <c r="F4" i="16" s="1"/>
  <c r="D4" i="15"/>
  <c r="C10" i="10"/>
  <c r="B10" i="10"/>
  <c r="C9" i="10"/>
  <c r="C12" i="10" s="1"/>
  <c r="C14" i="10" s="1"/>
  <c r="B9" i="10"/>
  <c r="C22" i="8"/>
  <c r="B22" i="8"/>
  <c r="B21" i="8"/>
  <c r="B24" i="8" s="1"/>
  <c r="B26" i="8" s="1"/>
  <c r="C8" i="8"/>
  <c r="B8" i="8"/>
  <c r="C7" i="8"/>
  <c r="C10" i="8" s="1"/>
  <c r="C13" i="8" s="1"/>
  <c r="B7" i="8"/>
  <c r="B10" i="8" s="1"/>
  <c r="B13" i="8" s="1"/>
  <c r="D4" i="13"/>
  <c r="C21" i="8" s="1"/>
  <c r="C24" i="8" s="1"/>
  <c r="C26" i="8" s="1"/>
  <c r="C19" i="13"/>
  <c r="C30" i="8" l="1"/>
  <c r="C17" i="10" s="1"/>
  <c r="C16" i="13"/>
  <c r="C17" i="13" s="1"/>
  <c r="D6" i="13"/>
  <c r="D11" i="13" s="1"/>
  <c r="D13" i="13" s="1"/>
  <c r="D15" i="13" s="1"/>
  <c r="F5" i="16"/>
  <c r="F6" i="16" s="1"/>
  <c r="E5" i="16"/>
  <c r="E6" i="16" s="1"/>
  <c r="D16" i="13" l="1"/>
  <c r="D17" i="13" s="1"/>
  <c r="E11" i="16"/>
  <c r="E13" i="16" s="1"/>
  <c r="E15" i="16" s="1"/>
  <c r="F11" i="16"/>
  <c r="F13" i="16" s="1"/>
  <c r="F15" i="16" s="1"/>
  <c r="B30" i="8"/>
  <c r="B12" i="10"/>
  <c r="B14" i="10" s="1"/>
  <c r="B17" i="10" l="1"/>
  <c r="F16" i="16"/>
  <c r="F17" i="16" s="1"/>
  <c r="K11" i="16" s="1"/>
  <c r="E16" i="16"/>
  <c r="E17" i="16" s="1"/>
</calcChain>
</file>

<file path=xl/sharedStrings.xml><?xml version="1.0" encoding="utf-8"?>
<sst xmlns="http://schemas.openxmlformats.org/spreadsheetml/2006/main" count="138" uniqueCount="81">
  <si>
    <t>Net Income</t>
  </si>
  <si>
    <t>Depreciation</t>
  </si>
  <si>
    <t>Revenue</t>
  </si>
  <si>
    <t>Gross Profit</t>
  </si>
  <si>
    <t>EBIT</t>
  </si>
  <si>
    <t>ASSETS</t>
  </si>
  <si>
    <t>Current Assets</t>
  </si>
  <si>
    <t>Inventories</t>
  </si>
  <si>
    <t>Total Current Assets</t>
  </si>
  <si>
    <t>Fixed Assets</t>
  </si>
  <si>
    <t>Current Liabilities</t>
  </si>
  <si>
    <t>Total Current Liabilities</t>
  </si>
  <si>
    <t>Shareholders' Equity</t>
  </si>
  <si>
    <t>Interest</t>
  </si>
  <si>
    <t>Created by:</t>
  </si>
  <si>
    <t>Ellen Burnes</t>
  </si>
  <si>
    <t>Operating Cycle = Inventory Period + A/R Period</t>
  </si>
  <si>
    <t>Inventory Period = 365/inventory turnover</t>
  </si>
  <si>
    <t>COGS</t>
  </si>
  <si>
    <t>Inventory Turnover</t>
  </si>
  <si>
    <t>Inventory Period</t>
  </si>
  <si>
    <t>Receivables Period = 365/Receivables Turnover</t>
  </si>
  <si>
    <t xml:space="preserve">**You have to KNOW opr ASSUME the % total Sales that are credit. </t>
  </si>
  <si>
    <t>For this example, we will assume 100% are credit</t>
  </si>
  <si>
    <t>Credit Sales =</t>
  </si>
  <si>
    <t>Receivables Turnover</t>
  </si>
  <si>
    <t>Receivables Period</t>
  </si>
  <si>
    <t>OPERATING CYCLE =</t>
  </si>
  <si>
    <t>Cash Cycle = Operating Cycle - A/P Period</t>
  </si>
  <si>
    <t>We have Operating Cycle</t>
  </si>
  <si>
    <t>A/P Period =</t>
  </si>
  <si>
    <t>365/Payables Turnover</t>
  </si>
  <si>
    <t>Payables Turnover =</t>
  </si>
  <si>
    <t>Payables Turnover</t>
  </si>
  <si>
    <t>A/P Period</t>
  </si>
  <si>
    <t>CASH CYCLE</t>
  </si>
  <si>
    <t>Inventory Turnover = COGS/Inventory</t>
  </si>
  <si>
    <t>Receivables Turnover = Credit Sales/A/R</t>
  </si>
  <si>
    <r>
      <t xml:space="preserve">For this example, we will assume </t>
    </r>
    <r>
      <rPr>
        <b/>
        <sz val="12"/>
        <color theme="1"/>
        <rFont val="Calibri"/>
        <family val="2"/>
        <scheme val="minor"/>
      </rPr>
      <t xml:space="preserve">100% </t>
    </r>
    <r>
      <rPr>
        <sz val="12"/>
        <color theme="1"/>
        <rFont val="Calibri"/>
        <family val="2"/>
        <scheme val="minor"/>
      </rPr>
      <t>are credit</t>
    </r>
  </si>
  <si>
    <t xml:space="preserve">**You have to KNOW or ASSUME the % total Sales that are credit. </t>
  </si>
  <si>
    <t xml:space="preserve">Inventory = </t>
  </si>
  <si>
    <t>COGS/A/P</t>
  </si>
  <si>
    <t>Operating Cash Cycles</t>
  </si>
  <si>
    <t>(see Leach and Melicher, p. 220)</t>
  </si>
  <si>
    <t>OPEX</t>
  </si>
  <si>
    <t>Marketing</t>
  </si>
  <si>
    <t>General &amp; Administrative</t>
  </si>
  <si>
    <t>EBITDA</t>
  </si>
  <si>
    <t>Pre Tax Income</t>
  </si>
  <si>
    <t>R&amp;D</t>
  </si>
  <si>
    <t>Taxes</t>
  </si>
  <si>
    <t>INCOME STATEMENT</t>
  </si>
  <si>
    <t>BALANCE SHEET</t>
  </si>
  <si>
    <t>Cash</t>
  </si>
  <si>
    <t>A/R</t>
  </si>
  <si>
    <t>Gross Fixed Assets</t>
  </si>
  <si>
    <t>Accumulated Depreciation</t>
  </si>
  <si>
    <t>Net Fixed Assets</t>
  </si>
  <si>
    <t>LIABILITIES &amp; SE</t>
  </si>
  <si>
    <t>A/P</t>
  </si>
  <si>
    <t>Bank Notes</t>
  </si>
  <si>
    <t>Long Term Liabilities</t>
  </si>
  <si>
    <t>Debt</t>
  </si>
  <si>
    <t>Invested Capital</t>
  </si>
  <si>
    <t>Retained Earnings</t>
  </si>
  <si>
    <t>Total Liabilities &amp; SE</t>
  </si>
  <si>
    <t>Inventory Turnover = COGS/ Inventory</t>
  </si>
  <si>
    <t>1) inventory Period</t>
  </si>
  <si>
    <t>2) Receivables (A/R) Period</t>
  </si>
  <si>
    <t xml:space="preserve"> Inventory = </t>
  </si>
  <si>
    <t>COGS =</t>
  </si>
  <si>
    <t>days</t>
  </si>
  <si>
    <t>NO DECIMALS!!!</t>
  </si>
  <si>
    <t>Base</t>
  </si>
  <si>
    <t>Assump.</t>
  </si>
  <si>
    <t>Revenue Growth Rate Scenarios</t>
  </si>
  <si>
    <t>Intro to Forecasting</t>
  </si>
  <si>
    <t>DAYS</t>
  </si>
  <si>
    <t>Total Assets</t>
  </si>
  <si>
    <t>base</t>
  </si>
  <si>
    <t>growth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</si>
</sst>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EB67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rgb="FFCEB67A"/>
      </left>
      <right/>
      <top style="thick">
        <color rgb="FFCEB67A"/>
      </top>
      <bottom/>
      <diagonal/>
    </border>
    <border>
      <left/>
      <right/>
      <top style="thick">
        <color rgb="FFCEB67A"/>
      </top>
      <bottom/>
      <diagonal/>
    </border>
    <border>
      <left/>
      <right style="thick">
        <color rgb="FFCEB67A"/>
      </right>
      <top style="thick">
        <color rgb="FFCEB67A"/>
      </top>
      <bottom/>
      <diagonal/>
    </border>
    <border>
      <left style="thick">
        <color rgb="FFCEB67A"/>
      </left>
      <right/>
      <top/>
      <bottom/>
      <diagonal/>
    </border>
    <border>
      <left/>
      <right style="thick">
        <color rgb="FFCEB67A"/>
      </right>
      <top/>
      <bottom/>
      <diagonal/>
    </border>
    <border>
      <left style="thick">
        <color rgb="FFCEB67A"/>
      </left>
      <right/>
      <top/>
      <bottom style="thick">
        <color rgb="FFCEB67A"/>
      </bottom>
      <diagonal/>
    </border>
    <border>
      <left/>
      <right/>
      <top/>
      <bottom style="thick">
        <color rgb="FFCEB67A"/>
      </bottom>
      <diagonal/>
    </border>
    <border>
      <left/>
      <right style="thick">
        <color rgb="FFCEB67A"/>
      </right>
      <top/>
      <bottom style="thick">
        <color rgb="FFCEB67A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4">
    <xf numFmtId="0" fontId="0" fillId="0" borderId="0" xfId="0"/>
    <xf numFmtId="0" fontId="0" fillId="0" borderId="1" xfId="0" applyBorder="1"/>
    <xf numFmtId="3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 applyAlignment="1">
      <alignment horizontal="right"/>
    </xf>
    <xf numFmtId="0" fontId="1" fillId="3" borderId="0" xfId="0" applyFont="1" applyFill="1"/>
    <xf numFmtId="0" fontId="0" fillId="3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2" fontId="0" fillId="0" borderId="0" xfId="0" applyNumberFormat="1"/>
    <xf numFmtId="2" fontId="0" fillId="0" borderId="8" xfId="0" applyNumberFormat="1" applyBorder="1"/>
    <xf numFmtId="2" fontId="0" fillId="0" borderId="3" xfId="0" applyNumberFormat="1" applyBorder="1"/>
    <xf numFmtId="1" fontId="0" fillId="0" borderId="0" xfId="0" applyNumberFormat="1"/>
    <xf numFmtId="2" fontId="0" fillId="2" borderId="0" xfId="0" applyNumberFormat="1" applyFill="1"/>
    <xf numFmtId="0" fontId="0" fillId="0" borderId="0" xfId="0" applyAlignment="1">
      <alignment horizontal="right" wrapText="1"/>
    </xf>
    <xf numFmtId="0" fontId="0" fillId="4" borderId="0" xfId="0" applyFill="1"/>
    <xf numFmtId="0" fontId="1" fillId="4" borderId="0" xfId="0" applyFont="1" applyFill="1"/>
    <xf numFmtId="0" fontId="0" fillId="6" borderId="10" xfId="0" applyFill="1" applyBorder="1"/>
    <xf numFmtId="0" fontId="0" fillId="6" borderId="0" xfId="0" applyFill="1"/>
    <xf numFmtId="0" fontId="0" fillId="6" borderId="1" xfId="0" applyFill="1" applyBorder="1"/>
    <xf numFmtId="0" fontId="0" fillId="0" borderId="11" xfId="0" applyBorder="1"/>
    <xf numFmtId="0" fontId="0" fillId="5" borderId="11" xfId="0" applyFill="1" applyBorder="1"/>
    <xf numFmtId="0" fontId="0" fillId="6" borderId="12" xfId="0" applyFill="1" applyBorder="1"/>
    <xf numFmtId="0" fontId="0" fillId="0" borderId="13" xfId="0" applyBorder="1"/>
    <xf numFmtId="0" fontId="0" fillId="6" borderId="11" xfId="0" applyFill="1" applyBorder="1"/>
    <xf numFmtId="0" fontId="0" fillId="6" borderId="13" xfId="0" applyFill="1" applyBorder="1"/>
    <xf numFmtId="0" fontId="5" fillId="0" borderId="0" xfId="0" applyFont="1"/>
    <xf numFmtId="2" fontId="0" fillId="0" borderId="6" xfId="0" applyNumberFormat="1" applyBorder="1"/>
    <xf numFmtId="0" fontId="0" fillId="7" borderId="0" xfId="0" applyFill="1"/>
    <xf numFmtId="0" fontId="0" fillId="7" borderId="0" xfId="0" applyFill="1" applyAlignment="1">
      <alignment horizontal="right"/>
    </xf>
    <xf numFmtId="1" fontId="0" fillId="8" borderId="0" xfId="0" applyNumberFormat="1" applyFill="1"/>
    <xf numFmtId="0" fontId="1" fillId="0" borderId="0" xfId="0" applyFont="1"/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1" fillId="0" borderId="20" xfId="0" applyFont="1" applyBorder="1"/>
    <xf numFmtId="1" fontId="0" fillId="0" borderId="21" xfId="0" applyNumberFormat="1" applyBorder="1"/>
    <xf numFmtId="164" fontId="0" fillId="0" borderId="21" xfId="1" applyNumberFormat="1" applyFont="1" applyBorder="1"/>
    <xf numFmtId="164" fontId="0" fillId="0" borderId="22" xfId="1" applyNumberFormat="1" applyFont="1" applyBorder="1"/>
    <xf numFmtId="0" fontId="0" fillId="9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EB6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6CB7-941F-E14C-958B-80AD84DA6344}">
  <dimension ref="A1:B5"/>
  <sheetViews>
    <sheetView tabSelected="1" zoomScale="130" zoomScaleNormal="130" workbookViewId="0">
      <selection activeCell="D17" sqref="D17"/>
    </sheetView>
  </sheetViews>
  <sheetFormatPr defaultColWidth="10.875" defaultRowHeight="15.75" x14ac:dyDescent="0.25"/>
  <cols>
    <col min="1" max="16384" width="10.875" style="7"/>
  </cols>
  <sheetData>
    <row r="1" spans="1:2" s="6" customFormat="1" x14ac:dyDescent="0.25">
      <c r="A1" s="6" t="s">
        <v>42</v>
      </c>
    </row>
    <row r="2" spans="1:2" s="6" customFormat="1" x14ac:dyDescent="0.25">
      <c r="A2" s="6" t="s">
        <v>76</v>
      </c>
    </row>
    <row r="3" spans="1:2" s="6" customFormat="1" x14ac:dyDescent="0.25"/>
    <row r="4" spans="1:2" s="6" customFormat="1" x14ac:dyDescent="0.25"/>
    <row r="5" spans="1:2" s="6" customFormat="1" x14ac:dyDescent="0.25">
      <c r="A5" s="6" t="s">
        <v>14</v>
      </c>
      <c r="B5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01344-09CE-9443-9EBC-19F4AB8F46C0}">
  <dimension ref="A1:I24"/>
  <sheetViews>
    <sheetView zoomScale="130" zoomScaleNormal="130" workbookViewId="0">
      <selection activeCell="G14" sqref="G14"/>
    </sheetView>
  </sheetViews>
  <sheetFormatPr defaultColWidth="11" defaultRowHeight="15.75" x14ac:dyDescent="0.25"/>
  <cols>
    <col min="1" max="1" width="21" customWidth="1"/>
    <col min="2" max="2" width="7" customWidth="1"/>
    <col min="7" max="7" width="22.625" customWidth="1"/>
  </cols>
  <sheetData>
    <row r="1" spans="1:9" x14ac:dyDescent="0.25">
      <c r="A1" t="s">
        <v>43</v>
      </c>
    </row>
    <row r="2" spans="1:9" x14ac:dyDescent="0.25">
      <c r="A2" s="48" t="s">
        <v>51</v>
      </c>
      <c r="B2" s="48"/>
      <c r="C2" s="48"/>
      <c r="D2" s="48"/>
      <c r="G2" s="48" t="s">
        <v>52</v>
      </c>
      <c r="H2" s="49"/>
      <c r="I2" s="49"/>
    </row>
    <row r="3" spans="1:9" x14ac:dyDescent="0.25">
      <c r="C3">
        <v>2020</v>
      </c>
      <c r="D3" s="28">
        <v>2021</v>
      </c>
      <c r="G3" s="24" t="s">
        <v>5</v>
      </c>
      <c r="H3" s="23">
        <v>2020</v>
      </c>
      <c r="I3" s="23">
        <v>2021</v>
      </c>
    </row>
    <row r="4" spans="1:9" x14ac:dyDescent="0.25">
      <c r="A4" t="s">
        <v>2</v>
      </c>
      <c r="C4">
        <v>900000</v>
      </c>
      <c r="D4" s="28">
        <f>1500000</f>
        <v>1500000</v>
      </c>
      <c r="G4" t="s">
        <v>6</v>
      </c>
    </row>
    <row r="5" spans="1:9" x14ac:dyDescent="0.25">
      <c r="A5" t="s">
        <v>18</v>
      </c>
      <c r="C5">
        <v>540000</v>
      </c>
      <c r="D5" s="29">
        <v>900000</v>
      </c>
      <c r="G5" t="s">
        <v>53</v>
      </c>
      <c r="H5">
        <v>50000</v>
      </c>
      <c r="I5">
        <v>20000</v>
      </c>
    </row>
    <row r="6" spans="1:9" x14ac:dyDescent="0.25">
      <c r="A6" t="s">
        <v>3</v>
      </c>
      <c r="C6" s="25">
        <f>C4-C5</f>
        <v>360000</v>
      </c>
      <c r="D6" s="25">
        <f>D4-D5</f>
        <v>600000</v>
      </c>
      <c r="G6" t="s">
        <v>54</v>
      </c>
      <c r="H6">
        <v>200000</v>
      </c>
      <c r="I6">
        <v>280000</v>
      </c>
    </row>
    <row r="7" spans="1:9" x14ac:dyDescent="0.25">
      <c r="A7" t="s">
        <v>44</v>
      </c>
      <c r="D7" s="28"/>
      <c r="G7" t="s">
        <v>7</v>
      </c>
      <c r="H7">
        <v>400000</v>
      </c>
      <c r="I7">
        <v>500000</v>
      </c>
    </row>
    <row r="8" spans="1:9" x14ac:dyDescent="0.25">
      <c r="A8" s="3" t="s">
        <v>45</v>
      </c>
      <c r="B8" s="3"/>
      <c r="C8">
        <v>90000</v>
      </c>
      <c r="D8" s="29">
        <v>150000</v>
      </c>
      <c r="G8" s="5" t="s">
        <v>8</v>
      </c>
      <c r="H8">
        <f>SUM(H5:H7)</f>
        <v>650000</v>
      </c>
      <c r="I8">
        <f>SUM(I5:I7)</f>
        <v>800000</v>
      </c>
    </row>
    <row r="9" spans="1:9" ht="35.1" customHeight="1" x14ac:dyDescent="0.25">
      <c r="A9" s="22" t="s">
        <v>46</v>
      </c>
      <c r="B9" s="22"/>
      <c r="C9">
        <v>175000</v>
      </c>
      <c r="D9" s="28">
        <v>175000</v>
      </c>
      <c r="G9" t="s">
        <v>9</v>
      </c>
    </row>
    <row r="10" spans="1:9" ht="18" customHeight="1" x14ac:dyDescent="0.25">
      <c r="A10" s="22" t="s">
        <v>49</v>
      </c>
      <c r="B10" s="22"/>
      <c r="C10" s="1">
        <v>75000</v>
      </c>
      <c r="D10" s="31">
        <v>75000</v>
      </c>
      <c r="G10" t="s">
        <v>55</v>
      </c>
      <c r="H10">
        <v>450000</v>
      </c>
      <c r="I10">
        <v>540000</v>
      </c>
    </row>
    <row r="11" spans="1:9" x14ac:dyDescent="0.25">
      <c r="A11" t="s">
        <v>47</v>
      </c>
      <c r="C11" s="26">
        <f>C6-C8-C9-C10</f>
        <v>20000</v>
      </c>
      <c r="D11" s="26">
        <f>D6-D8-D9-D10</f>
        <v>200000</v>
      </c>
      <c r="G11" t="s">
        <v>56</v>
      </c>
      <c r="H11">
        <v>100000</v>
      </c>
      <c r="I11">
        <v>140000</v>
      </c>
    </row>
    <row r="12" spans="1:9" x14ac:dyDescent="0.25">
      <c r="A12" t="s">
        <v>1</v>
      </c>
      <c r="C12" s="1">
        <v>40000</v>
      </c>
      <c r="D12" s="31">
        <v>40000</v>
      </c>
      <c r="G12" s="5" t="s">
        <v>57</v>
      </c>
      <c r="H12">
        <f>H10-H11</f>
        <v>350000</v>
      </c>
      <c r="I12">
        <f>I10-I11</f>
        <v>400000</v>
      </c>
    </row>
    <row r="13" spans="1:9" x14ac:dyDescent="0.25">
      <c r="A13" t="s">
        <v>4</v>
      </c>
      <c r="C13" s="26">
        <f>C11-C12</f>
        <v>-20000</v>
      </c>
      <c r="D13" s="26">
        <f>D11-D12</f>
        <v>160000</v>
      </c>
      <c r="G13" s="5" t="s">
        <v>78</v>
      </c>
      <c r="H13">
        <f>H8+H12</f>
        <v>1000000</v>
      </c>
      <c r="I13">
        <f>I8+I12</f>
        <v>1200000</v>
      </c>
    </row>
    <row r="14" spans="1:9" x14ac:dyDescent="0.25">
      <c r="A14" t="s">
        <v>13</v>
      </c>
      <c r="C14" s="1">
        <v>45000</v>
      </c>
      <c r="D14" s="31">
        <v>60000</v>
      </c>
      <c r="G14" s="24" t="s">
        <v>58</v>
      </c>
      <c r="H14" s="23"/>
      <c r="I14" s="23"/>
    </row>
    <row r="15" spans="1:9" x14ac:dyDescent="0.25">
      <c r="A15" t="s">
        <v>48</v>
      </c>
      <c r="C15" s="26">
        <f>C13-C14</f>
        <v>-65000</v>
      </c>
      <c r="D15" s="26">
        <f>D13-D14</f>
        <v>100000</v>
      </c>
      <c r="G15" t="s">
        <v>10</v>
      </c>
    </row>
    <row r="16" spans="1:9" x14ac:dyDescent="0.25">
      <c r="A16" t="s">
        <v>50</v>
      </c>
      <c r="B16">
        <v>0.25</v>
      </c>
      <c r="C16" s="27">
        <f>IF(C15&gt;0,$B$16*C15,0)</f>
        <v>0</v>
      </c>
      <c r="D16" s="27">
        <f>IF(D15&gt;0,$B$16*D15,0)</f>
        <v>25000</v>
      </c>
      <c r="G16" t="s">
        <v>59</v>
      </c>
      <c r="H16">
        <v>130000</v>
      </c>
      <c r="I16">
        <v>160000</v>
      </c>
    </row>
    <row r="17" spans="1:9" x14ac:dyDescent="0.25">
      <c r="A17" t="s">
        <v>0</v>
      </c>
      <c r="C17" s="26">
        <f>C15-C16</f>
        <v>-65000</v>
      </c>
      <c r="D17" s="26">
        <f>D15-D16</f>
        <v>75000</v>
      </c>
      <c r="G17" t="s">
        <v>60</v>
      </c>
      <c r="H17" s="47">
        <v>140000</v>
      </c>
      <c r="I17" s="47">
        <v>170000</v>
      </c>
    </row>
    <row r="18" spans="1:9" x14ac:dyDescent="0.25">
      <c r="G18" s="5" t="s">
        <v>11</v>
      </c>
      <c r="H18">
        <f>H16+H17</f>
        <v>270000</v>
      </c>
      <c r="I18">
        <f>I16+I17</f>
        <v>330000</v>
      </c>
    </row>
    <row r="19" spans="1:9" x14ac:dyDescent="0.25">
      <c r="C19" t="str">
        <f ca="1">_xlfn.FORMULATEXT(C16)</f>
        <v>=IF(C15&gt;0,$B$16*C15,0)</v>
      </c>
      <c r="G19" t="s">
        <v>61</v>
      </c>
    </row>
    <row r="20" spans="1:9" x14ac:dyDescent="0.25">
      <c r="G20" t="s">
        <v>62</v>
      </c>
      <c r="H20">
        <v>300000</v>
      </c>
      <c r="I20">
        <v>400000</v>
      </c>
    </row>
    <row r="21" spans="1:9" x14ac:dyDescent="0.25">
      <c r="G21" t="s">
        <v>12</v>
      </c>
    </row>
    <row r="22" spans="1:9" x14ac:dyDescent="0.25">
      <c r="G22" t="s">
        <v>63</v>
      </c>
      <c r="H22">
        <v>350000</v>
      </c>
      <c r="I22">
        <v>350000</v>
      </c>
    </row>
    <row r="23" spans="1:9" x14ac:dyDescent="0.25">
      <c r="G23" t="s">
        <v>64</v>
      </c>
      <c r="H23">
        <v>80000</v>
      </c>
      <c r="I23">
        <v>120000</v>
      </c>
    </row>
    <row r="24" spans="1:9" x14ac:dyDescent="0.25">
      <c r="G24" s="5" t="s">
        <v>65</v>
      </c>
      <c r="H24">
        <f>H18+H20+H22+H23</f>
        <v>1000000</v>
      </c>
      <c r="I24">
        <f>I18+I20+I22+I23</f>
        <v>1200000</v>
      </c>
    </row>
  </sheetData>
  <mergeCells count="2">
    <mergeCell ref="A2:D2"/>
    <mergeCell ref="G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F8FD-A97E-0A46-BF3F-AA83E70541AD}">
  <dimension ref="A1:H31"/>
  <sheetViews>
    <sheetView topLeftCell="A15" zoomScale="120" zoomScaleNormal="120" workbookViewId="0">
      <selection activeCell="B31" sqref="B31:C31"/>
    </sheetView>
  </sheetViews>
  <sheetFormatPr defaultColWidth="11" defaultRowHeight="15.75" x14ac:dyDescent="0.25"/>
  <cols>
    <col min="1" max="1" width="20.125" customWidth="1"/>
    <col min="2" max="2" width="13.625" bestFit="1" customWidth="1"/>
    <col min="8" max="8" width="26.625" customWidth="1"/>
  </cols>
  <sheetData>
    <row r="1" spans="1:7" x14ac:dyDescent="0.25">
      <c r="A1" t="s">
        <v>16</v>
      </c>
    </row>
    <row r="3" spans="1:7" ht="16.5" thickBot="1" x14ac:dyDescent="0.3">
      <c r="A3" s="34" t="s">
        <v>67</v>
      </c>
    </row>
    <row r="4" spans="1:7" ht="16.5" thickTop="1" x14ac:dyDescent="0.25">
      <c r="A4" s="8" t="s">
        <v>17</v>
      </c>
      <c r="B4" s="9"/>
      <c r="C4" s="9"/>
      <c r="D4" s="9"/>
      <c r="E4" s="9"/>
      <c r="F4" s="9"/>
      <c r="G4" s="10"/>
    </row>
    <row r="5" spans="1:7" x14ac:dyDescent="0.25">
      <c r="A5" s="11"/>
      <c r="G5" s="12"/>
    </row>
    <row r="6" spans="1:7" x14ac:dyDescent="0.25">
      <c r="A6" s="11" t="s">
        <v>36</v>
      </c>
      <c r="G6" s="12"/>
    </row>
    <row r="7" spans="1:7" x14ac:dyDescent="0.25">
      <c r="A7" s="11"/>
      <c r="B7">
        <v>2020</v>
      </c>
      <c r="C7">
        <v>2021</v>
      </c>
      <c r="G7" s="12"/>
    </row>
    <row r="8" spans="1:7" x14ac:dyDescent="0.25">
      <c r="A8" s="11" t="s">
        <v>18</v>
      </c>
      <c r="B8" s="2"/>
      <c r="C8" s="2"/>
      <c r="G8" s="12"/>
    </row>
    <row r="9" spans="1:7" x14ac:dyDescent="0.25">
      <c r="A9" s="11" t="s">
        <v>40</v>
      </c>
      <c r="G9" s="12"/>
    </row>
    <row r="10" spans="1:7" x14ac:dyDescent="0.25">
      <c r="A10" s="11"/>
      <c r="G10" s="12"/>
    </row>
    <row r="11" spans="1:7" x14ac:dyDescent="0.25">
      <c r="A11" s="11" t="s">
        <v>19</v>
      </c>
      <c r="B11" s="17"/>
      <c r="C11" s="17"/>
      <c r="D11" s="13"/>
      <c r="G11" s="12"/>
    </row>
    <row r="12" spans="1:7" x14ac:dyDescent="0.25">
      <c r="A12" s="11"/>
      <c r="B12" s="17"/>
      <c r="G12" s="12"/>
    </row>
    <row r="13" spans="1:7" x14ac:dyDescent="0.25">
      <c r="A13" s="11"/>
      <c r="B13" s="17"/>
      <c r="G13" s="12"/>
    </row>
    <row r="14" spans="1:7" x14ac:dyDescent="0.25">
      <c r="A14" s="11" t="s">
        <v>20</v>
      </c>
      <c r="B14" s="17"/>
      <c r="C14" s="17"/>
      <c r="D14" s="13"/>
      <c r="G14" s="12"/>
    </row>
    <row r="15" spans="1:7" ht="16.5" thickBot="1" x14ac:dyDescent="0.3">
      <c r="A15" s="14"/>
      <c r="B15" s="18"/>
      <c r="C15" s="15"/>
      <c r="D15" s="15"/>
      <c r="E15" s="15"/>
      <c r="F15" s="15"/>
      <c r="G15" s="16"/>
    </row>
    <row r="16" spans="1:7" ht="16.5" thickTop="1" x14ac:dyDescent="0.25">
      <c r="B16" s="17"/>
    </row>
    <row r="17" spans="1:8" ht="16.5" thickBot="1" x14ac:dyDescent="0.3">
      <c r="A17" s="34" t="s">
        <v>68</v>
      </c>
      <c r="B17" s="17"/>
    </row>
    <row r="18" spans="1:8" ht="16.5" thickTop="1" x14ac:dyDescent="0.25">
      <c r="A18" s="8" t="s">
        <v>21</v>
      </c>
      <c r="B18" s="19"/>
      <c r="C18" s="9"/>
      <c r="D18" s="9"/>
      <c r="E18" s="9"/>
      <c r="F18" s="9"/>
      <c r="G18" s="9"/>
      <c r="H18" s="10"/>
    </row>
    <row r="19" spans="1:8" x14ac:dyDescent="0.25">
      <c r="A19" s="11"/>
      <c r="B19" s="17"/>
      <c r="H19" s="12"/>
    </row>
    <row r="20" spans="1:8" x14ac:dyDescent="0.25">
      <c r="A20" s="11" t="s">
        <v>37</v>
      </c>
      <c r="B20" s="17"/>
      <c r="E20" s="39" t="s">
        <v>39</v>
      </c>
      <c r="H20" s="12"/>
    </row>
    <row r="21" spans="1:8" x14ac:dyDescent="0.25">
      <c r="A21" s="11"/>
      <c r="B21" s="20">
        <v>2020</v>
      </c>
      <c r="C21">
        <v>2021</v>
      </c>
      <c r="E21" t="s">
        <v>38</v>
      </c>
      <c r="H21" s="12"/>
    </row>
    <row r="22" spans="1:8" x14ac:dyDescent="0.25">
      <c r="A22" s="11" t="s">
        <v>24</v>
      </c>
      <c r="B22" s="20"/>
      <c r="C22" s="20"/>
      <c r="H22" s="12"/>
    </row>
    <row r="23" spans="1:8" x14ac:dyDescent="0.25">
      <c r="A23" s="11" t="s">
        <v>54</v>
      </c>
      <c r="B23" s="20"/>
      <c r="C23" s="20"/>
      <c r="H23" s="12"/>
    </row>
    <row r="24" spans="1:8" x14ac:dyDescent="0.25">
      <c r="A24" s="11"/>
      <c r="B24" s="17"/>
      <c r="H24" s="12"/>
    </row>
    <row r="25" spans="1:8" x14ac:dyDescent="0.25">
      <c r="A25" s="11" t="s">
        <v>25</v>
      </c>
      <c r="B25" s="17"/>
      <c r="C25" s="17"/>
      <c r="H25" s="12"/>
    </row>
    <row r="26" spans="1:8" x14ac:dyDescent="0.25">
      <c r="A26" s="11"/>
      <c r="H26" s="12"/>
    </row>
    <row r="27" spans="1:8" x14ac:dyDescent="0.25">
      <c r="A27" s="11" t="s">
        <v>26</v>
      </c>
      <c r="B27" s="17"/>
      <c r="C27" s="17"/>
      <c r="H27" s="12"/>
    </row>
    <row r="28" spans="1:8" ht="16.5" thickBot="1" x14ac:dyDescent="0.3">
      <c r="A28" s="14"/>
      <c r="B28" s="15"/>
      <c r="C28" s="15"/>
      <c r="D28" s="15"/>
      <c r="E28" s="15"/>
      <c r="F28" s="15"/>
      <c r="G28" s="15"/>
      <c r="H28" s="16"/>
    </row>
    <row r="29" spans="1:8" ht="16.5" thickTop="1" x14ac:dyDescent="0.25"/>
    <row r="31" spans="1:8" x14ac:dyDescent="0.25">
      <c r="A31" s="4" t="s">
        <v>27</v>
      </c>
      <c r="B31" s="21"/>
      <c r="C31" s="21"/>
      <c r="D31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AEDA7-A55A-C84B-A7E0-EEC4EF2A68A6}">
  <dimension ref="A1:D17"/>
  <sheetViews>
    <sheetView workbookViewId="0">
      <selection activeCell="B17" sqref="B17:C17"/>
    </sheetView>
  </sheetViews>
  <sheetFormatPr defaultColWidth="11" defaultRowHeight="15.75" x14ac:dyDescent="0.25"/>
  <cols>
    <col min="1" max="1" width="21.625" customWidth="1"/>
  </cols>
  <sheetData>
    <row r="1" spans="1:4" x14ac:dyDescent="0.25">
      <c r="A1" t="s">
        <v>28</v>
      </c>
    </row>
    <row r="3" spans="1:4" x14ac:dyDescent="0.25">
      <c r="A3" t="s">
        <v>29</v>
      </c>
    </row>
    <row r="4" spans="1:4" ht="16.5" thickBot="1" x14ac:dyDescent="0.3"/>
    <row r="5" spans="1:4" ht="16.5" thickTop="1" x14ac:dyDescent="0.25">
      <c r="A5" s="8" t="s">
        <v>30</v>
      </c>
      <c r="B5" s="9" t="s">
        <v>31</v>
      </c>
      <c r="C5" s="10"/>
    </row>
    <row r="6" spans="1:4" x14ac:dyDescent="0.25">
      <c r="A6" s="11"/>
      <c r="C6" s="12"/>
    </row>
    <row r="7" spans="1:4" x14ac:dyDescent="0.25">
      <c r="A7" s="11" t="s">
        <v>32</v>
      </c>
      <c r="B7" t="s">
        <v>41</v>
      </c>
      <c r="C7" s="12"/>
    </row>
    <row r="8" spans="1:4" x14ac:dyDescent="0.25">
      <c r="A8" s="11"/>
      <c r="C8" s="12"/>
    </row>
    <row r="9" spans="1:4" x14ac:dyDescent="0.25">
      <c r="A9" s="11" t="s">
        <v>18</v>
      </c>
      <c r="B9" s="2"/>
      <c r="C9" s="2"/>
    </row>
    <row r="10" spans="1:4" x14ac:dyDescent="0.25">
      <c r="A10" s="11" t="s">
        <v>59</v>
      </c>
    </row>
    <row r="11" spans="1:4" x14ac:dyDescent="0.25">
      <c r="A11" s="11"/>
      <c r="C11" s="12"/>
    </row>
    <row r="12" spans="1:4" x14ac:dyDescent="0.25">
      <c r="A12" s="11" t="s">
        <v>33</v>
      </c>
      <c r="B12" s="17"/>
      <c r="C12" s="17"/>
    </row>
    <row r="13" spans="1:4" x14ac:dyDescent="0.25">
      <c r="A13" s="11"/>
      <c r="C13" s="12"/>
    </row>
    <row r="14" spans="1:4" ht="16.5" thickBot="1" x14ac:dyDescent="0.3">
      <c r="A14" s="14" t="s">
        <v>34</v>
      </c>
      <c r="B14" s="18"/>
      <c r="C14" s="18"/>
      <c r="D14" t="s">
        <v>71</v>
      </c>
    </row>
    <row r="15" spans="1:4" ht="16.5" thickTop="1" x14ac:dyDescent="0.25"/>
    <row r="16" spans="1:4" x14ac:dyDescent="0.25">
      <c r="B16">
        <v>2020</v>
      </c>
      <c r="C16">
        <v>2021</v>
      </c>
    </row>
    <row r="17" spans="1:3" x14ac:dyDescent="0.25">
      <c r="A17" s="4" t="s">
        <v>35</v>
      </c>
      <c r="B17" s="21"/>
      <c r="C17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6D83B-3BBE-DE40-85F7-28DF13BD3463}">
  <dimension ref="A1:M17"/>
  <sheetViews>
    <sheetView zoomScale="130" zoomScaleNormal="130" workbookViewId="0">
      <selection activeCell="G5" sqref="G5"/>
    </sheetView>
  </sheetViews>
  <sheetFormatPr defaultColWidth="11" defaultRowHeight="15.75" x14ac:dyDescent="0.25"/>
  <sheetData>
    <row r="1" spans="1:13" x14ac:dyDescent="0.25">
      <c r="J1" s="49" t="s">
        <v>80</v>
      </c>
      <c r="K1" s="49"/>
      <c r="L1" s="49"/>
      <c r="M1" s="49"/>
    </row>
    <row r="2" spans="1:13" x14ac:dyDescent="0.25">
      <c r="A2" s="48" t="s">
        <v>51</v>
      </c>
      <c r="B2" s="48"/>
      <c r="C2" s="48"/>
      <c r="D2" s="48"/>
      <c r="I2" t="s">
        <v>79</v>
      </c>
      <c r="J2">
        <v>0.1</v>
      </c>
      <c r="K2">
        <v>0.2</v>
      </c>
      <c r="L2">
        <v>0.3</v>
      </c>
      <c r="M2">
        <v>0.4</v>
      </c>
    </row>
    <row r="3" spans="1:13" x14ac:dyDescent="0.25">
      <c r="B3" t="s">
        <v>74</v>
      </c>
      <c r="C3">
        <v>2020</v>
      </c>
      <c r="D3" s="28">
        <v>2021</v>
      </c>
      <c r="E3">
        <v>2022</v>
      </c>
      <c r="F3">
        <v>2023</v>
      </c>
      <c r="I3" s="20"/>
    </row>
    <row r="4" spans="1:13" x14ac:dyDescent="0.25">
      <c r="A4" t="s">
        <v>2</v>
      </c>
      <c r="B4" s="36">
        <v>0.25</v>
      </c>
      <c r="C4">
        <v>900000</v>
      </c>
      <c r="D4" s="28">
        <f>1500000</f>
        <v>1500000</v>
      </c>
    </row>
    <row r="5" spans="1:13" x14ac:dyDescent="0.25">
      <c r="A5" t="s">
        <v>18</v>
      </c>
      <c r="B5" s="36">
        <f>C5/C4</f>
        <v>0.6</v>
      </c>
      <c r="C5">
        <v>540000</v>
      </c>
      <c r="D5" s="29">
        <v>900000</v>
      </c>
    </row>
    <row r="6" spans="1:13" x14ac:dyDescent="0.25">
      <c r="A6" t="s">
        <v>3</v>
      </c>
      <c r="C6" s="25"/>
      <c r="D6" s="30"/>
    </row>
    <row r="7" spans="1:13" x14ac:dyDescent="0.25">
      <c r="A7" t="s">
        <v>44</v>
      </c>
      <c r="D7" s="28"/>
    </row>
    <row r="8" spans="1:13" x14ac:dyDescent="0.25">
      <c r="A8" s="3" t="s">
        <v>45</v>
      </c>
      <c r="B8" s="37">
        <f>C8/C4</f>
        <v>0.1</v>
      </c>
      <c r="C8">
        <v>90000</v>
      </c>
      <c r="D8" s="29">
        <v>150000</v>
      </c>
    </row>
    <row r="9" spans="1:13" ht="47.25" x14ac:dyDescent="0.25">
      <c r="A9" s="22" t="s">
        <v>46</v>
      </c>
      <c r="B9" s="22"/>
      <c r="C9">
        <v>175000</v>
      </c>
      <c r="D9" s="28">
        <v>175000</v>
      </c>
      <c r="E9" s="28"/>
      <c r="F9" s="28"/>
    </row>
    <row r="10" spans="1:13" x14ac:dyDescent="0.25">
      <c r="A10" s="22" t="s">
        <v>49</v>
      </c>
      <c r="B10" s="22"/>
      <c r="C10" s="1">
        <v>75000</v>
      </c>
      <c r="D10" s="31">
        <v>75000</v>
      </c>
      <c r="E10" s="31"/>
      <c r="F10" s="31"/>
    </row>
    <row r="11" spans="1:13" x14ac:dyDescent="0.25">
      <c r="A11" t="s">
        <v>47</v>
      </c>
      <c r="C11" s="26"/>
      <c r="D11" s="32"/>
    </row>
    <row r="12" spans="1:13" x14ac:dyDescent="0.25">
      <c r="A12" t="s">
        <v>1</v>
      </c>
      <c r="C12" s="1">
        <v>40000</v>
      </c>
      <c r="D12" s="31">
        <v>40000</v>
      </c>
      <c r="E12" s="31"/>
      <c r="F12" s="31"/>
    </row>
    <row r="13" spans="1:13" x14ac:dyDescent="0.25">
      <c r="A13" t="s">
        <v>4</v>
      </c>
      <c r="C13" s="26"/>
      <c r="D13" s="32"/>
    </row>
    <row r="14" spans="1:13" x14ac:dyDescent="0.25">
      <c r="A14" t="s">
        <v>13</v>
      </c>
      <c r="B14" s="36"/>
      <c r="C14" s="1">
        <v>45000</v>
      </c>
      <c r="D14" s="31">
        <v>60000</v>
      </c>
      <c r="E14" s="31"/>
      <c r="F14" s="31"/>
    </row>
    <row r="15" spans="1:13" x14ac:dyDescent="0.25">
      <c r="A15" t="s">
        <v>48</v>
      </c>
      <c r="C15" s="26"/>
      <c r="D15" s="32"/>
    </row>
    <row r="16" spans="1:13" x14ac:dyDescent="0.25">
      <c r="A16" t="s">
        <v>50</v>
      </c>
      <c r="B16">
        <v>0.25</v>
      </c>
      <c r="C16" s="27"/>
      <c r="D16" s="33"/>
      <c r="F16" s="20"/>
    </row>
    <row r="17" spans="1:6" x14ac:dyDescent="0.25">
      <c r="A17" t="s">
        <v>0</v>
      </c>
      <c r="C17" s="26"/>
      <c r="D17" s="32"/>
      <c r="F17" s="20"/>
    </row>
  </sheetData>
  <mergeCells count="2">
    <mergeCell ref="A2:D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84B3-2576-5049-9AD2-58FACECFB167}">
  <dimension ref="A1:H30"/>
  <sheetViews>
    <sheetView workbookViewId="0">
      <selection activeCell="B13" sqref="B13"/>
    </sheetView>
  </sheetViews>
  <sheetFormatPr defaultColWidth="11" defaultRowHeight="15.75" x14ac:dyDescent="0.25"/>
  <cols>
    <col min="1" max="1" width="20.125" customWidth="1"/>
    <col min="2" max="2" width="13.625" bestFit="1" customWidth="1"/>
    <col min="8" max="8" width="26.625" customWidth="1"/>
  </cols>
  <sheetData>
    <row r="1" spans="1:7" x14ac:dyDescent="0.25">
      <c r="A1" t="s">
        <v>16</v>
      </c>
    </row>
    <row r="2" spans="1:7" ht="16.5" thickBot="1" x14ac:dyDescent="0.3"/>
    <row r="3" spans="1:7" ht="16.5" thickTop="1" x14ac:dyDescent="0.25">
      <c r="A3" s="8" t="s">
        <v>17</v>
      </c>
      <c r="B3" s="9"/>
      <c r="C3" s="9"/>
      <c r="D3" s="9"/>
      <c r="E3" s="9"/>
      <c r="F3" s="9"/>
      <c r="G3" s="10"/>
    </row>
    <row r="4" spans="1:7" x14ac:dyDescent="0.25">
      <c r="A4" s="11"/>
      <c r="G4" s="12"/>
    </row>
    <row r="5" spans="1:7" x14ac:dyDescent="0.25">
      <c r="A5" s="11" t="s">
        <v>66</v>
      </c>
      <c r="G5" s="12"/>
    </row>
    <row r="6" spans="1:7" x14ac:dyDescent="0.25">
      <c r="A6" s="11"/>
      <c r="B6">
        <v>2021</v>
      </c>
      <c r="C6">
        <v>2021</v>
      </c>
      <c r="G6" s="12"/>
    </row>
    <row r="7" spans="1:7" x14ac:dyDescent="0.25">
      <c r="A7" s="11" t="s">
        <v>70</v>
      </c>
      <c r="B7" s="2">
        <f>'Fin Statements'!C5</f>
        <v>540000</v>
      </c>
      <c r="C7" s="2">
        <f>'Fin Statements'!D5</f>
        <v>900000</v>
      </c>
      <c r="G7" s="12"/>
    </row>
    <row r="8" spans="1:7" x14ac:dyDescent="0.25">
      <c r="A8" s="11" t="s">
        <v>69</v>
      </c>
      <c r="B8">
        <f>'Fin Statements'!H7</f>
        <v>400000</v>
      </c>
      <c r="C8">
        <f>'Fin Statements'!I7</f>
        <v>500000</v>
      </c>
      <c r="G8" s="12"/>
    </row>
    <row r="9" spans="1:7" x14ac:dyDescent="0.25">
      <c r="A9" s="11"/>
      <c r="G9" s="12"/>
    </row>
    <row r="10" spans="1:7" x14ac:dyDescent="0.25">
      <c r="A10" s="11" t="s">
        <v>19</v>
      </c>
      <c r="B10" s="17">
        <f>B7/B8</f>
        <v>1.35</v>
      </c>
      <c r="C10" s="17">
        <f>C7/C8</f>
        <v>1.8</v>
      </c>
      <c r="D10" s="13"/>
      <c r="G10" s="12"/>
    </row>
    <row r="11" spans="1:7" x14ac:dyDescent="0.25">
      <c r="A11" s="11"/>
      <c r="B11" s="17"/>
      <c r="G11" s="12"/>
    </row>
    <row r="12" spans="1:7" x14ac:dyDescent="0.25">
      <c r="A12" s="11"/>
      <c r="B12" s="17"/>
      <c r="G12" s="12"/>
    </row>
    <row r="13" spans="1:7" x14ac:dyDescent="0.25">
      <c r="A13" s="11" t="s">
        <v>20</v>
      </c>
      <c r="B13" s="17">
        <f>365/B10</f>
        <v>270.37037037037038</v>
      </c>
      <c r="C13" s="17">
        <f>365/C10</f>
        <v>202.77777777777777</v>
      </c>
      <c r="D13" s="13"/>
      <c r="G13" s="12"/>
    </row>
    <row r="14" spans="1:7" ht="16.5" thickBot="1" x14ac:dyDescent="0.3">
      <c r="A14" s="14"/>
      <c r="B14" s="18"/>
      <c r="C14" s="15"/>
      <c r="D14" s="15"/>
      <c r="E14" s="15"/>
      <c r="F14" s="15"/>
      <c r="G14" s="16"/>
    </row>
    <row r="15" spans="1:7" ht="16.5" thickTop="1" x14ac:dyDescent="0.25">
      <c r="B15" s="17"/>
    </row>
    <row r="16" spans="1:7" ht="16.5" thickBot="1" x14ac:dyDescent="0.3">
      <c r="B16" s="17"/>
    </row>
    <row r="17" spans="1:8" ht="16.5" thickTop="1" x14ac:dyDescent="0.25">
      <c r="A17" s="8" t="s">
        <v>21</v>
      </c>
      <c r="B17" s="19"/>
      <c r="C17" s="9"/>
      <c r="D17" s="9"/>
      <c r="E17" s="9"/>
      <c r="F17" s="9"/>
      <c r="G17" s="9"/>
      <c r="H17" s="10"/>
    </row>
    <row r="18" spans="1:8" x14ac:dyDescent="0.25">
      <c r="A18" s="11"/>
      <c r="B18" s="17"/>
      <c r="H18" s="12"/>
    </row>
    <row r="19" spans="1:8" x14ac:dyDescent="0.25">
      <c r="A19" s="11" t="s">
        <v>37</v>
      </c>
      <c r="B19" s="17"/>
      <c r="E19" t="s">
        <v>22</v>
      </c>
      <c r="H19" s="12"/>
    </row>
    <row r="20" spans="1:8" x14ac:dyDescent="0.25">
      <c r="A20" s="11"/>
      <c r="B20" s="20">
        <v>2020</v>
      </c>
      <c r="C20">
        <v>2021</v>
      </c>
      <c r="E20" t="s">
        <v>23</v>
      </c>
      <c r="H20" s="12"/>
    </row>
    <row r="21" spans="1:8" x14ac:dyDescent="0.25">
      <c r="A21" s="11" t="s">
        <v>24</v>
      </c>
      <c r="B21" s="20">
        <f>'Fin Statements'!C4</f>
        <v>900000</v>
      </c>
      <c r="C21" s="20">
        <f>'Fin Statements'!D4</f>
        <v>1500000</v>
      </c>
      <c r="H21" s="12"/>
    </row>
    <row r="22" spans="1:8" x14ac:dyDescent="0.25">
      <c r="A22" s="11" t="s">
        <v>54</v>
      </c>
      <c r="B22" s="20">
        <f>'Fin Statements'!H6</f>
        <v>200000</v>
      </c>
      <c r="C22" s="20">
        <f>'Fin Statements'!I6</f>
        <v>280000</v>
      </c>
      <c r="H22" s="12"/>
    </row>
    <row r="23" spans="1:8" x14ac:dyDescent="0.25">
      <c r="A23" s="11"/>
      <c r="B23" s="17"/>
      <c r="H23" s="12"/>
    </row>
    <row r="24" spans="1:8" x14ac:dyDescent="0.25">
      <c r="A24" s="11" t="s">
        <v>25</v>
      </c>
      <c r="B24" s="17">
        <f>B21/B22</f>
        <v>4.5</v>
      </c>
      <c r="C24" s="17">
        <f>C21/C22</f>
        <v>5.3571428571428568</v>
      </c>
      <c r="H24" s="12"/>
    </row>
    <row r="25" spans="1:8" x14ac:dyDescent="0.25">
      <c r="A25" s="11"/>
      <c r="H25" s="12"/>
    </row>
    <row r="26" spans="1:8" x14ac:dyDescent="0.25">
      <c r="A26" s="11" t="s">
        <v>26</v>
      </c>
      <c r="B26" s="17">
        <f>365/B24</f>
        <v>81.111111111111114</v>
      </c>
      <c r="C26" s="17">
        <f>365/C24</f>
        <v>68.13333333333334</v>
      </c>
      <c r="H26" s="12"/>
    </row>
    <row r="27" spans="1:8" ht="16.5" thickBot="1" x14ac:dyDescent="0.3">
      <c r="A27" s="14"/>
      <c r="B27" s="15"/>
      <c r="C27" s="15"/>
      <c r="D27" s="15"/>
      <c r="E27" s="15"/>
      <c r="F27" s="15"/>
      <c r="G27" s="15"/>
      <c r="H27" s="16"/>
    </row>
    <row r="28" spans="1:8" ht="16.5" thickTop="1" x14ac:dyDescent="0.25"/>
    <row r="29" spans="1:8" x14ac:dyDescent="0.25">
      <c r="B29">
        <v>2020</v>
      </c>
      <c r="C29">
        <v>2021</v>
      </c>
    </row>
    <row r="30" spans="1:8" x14ac:dyDescent="0.25">
      <c r="A30" s="4" t="s">
        <v>27</v>
      </c>
      <c r="B30" s="21">
        <f>B13+B26</f>
        <v>351.48148148148152</v>
      </c>
      <c r="C30" s="21">
        <f>C13+C26</f>
        <v>270.9111111111111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CE5F-DCB9-0341-9A5C-1077BAF40FF8}">
  <dimension ref="A1:C17"/>
  <sheetViews>
    <sheetView workbookViewId="0">
      <selection activeCell="C14" sqref="C14"/>
    </sheetView>
  </sheetViews>
  <sheetFormatPr defaultColWidth="11" defaultRowHeight="15.75" x14ac:dyDescent="0.25"/>
  <cols>
    <col min="1" max="1" width="21.875" customWidth="1"/>
  </cols>
  <sheetData>
    <row r="1" spans="1:3" x14ac:dyDescent="0.25">
      <c r="A1" t="s">
        <v>28</v>
      </c>
    </row>
    <row r="3" spans="1:3" x14ac:dyDescent="0.25">
      <c r="A3" t="s">
        <v>29</v>
      </c>
    </row>
    <row r="4" spans="1:3" ht="16.5" thickBot="1" x14ac:dyDescent="0.3"/>
    <row r="5" spans="1:3" ht="16.5" thickTop="1" x14ac:dyDescent="0.25">
      <c r="A5" s="8" t="s">
        <v>30</v>
      </c>
      <c r="B5" s="9" t="s">
        <v>31</v>
      </c>
      <c r="C5" s="10"/>
    </row>
    <row r="6" spans="1:3" x14ac:dyDescent="0.25">
      <c r="A6" s="11"/>
      <c r="C6" s="12"/>
    </row>
    <row r="7" spans="1:3" x14ac:dyDescent="0.25">
      <c r="A7" s="11" t="s">
        <v>32</v>
      </c>
      <c r="B7" t="s">
        <v>41</v>
      </c>
      <c r="C7" s="12"/>
    </row>
    <row r="8" spans="1:3" x14ac:dyDescent="0.25">
      <c r="A8" s="11"/>
      <c r="B8">
        <v>2020</v>
      </c>
      <c r="C8" s="12">
        <v>2021</v>
      </c>
    </row>
    <row r="9" spans="1:3" x14ac:dyDescent="0.25">
      <c r="A9" s="11" t="s">
        <v>70</v>
      </c>
      <c r="B9" s="2">
        <f>'Fin Statements'!C5</f>
        <v>540000</v>
      </c>
      <c r="C9" s="12">
        <f>'Fin Statements'!D5</f>
        <v>900000</v>
      </c>
    </row>
    <row r="10" spans="1:3" x14ac:dyDescent="0.25">
      <c r="A10" s="11" t="s">
        <v>59</v>
      </c>
      <c r="B10">
        <f>'Fin Statements'!H16</f>
        <v>130000</v>
      </c>
      <c r="C10" s="12">
        <f>'Fin Statements'!I16</f>
        <v>160000</v>
      </c>
    </row>
    <row r="11" spans="1:3" x14ac:dyDescent="0.25">
      <c r="A11" s="11"/>
      <c r="C11" s="12"/>
    </row>
    <row r="12" spans="1:3" x14ac:dyDescent="0.25">
      <c r="A12" s="11" t="s">
        <v>33</v>
      </c>
      <c r="B12" s="17">
        <f>B9/B10</f>
        <v>4.1538461538461542</v>
      </c>
      <c r="C12" s="12">
        <f>C9/C10</f>
        <v>5.625</v>
      </c>
    </row>
    <row r="13" spans="1:3" x14ac:dyDescent="0.25">
      <c r="A13" s="11"/>
      <c r="C13" s="12"/>
    </row>
    <row r="14" spans="1:3" ht="16.5" thickBot="1" x14ac:dyDescent="0.3">
      <c r="A14" s="14" t="s">
        <v>34</v>
      </c>
      <c r="B14" s="18">
        <f>365/B12</f>
        <v>87.870370370370367</v>
      </c>
      <c r="C14" s="35">
        <f>365/C12</f>
        <v>64.888888888888886</v>
      </c>
    </row>
    <row r="15" spans="1:3" ht="16.5" thickTop="1" x14ac:dyDescent="0.25"/>
    <row r="16" spans="1:3" x14ac:dyDescent="0.25">
      <c r="B16">
        <v>2020</v>
      </c>
      <c r="C16">
        <v>2021</v>
      </c>
    </row>
    <row r="17" spans="1:3" x14ac:dyDescent="0.25">
      <c r="A17" s="4" t="s">
        <v>35</v>
      </c>
      <c r="B17" s="21">
        <f>'Operating Cycle'!B30-'Cash Cycle'!B14</f>
        <v>263.61111111111114</v>
      </c>
      <c r="C17" s="21">
        <f>'Operating Cycle'!C30-'Cash Cycle'!C14</f>
        <v>206.02222222222221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641E-936B-6F44-91D9-B9F3C167B17B}">
  <dimension ref="A2:O18"/>
  <sheetViews>
    <sheetView workbookViewId="0">
      <selection activeCell="E8" sqref="E8:F8"/>
    </sheetView>
  </sheetViews>
  <sheetFormatPr defaultColWidth="11" defaultRowHeight="15.75" x14ac:dyDescent="0.25"/>
  <cols>
    <col min="10" max="10" width="9.625" customWidth="1"/>
    <col min="11" max="11" width="0" hidden="1" customWidth="1"/>
    <col min="12" max="15" width="11.5" bestFit="1" customWidth="1"/>
  </cols>
  <sheetData>
    <row r="2" spans="1:15" x14ac:dyDescent="0.25">
      <c r="A2" s="48" t="s">
        <v>51</v>
      </c>
      <c r="B2" s="48"/>
      <c r="C2" s="48"/>
      <c r="D2" s="48"/>
    </row>
    <row r="3" spans="1:15" x14ac:dyDescent="0.25">
      <c r="C3">
        <v>2020</v>
      </c>
      <c r="D3" s="28">
        <v>2021</v>
      </c>
      <c r="E3">
        <v>2022</v>
      </c>
      <c r="F3">
        <v>2023</v>
      </c>
    </row>
    <row r="4" spans="1:15" x14ac:dyDescent="0.25">
      <c r="A4" t="s">
        <v>2</v>
      </c>
      <c r="B4" s="36">
        <v>0.25</v>
      </c>
      <c r="C4">
        <v>900000</v>
      </c>
      <c r="D4" s="28">
        <f>1500000</f>
        <v>1500000</v>
      </c>
      <c r="E4">
        <f>D4*(1+$B$4)</f>
        <v>1875000</v>
      </c>
      <c r="F4">
        <f>E4*(1+$B$4)</f>
        <v>2343750</v>
      </c>
    </row>
    <row r="5" spans="1:15" x14ac:dyDescent="0.25">
      <c r="A5" t="s">
        <v>18</v>
      </c>
      <c r="B5" s="36">
        <f>C5/C4</f>
        <v>0.6</v>
      </c>
      <c r="C5">
        <v>540000</v>
      </c>
      <c r="D5" s="29">
        <v>900000</v>
      </c>
      <c r="E5">
        <f>$B$5*E4</f>
        <v>1125000</v>
      </c>
      <c r="F5">
        <f>$B$5*F4</f>
        <v>1406250</v>
      </c>
    </row>
    <row r="6" spans="1:15" x14ac:dyDescent="0.25">
      <c r="A6" t="s">
        <v>3</v>
      </c>
      <c r="C6" s="25"/>
      <c r="D6" s="30"/>
      <c r="E6">
        <f>E4-E5</f>
        <v>750000</v>
      </c>
      <c r="F6">
        <f>F4-F5</f>
        <v>937500</v>
      </c>
    </row>
    <row r="7" spans="1:15" x14ac:dyDescent="0.25">
      <c r="A7" t="s">
        <v>44</v>
      </c>
      <c r="D7" s="28"/>
    </row>
    <row r="8" spans="1:15" ht="16.5" thickBot="1" x14ac:dyDescent="0.3">
      <c r="A8" s="3" t="s">
        <v>45</v>
      </c>
      <c r="B8" s="37">
        <f>C8/C4</f>
        <v>0.1</v>
      </c>
      <c r="C8">
        <v>90000</v>
      </c>
      <c r="D8" s="29">
        <v>150000</v>
      </c>
      <c r="E8">
        <f>$B$8*E4</f>
        <v>187500</v>
      </c>
      <c r="F8">
        <f>$B$8*F4</f>
        <v>234375</v>
      </c>
    </row>
    <row r="9" spans="1:15" ht="48" thickTop="1" x14ac:dyDescent="0.25">
      <c r="A9" s="22" t="s">
        <v>46</v>
      </c>
      <c r="B9" s="22"/>
      <c r="C9">
        <v>175000</v>
      </c>
      <c r="D9" s="28">
        <v>175000</v>
      </c>
      <c r="E9">
        <f>D9</f>
        <v>175000</v>
      </c>
      <c r="F9">
        <f>E9</f>
        <v>175000</v>
      </c>
      <c r="J9" s="52"/>
      <c r="K9" s="40"/>
      <c r="L9" s="50" t="s">
        <v>75</v>
      </c>
      <c r="M9" s="50"/>
      <c r="N9" s="50"/>
      <c r="O9" s="51"/>
    </row>
    <row r="10" spans="1:15" x14ac:dyDescent="0.25">
      <c r="A10" s="22" t="s">
        <v>49</v>
      </c>
      <c r="B10" s="22"/>
      <c r="C10" s="1">
        <v>75000</v>
      </c>
      <c r="D10" s="31">
        <v>75000</v>
      </c>
      <c r="E10">
        <f>D10</f>
        <v>75000</v>
      </c>
      <c r="F10">
        <f>E10</f>
        <v>75000</v>
      </c>
      <c r="J10" s="53"/>
      <c r="K10" s="41" t="s">
        <v>73</v>
      </c>
      <c r="L10" s="41">
        <v>0.1</v>
      </c>
      <c r="M10" s="41">
        <v>0.2</v>
      </c>
      <c r="N10" s="41">
        <v>0.3</v>
      </c>
      <c r="O10" s="42">
        <v>0.4</v>
      </c>
    </row>
    <row r="11" spans="1:15" ht="16.5" thickBot="1" x14ac:dyDescent="0.3">
      <c r="A11" t="s">
        <v>47</v>
      </c>
      <c r="C11" s="26"/>
      <c r="D11" s="32"/>
      <c r="E11">
        <f>E6-E8-E9-E10</f>
        <v>312500</v>
      </c>
      <c r="F11">
        <f>F6-F8-F9-F10</f>
        <v>453125</v>
      </c>
      <c r="J11" s="43" t="s">
        <v>2</v>
      </c>
      <c r="K11" s="44">
        <f>F17</f>
        <v>264843.75</v>
      </c>
      <c r="L11" s="45">
        <f t="dataTable" ref="L11:O11" dt2D="0" dtr="1" r1="B4"/>
        <v>145875.00000000017</v>
      </c>
      <c r="M11" s="45">
        <v>223500</v>
      </c>
      <c r="N11" s="45">
        <v>307875</v>
      </c>
      <c r="O11" s="46">
        <v>399000</v>
      </c>
    </row>
    <row r="12" spans="1:15" ht="16.5" thickTop="1" x14ac:dyDescent="0.25">
      <c r="A12" t="s">
        <v>1</v>
      </c>
      <c r="C12" s="1">
        <v>40000</v>
      </c>
      <c r="D12" s="31">
        <v>40000</v>
      </c>
      <c r="E12" s="31">
        <v>40000</v>
      </c>
      <c r="F12" s="31">
        <v>40000</v>
      </c>
    </row>
    <row r="13" spans="1:15" x14ac:dyDescent="0.25">
      <c r="A13" t="s">
        <v>4</v>
      </c>
      <c r="C13" s="26"/>
      <c r="D13" s="32"/>
      <c r="E13">
        <f>E11-E12</f>
        <v>272500</v>
      </c>
      <c r="F13">
        <f>F11-F12</f>
        <v>413125</v>
      </c>
    </row>
    <row r="14" spans="1:15" x14ac:dyDescent="0.25">
      <c r="A14" t="s">
        <v>13</v>
      </c>
      <c r="B14" s="36"/>
      <c r="C14" s="1">
        <v>45000</v>
      </c>
      <c r="D14" s="31">
        <v>60000</v>
      </c>
      <c r="E14">
        <f>D14</f>
        <v>60000</v>
      </c>
      <c r="F14">
        <f>E14</f>
        <v>60000</v>
      </c>
    </row>
    <row r="15" spans="1:15" x14ac:dyDescent="0.25">
      <c r="A15" t="s">
        <v>48</v>
      </c>
      <c r="C15" s="26"/>
      <c r="D15" s="32"/>
      <c r="E15">
        <f>E13-E14</f>
        <v>212500</v>
      </c>
      <c r="F15">
        <f>F13-F14</f>
        <v>353125</v>
      </c>
    </row>
    <row r="16" spans="1:15" x14ac:dyDescent="0.25">
      <c r="A16" t="s">
        <v>50</v>
      </c>
      <c r="B16">
        <v>0.25</v>
      </c>
      <c r="C16" s="27"/>
      <c r="D16" s="33"/>
      <c r="E16">
        <f>$B$16*E15</f>
        <v>53125</v>
      </c>
      <c r="F16">
        <f>$B$16*F15</f>
        <v>88281.25</v>
      </c>
    </row>
    <row r="17" spans="1:6" x14ac:dyDescent="0.25">
      <c r="A17" t="s">
        <v>0</v>
      </c>
      <c r="C17" s="26"/>
      <c r="D17" s="32"/>
      <c r="E17" s="20">
        <f>E15-E16</f>
        <v>159375</v>
      </c>
      <c r="F17" s="38">
        <f>F15-F16</f>
        <v>264843.75</v>
      </c>
    </row>
    <row r="18" spans="1:6" x14ac:dyDescent="0.25">
      <c r="F18" s="39" t="s">
        <v>72</v>
      </c>
    </row>
  </sheetData>
  <scenarios current="0" show="0">
    <scenario name="Growth Impact on Profits" locked="1" count="1" user="Microsoft Office User" comment="Created by Microsoft Office User on 10/8/2024">
      <inputCells r="B4" val="0.25"/>
    </scenario>
  </scenarios>
  <mergeCells count="3">
    <mergeCell ref="A2:D2"/>
    <mergeCell ref="L9:O9"/>
    <mergeCell ref="J9:J1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Fin Statements</vt:lpstr>
      <vt:lpstr>Operating Cycle_Blank</vt:lpstr>
      <vt:lpstr>Cash Cycle_Blank</vt:lpstr>
      <vt:lpstr>Forecast_Blank</vt:lpstr>
      <vt:lpstr>Operating Cycle</vt:lpstr>
      <vt:lpstr>Cash Cycle</vt:lpstr>
      <vt:lpstr>Forecast_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Ellen Burnes</cp:lastModifiedBy>
  <dcterms:created xsi:type="dcterms:W3CDTF">2023-01-21T21:13:46Z</dcterms:created>
  <dcterms:modified xsi:type="dcterms:W3CDTF">2025-10-08T17:20:25Z</dcterms:modified>
</cp:coreProperties>
</file>