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defaultThemeVersion="166925"/>
  <mc:AlternateContent xmlns:mc="http://schemas.openxmlformats.org/markup-compatibility/2006">
    <mc:Choice Requires="x15">
      <x15ac:absPath xmlns:x15ac="http://schemas.microsoft.com/office/spreadsheetml/2010/11/ac" url="https://o365coloradoedu-my.sharepoint.com/personal/elbu4667_colorado_edu/Documents/ESBM4570/F2025/Cases/Bobs/"/>
    </mc:Choice>
  </mc:AlternateContent>
  <xr:revisionPtr revIDLastSave="0" documentId="8_{F47ECA8C-6B8D-A94F-8C5D-7E6AAC17C8B2}" xr6:coauthVersionLast="47" xr6:coauthVersionMax="47" xr10:uidLastSave="{00000000-0000-0000-0000-000000000000}"/>
  <bookViews>
    <workbookView xWindow="34120" yWindow="2060" windowWidth="25440" windowHeight="15280" xr2:uid="{00000000-000D-0000-FFFF-FFFF00000000}"/>
  </bookViews>
  <sheets>
    <sheet name="Title Page" sheetId="5" r:id="rId1"/>
    <sheet name="Exhibit 1" sheetId="4" r:id="rId2"/>
    <sheet name="Exhibit 2" sheetId="6" r:id="rId3"/>
    <sheet name="Exhibit 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 l="1"/>
  <c r="H26" i="3"/>
  <c r="G26" i="3"/>
  <c r="F26" i="3"/>
  <c r="E26" i="3"/>
  <c r="D26" i="3"/>
  <c r="H25" i="3"/>
  <c r="G25" i="3"/>
  <c r="F25" i="3"/>
  <c r="E25" i="3"/>
  <c r="H24" i="3"/>
  <c r="G24" i="3"/>
  <c r="F24" i="3"/>
  <c r="E24" i="3"/>
  <c r="H22" i="3"/>
  <c r="G22" i="3"/>
  <c r="F22" i="3"/>
  <c r="E22" i="3"/>
  <c r="D22" i="3"/>
  <c r="D25" i="3"/>
  <c r="D24" i="3"/>
  <c r="H16" i="3"/>
  <c r="G16" i="3"/>
  <c r="F16" i="3"/>
  <c r="E16" i="3"/>
  <c r="D16" i="3"/>
  <c r="H8" i="3"/>
  <c r="G8" i="3"/>
  <c r="F8" i="3"/>
  <c r="E8" i="3"/>
  <c r="G29" i="4"/>
  <c r="G32" i="4" s="1"/>
  <c r="F29" i="4"/>
  <c r="F32" i="4" s="1"/>
  <c r="E29" i="4"/>
  <c r="D29" i="4"/>
  <c r="C29" i="4"/>
  <c r="C32" i="4" s="1"/>
  <c r="G21" i="4"/>
  <c r="G24" i="4" s="1"/>
  <c r="H21" i="3" s="1"/>
  <c r="F21" i="4"/>
  <c r="G33" i="3" s="1"/>
  <c r="G23" i="3" s="1"/>
  <c r="E21" i="4"/>
  <c r="E24" i="4" s="1"/>
  <c r="F21" i="3" s="1"/>
  <c r="D21" i="4"/>
  <c r="E33" i="3" s="1"/>
  <c r="C21" i="4"/>
  <c r="C24" i="4" s="1"/>
  <c r="D21" i="3" s="1"/>
  <c r="G10" i="4"/>
  <c r="G12" i="4" s="1"/>
  <c r="G14" i="4" s="1"/>
  <c r="F8" i="4"/>
  <c r="G15" i="3" s="1"/>
  <c r="F10" i="4"/>
  <c r="G17" i="3" s="1"/>
  <c r="E8" i="4"/>
  <c r="E10" i="4" s="1"/>
  <c r="D8" i="4"/>
  <c r="D10" i="4" s="1"/>
  <c r="C8" i="4"/>
  <c r="D15" i="3" s="1"/>
  <c r="C10" i="4"/>
  <c r="C12" i="4" s="1"/>
  <c r="C14" i="4" s="1"/>
  <c r="D29" i="3"/>
  <c r="F15" i="3"/>
  <c r="G32" i="3"/>
  <c r="H15" i="3"/>
  <c r="H32" i="3"/>
  <c r="E15" i="3"/>
  <c r="F33" i="3"/>
  <c r="D34" i="3"/>
  <c r="E34" i="3"/>
  <c r="E29" i="3"/>
  <c r="D32" i="4"/>
  <c r="F29" i="3"/>
  <c r="F34" i="3"/>
  <c r="E32" i="4"/>
  <c r="G29" i="3"/>
  <c r="G34" i="3"/>
  <c r="H34" i="3"/>
  <c r="H10" i="3"/>
  <c r="H29" i="3"/>
  <c r="G10" i="3" l="1"/>
  <c r="H17" i="3"/>
  <c r="F12" i="4"/>
  <c r="F14" i="4" s="1"/>
  <c r="G11" i="3" s="1"/>
  <c r="D12" i="4"/>
  <c r="D14" i="4" s="1"/>
  <c r="E32" i="3"/>
  <c r="E10" i="3" s="1"/>
  <c r="E17" i="3"/>
  <c r="E12" i="4"/>
  <c r="E14" i="4" s="1"/>
  <c r="F17" i="3"/>
  <c r="F32" i="3"/>
  <c r="F10" i="3" s="1"/>
  <c r="H18" i="3"/>
  <c r="H9" i="3"/>
  <c r="H11" i="3"/>
  <c r="D18" i="3"/>
  <c r="D9" i="3"/>
  <c r="D11" i="3"/>
  <c r="D24" i="4"/>
  <c r="E21" i="3" s="1"/>
  <c r="H33" i="3"/>
  <c r="H23" i="3" s="1"/>
  <c r="D17" i="3"/>
  <c r="F24" i="4"/>
  <c r="G21" i="3" s="1"/>
  <c r="D32" i="3"/>
  <c r="D10" i="3" s="1"/>
  <c r="D33" i="3"/>
  <c r="G18" i="3" l="1"/>
  <c r="F9" i="3"/>
  <c r="F18" i="3"/>
  <c r="F11" i="3"/>
  <c r="G9" i="3"/>
  <c r="E9" i="3"/>
  <c r="E18" i="3"/>
  <c r="E11" i="3"/>
</calcChain>
</file>

<file path=xl/sharedStrings.xml><?xml version="1.0" encoding="utf-8"?>
<sst xmlns="http://schemas.openxmlformats.org/spreadsheetml/2006/main" count="97" uniqueCount="93">
  <si>
    <t>Exhibit 1</t>
  </si>
  <si>
    <t>Revenue</t>
  </si>
  <si>
    <t>Cost of Goods Sold</t>
  </si>
  <si>
    <t xml:space="preserve">  Gross Profit</t>
  </si>
  <si>
    <t>Selling and General Expenses</t>
  </si>
  <si>
    <t xml:space="preserve">  Operating Profit</t>
  </si>
  <si>
    <t>Net Interest Expense</t>
  </si>
  <si>
    <t xml:space="preserve">Taxes </t>
  </si>
  <si>
    <t xml:space="preserve">  Net Profit</t>
  </si>
  <si>
    <t>Cash and Cash Equivalents</t>
  </si>
  <si>
    <t>Inventory</t>
  </si>
  <si>
    <t>Other Current Assets</t>
  </si>
  <si>
    <t xml:space="preserve">  Current Assets</t>
  </si>
  <si>
    <t>Net Property, Plant, and Equipment</t>
  </si>
  <si>
    <t>Other Fixed Assets</t>
  </si>
  <si>
    <t xml:space="preserve">  Total Assets</t>
  </si>
  <si>
    <t>Accounts Payable</t>
  </si>
  <si>
    <t>Wages Payable</t>
  </si>
  <si>
    <t>Other Payables</t>
  </si>
  <si>
    <t xml:space="preserve">  Current Liabilities</t>
  </si>
  <si>
    <t>Debt</t>
  </si>
  <si>
    <t>Gross Margin</t>
  </si>
  <si>
    <t>Exhibit 2</t>
  </si>
  <si>
    <t>Return on Equity</t>
  </si>
  <si>
    <t>Net Profit Margin</t>
  </si>
  <si>
    <t>Operating Margin</t>
  </si>
  <si>
    <t>AR Days (DSO)</t>
  </si>
  <si>
    <t>NWC Turnover</t>
  </si>
  <si>
    <t>PPE Turnover</t>
  </si>
  <si>
    <t>Net Working Capital</t>
  </si>
  <si>
    <t>Margins</t>
  </si>
  <si>
    <t>Asset Efficiency</t>
  </si>
  <si>
    <t>Leverage</t>
  </si>
  <si>
    <t>Growth and Returns</t>
  </si>
  <si>
    <t>Asset Turnover</t>
  </si>
  <si>
    <t>NA</t>
  </si>
  <si>
    <t>Revenue Growth</t>
  </si>
  <si>
    <t>Return on Assets</t>
  </si>
  <si>
    <t>Return on Net Assets</t>
  </si>
  <si>
    <t>Inv Days (DIO)</t>
  </si>
  <si>
    <t>AP Days (DPO)</t>
  </si>
  <si>
    <t xml:space="preserve">Net Assets </t>
  </si>
  <si>
    <t>This spreadsheet supports STUDENT analysis of the case “Bob’s Baloney” (UVA-F-1942).</t>
  </si>
  <si>
    <t>Bob’s Baloney</t>
  </si>
  <si>
    <t xml:space="preserve">  Pretax Profit</t>
  </si>
  <si>
    <t>Accounts Receivable</t>
  </si>
  <si>
    <t>Shareholders’ Equity</t>
  </si>
  <si>
    <t>Spangler’s Financial Analysis of Bob’s Baloney</t>
  </si>
  <si>
    <t>[percentage change in revenue]</t>
  </si>
  <si>
    <t>[net profit / total assets]</t>
  </si>
  <si>
    <t>[NOPAT / net assets]</t>
  </si>
  <si>
    <t>[net profit / shareholders’ equity]</t>
  </si>
  <si>
    <t>[gross profit / revenue]</t>
  </si>
  <si>
    <t>SG&amp;A Percentage</t>
  </si>
  <si>
    <t>[SG&amp;A expenditures / revenue]</t>
  </si>
  <si>
    <t>[operating profit / revenue]</t>
  </si>
  <si>
    <t>[net profit / revenue]</t>
  </si>
  <si>
    <t>[revenue / total assets]</t>
  </si>
  <si>
    <t>[revenue / net PP&amp;E]</t>
  </si>
  <si>
    <t>[revenue / net working capital]</t>
  </si>
  <si>
    <t>[accounts receivable / revenue × 365]</t>
  </si>
  <si>
    <t>[inventory / COGS × 365]</t>
  </si>
  <si>
    <t>[accounts payable / COGS × 365]</t>
  </si>
  <si>
    <t>[debt / (debt + shareholders’ equity)]</t>
  </si>
  <si>
    <t>[operating profit × (1 − tax rate)]</t>
  </si>
  <si>
    <t>[current assets − current liabilities]</t>
  </si>
  <si>
    <t>[net working capital + net fixed assets]</t>
  </si>
  <si>
    <t>NOPAT (t = 25%)</t>
  </si>
  <si>
    <t>Debt / Total Capital</t>
  </si>
  <si>
    <t xml:space="preserve">  Total Liabilities and Shareholders’ Equity</t>
  </si>
  <si>
    <t>Summary Accounts (in millions of US dollars)</t>
  </si>
  <si>
    <t>Note: NOPAT is net operating profit after tax; SG&amp;A is selling, general, and administrative expenses; PP&amp;E is net property, plant, and equipment; NWC is net working capital; AR is accounts receivable; Inv is inventory; COGS is cost of goods sold; AP is accounts payable; DSO is days sales outstanding; DIO is days inventory outstanding; and DPO is day payables outstanding.</t>
  </si>
  <si>
    <t>Financial Statements for Bob’s Baloney (in millions of US dollars)</t>
  </si>
  <si>
    <t>Exhibit 3</t>
  </si>
  <si>
    <t>Benchmark Performance Figures for Sample of Premium Food Producers</t>
  </si>
  <si>
    <t>Financial Returns for Sample of Premium Food Producers for 2019</t>
  </si>
  <si>
    <t>ROE</t>
  </si>
  <si>
    <t>RONA</t>
  </si>
  <si>
    <t>Capital Market Benchmarks for January 2020</t>
  </si>
  <si>
    <t>Estimated Cost of Equity (based on beta estimate of 0.9)</t>
  </si>
  <si>
    <t>Estimated Weighted Cost of Capital (WACC)</t>
  </si>
  <si>
    <t xml:space="preserve">NOPAT is net operating profit after tax. </t>
  </si>
  <si>
    <t xml:space="preserve">Net assets is net working capital plus PP&amp;E. </t>
  </si>
  <si>
    <t>PP&amp;E is net property, plant, and equipment.</t>
  </si>
  <si>
    <t xml:space="preserve">Net working capital is current operating assets less current operating liabilities. </t>
  </si>
  <si>
    <r>
      <rPr>
        <sz val="10"/>
        <color indexed="8"/>
        <rFont val="Garamond"/>
        <family val="1"/>
      </rPr>
      <t xml:space="preserve">This spreadsheet was prepared by Michael Schill, Sponsors Professor of Business Administration. Copyright © 2020 by the University of Virginia Darden School Foundation, Charlottesville, VA. All rights reserved.  </t>
    </r>
    <r>
      <rPr>
        <i/>
        <sz val="10"/>
        <color indexed="8"/>
        <rFont val="Garamond"/>
        <family val="1"/>
      </rPr>
      <t>For customer service inquiries, send an email to</t>
    </r>
    <r>
      <rPr>
        <sz val="10"/>
        <color indexed="8"/>
        <rFont val="Garamond"/>
        <family val="1"/>
      </rPr>
      <t>sales@dardenbusinesspublishing.com</t>
    </r>
    <r>
      <rPr>
        <i/>
        <sz val="10"/>
        <color indexed="8"/>
        <rFont val="Garamond"/>
        <family val="1"/>
      </rPr>
      <t xml:space="preserve">. No part of this publication may be reproduced, stored in a retrieval system, posted to the internet, or transmitted in any form or by any means—electronic, mechanical, photocopying, recording, or otherwise—without the permission of the Darden School Foundation. This publication is protected by copyright and may not be uploaded in whole or part to any AI, large language model, or similar system, or to any related database. </t>
    </r>
    <r>
      <rPr>
        <sz val="10"/>
        <color indexed="8"/>
        <rFont val="Garamond"/>
        <family val="1"/>
      </rPr>
      <t xml:space="preserve">Our goal is to publish materials of the highest quality, so please submit any errata to editorial@dardenbusinesspublishing.com.  </t>
    </r>
  </si>
  <si>
    <t>Source: All exhibits created by author.</t>
  </si>
  <si>
    <t xml:space="preserve">Notes:   ROE is net profit divided by shareholder’s equity. </t>
  </si>
  <si>
    <t>Low-Return Firms (25th percentile)</t>
  </si>
  <si>
    <t>Median-Return Firms (50th percentile)</t>
  </si>
  <si>
    <t>High-Return Firms (75th percentile)</t>
  </si>
  <si>
    <t xml:space="preserve">RONA (return on net assets) is NOPAT divided by net assets. </t>
  </si>
  <si>
    <t>Rev. Jan. 30,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</si>
</sst>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_);_(* \(#,##0.0\);_(* &quot;-&quot;??_);_(@_)"/>
    <numFmt numFmtId="165" formatCode="_(* #,##0_);_(* \(#,##0\);_(* &quot;-&quot;??_);_(@_)"/>
    <numFmt numFmtId="166" formatCode="0.0%"/>
    <numFmt numFmtId="167" formatCode="0.0"/>
  </numFmts>
  <fonts count="15" x14ac:knownFonts="1">
    <font>
      <sz val="12"/>
      <color theme="1"/>
      <name val="Calibri"/>
      <family val="2"/>
      <scheme val="minor"/>
    </font>
    <font>
      <sz val="11"/>
      <color theme="1"/>
      <name val="Calibri"/>
      <family val="2"/>
      <scheme val="minor"/>
    </font>
    <font>
      <sz val="12"/>
      <color theme="1"/>
      <name val="Calibri"/>
      <family val="2"/>
      <scheme val="minor"/>
    </font>
    <font>
      <b/>
      <sz val="12"/>
      <color theme="1"/>
      <name val="Garamond"/>
      <family val="1"/>
    </font>
    <font>
      <sz val="12"/>
      <color theme="1"/>
      <name val="Garamond"/>
      <family val="1"/>
    </font>
    <font>
      <u val="singleAccounting"/>
      <sz val="12"/>
      <color theme="1"/>
      <name val="Garamond"/>
      <family val="1"/>
    </font>
    <font>
      <u/>
      <sz val="12"/>
      <color theme="1"/>
      <name val="Garamond"/>
      <family val="1"/>
    </font>
    <font>
      <sz val="10"/>
      <name val="Arial"/>
      <family val="2"/>
    </font>
    <font>
      <sz val="11"/>
      <name val="Garamond"/>
      <family val="1"/>
    </font>
    <font>
      <b/>
      <sz val="12"/>
      <name val="Arial"/>
      <family val="2"/>
    </font>
    <font>
      <sz val="10"/>
      <color theme="1"/>
      <name val="arial"/>
      <family val="2"/>
    </font>
    <font>
      <i/>
      <sz val="10"/>
      <color indexed="8"/>
      <name val="Garamond"/>
      <family val="1"/>
    </font>
    <font>
      <sz val="10"/>
      <color indexed="8"/>
      <name val="Garamond"/>
      <family val="1"/>
    </font>
    <font>
      <sz val="10"/>
      <color theme="1"/>
      <name val="Garamond"/>
      <family val="1"/>
    </font>
    <font>
      <sz val="8"/>
      <color theme="1"/>
      <name val="Garamond"/>
      <family val="1"/>
    </font>
  </fonts>
  <fills count="3">
    <fill>
      <patternFill patternType="none"/>
    </fill>
    <fill>
      <patternFill patternType="gray125"/>
    </fill>
    <fill>
      <patternFill patternType="solid">
        <fgColor rgb="FFF7903B"/>
        <bgColor indexed="64"/>
      </patternFill>
    </fill>
  </fills>
  <borders count="1">
    <border>
      <left/>
      <right/>
      <top/>
      <bottom/>
      <diagonal/>
    </border>
  </borders>
  <cellStyleXfs count="6">
    <xf numFmtId="0" fontId="0"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7" fillId="0" borderId="0"/>
    <xf numFmtId="0" fontId="10" fillId="0" borderId="0"/>
  </cellStyleXfs>
  <cellXfs count="27">
    <xf numFmtId="0" fontId="0" fillId="0" borderId="0" xfId="0"/>
    <xf numFmtId="0" fontId="3" fillId="0" borderId="0" xfId="0" applyFont="1"/>
    <xf numFmtId="0" fontId="4" fillId="0" borderId="0" xfId="0" applyFont="1"/>
    <xf numFmtId="164" fontId="4" fillId="0" borderId="0" xfId="1" applyNumberFormat="1" applyFont="1"/>
    <xf numFmtId="165" fontId="4" fillId="0" borderId="0" xfId="1" applyNumberFormat="1" applyFont="1"/>
    <xf numFmtId="9" fontId="4" fillId="0" borderId="0" xfId="2" applyFont="1"/>
    <xf numFmtId="166" fontId="4" fillId="0" borderId="0" xfId="2" applyNumberFormat="1" applyFont="1"/>
    <xf numFmtId="165" fontId="4" fillId="0" borderId="0" xfId="0" applyNumberFormat="1" applyFont="1"/>
    <xf numFmtId="164" fontId="4" fillId="0" borderId="0" xfId="1" applyNumberFormat="1" applyFont="1" applyAlignment="1">
      <alignment horizontal="right"/>
    </xf>
    <xf numFmtId="0" fontId="1" fillId="0" borderId="0" xfId="3"/>
    <xf numFmtId="0" fontId="8" fillId="2" borderId="0" xfId="4" applyFont="1" applyFill="1" applyAlignment="1">
      <alignment horizontal="center" vertical="center" wrapText="1"/>
    </xf>
    <xf numFmtId="0" fontId="9" fillId="0" borderId="0" xfId="4" applyFont="1" applyAlignment="1">
      <alignment horizontal="center" vertical="center" wrapText="1"/>
    </xf>
    <xf numFmtId="49" fontId="14" fillId="0" borderId="0" xfId="3" applyNumberFormat="1" applyFont="1"/>
    <xf numFmtId="167" fontId="4" fillId="0" borderId="0" xfId="1" applyNumberFormat="1" applyFont="1"/>
    <xf numFmtId="167" fontId="5" fillId="0" borderId="0" xfId="1" applyNumberFormat="1" applyFont="1"/>
    <xf numFmtId="167" fontId="6" fillId="0" borderId="0" xfId="0" applyNumberFormat="1" applyFont="1"/>
    <xf numFmtId="167" fontId="4" fillId="0" borderId="0" xfId="0" applyNumberFormat="1" applyFont="1"/>
    <xf numFmtId="0" fontId="6" fillId="0" borderId="0" xfId="0" applyFont="1"/>
    <xf numFmtId="0" fontId="4" fillId="0" borderId="0" xfId="0" applyFont="1" applyAlignment="1">
      <alignment horizontal="right"/>
    </xf>
    <xf numFmtId="166" fontId="4" fillId="0" borderId="0" xfId="0" applyNumberFormat="1" applyFont="1" applyAlignment="1">
      <alignment horizontal="right"/>
    </xf>
    <xf numFmtId="0" fontId="13" fillId="0" borderId="0" xfId="0" applyFont="1"/>
    <xf numFmtId="0" fontId="13" fillId="0" borderId="0" xfId="0" applyFont="1" applyAlignment="1">
      <alignment horizontal="justify" vertical="center"/>
    </xf>
    <xf numFmtId="0" fontId="13" fillId="0" borderId="0" xfId="0" applyFont="1" applyAlignment="1">
      <alignment vertical="center"/>
    </xf>
    <xf numFmtId="0" fontId="11" fillId="0" borderId="0" xfId="5" applyFont="1" applyAlignment="1">
      <alignment horizontal="justify" vertical="top" wrapText="1"/>
    </xf>
    <xf numFmtId="0" fontId="13" fillId="0" borderId="0" xfId="5" applyFont="1" applyAlignment="1">
      <alignment wrapText="1"/>
    </xf>
    <xf numFmtId="2" fontId="14" fillId="0" borderId="0" xfId="0" applyNumberFormat="1" applyFont="1" applyAlignment="1">
      <alignment horizontal="justify" vertical="center" wrapText="1"/>
    </xf>
    <xf numFmtId="2" fontId="0" fillId="0" borderId="0" xfId="0" applyNumberFormat="1" applyAlignment="1">
      <alignment wrapText="1"/>
    </xf>
  </cellXfs>
  <cellStyles count="6">
    <cellStyle name="Comma" xfId="1" builtinId="3"/>
    <cellStyle name="Normal" xfId="0" builtinId="0"/>
    <cellStyle name="Normal 2" xfId="3" xr:uid="{00000000-0005-0000-0000-000002000000}"/>
    <cellStyle name="Normal 2 2" xfId="4" xr:uid="{00000000-0005-0000-0000-000003000000}"/>
    <cellStyle name="Normal 3" xfId="5" xr:uid="{00000000-0005-0000-0000-00000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120650</xdr:rowOff>
    </xdr:from>
    <xdr:to>
      <xdr:col>1</xdr:col>
      <xdr:colOff>336</xdr:colOff>
      <xdr:row>1</xdr:row>
      <xdr:rowOff>724502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4800"/>
          <a:ext cx="2140286" cy="60385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
  <sheetViews>
    <sheetView showGridLines="0" tabSelected="1" zoomScaleNormal="100" workbookViewId="0"/>
  </sheetViews>
  <sheetFormatPr baseColWidth="10" defaultColWidth="8" defaultRowHeight="15" x14ac:dyDescent="0.2"/>
  <cols>
    <col min="1" max="1" width="28" style="9" customWidth="1"/>
    <col min="2" max="2" width="92.1640625" style="9" customWidth="1"/>
    <col min="3" max="16384" width="8" style="9"/>
  </cols>
  <sheetData>
    <row r="2" spans="1:2" ht="65.25" customHeight="1" x14ac:dyDescent="0.2">
      <c r="B2" s="10" t="s">
        <v>42</v>
      </c>
    </row>
    <row r="3" spans="1:2" ht="13.5" customHeight="1" x14ac:dyDescent="0.2">
      <c r="A3" s="11"/>
      <c r="B3" s="11"/>
    </row>
    <row r="4" spans="1:2" ht="77.5" customHeight="1" x14ac:dyDescent="0.2">
      <c r="A4" s="23" t="s">
        <v>85</v>
      </c>
      <c r="B4" s="24"/>
    </row>
    <row r="5" spans="1:2" x14ac:dyDescent="0.2">
      <c r="A5" s="12" t="s">
        <v>92</v>
      </c>
    </row>
  </sheetData>
  <mergeCells count="1">
    <mergeCell ref="A4:B4"/>
  </mergeCells>
  <pageMargins left="0.7" right="0.7" top="0.75" bottom="0.75" header="0.3" footer="0.3"/>
  <pageSetup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showGridLines="0" zoomScale="121" zoomScaleNormal="121" workbookViewId="0"/>
  </sheetViews>
  <sheetFormatPr baseColWidth="10" defaultColWidth="10.83203125" defaultRowHeight="16" x14ac:dyDescent="0.2"/>
  <cols>
    <col min="1" max="1" width="2.33203125" style="1" customWidth="1"/>
    <col min="2" max="2" width="35" style="2" customWidth="1"/>
    <col min="3" max="16384" width="10.83203125" style="2"/>
  </cols>
  <sheetData>
    <row r="1" spans="1:8" x14ac:dyDescent="0.2">
      <c r="A1" s="2" t="s">
        <v>0</v>
      </c>
    </row>
    <row r="2" spans="1:8" x14ac:dyDescent="0.2">
      <c r="A2" s="1" t="s">
        <v>43</v>
      </c>
    </row>
    <row r="3" spans="1:8" x14ac:dyDescent="0.2">
      <c r="A3" s="2" t="s">
        <v>72</v>
      </c>
    </row>
    <row r="5" spans="1:8" x14ac:dyDescent="0.2">
      <c r="C5" s="1">
        <v>2015</v>
      </c>
      <c r="D5" s="1">
        <v>2016</v>
      </c>
      <c r="E5" s="1">
        <v>2017</v>
      </c>
      <c r="F5" s="1">
        <v>2018</v>
      </c>
      <c r="G5" s="1">
        <v>2019</v>
      </c>
      <c r="H5" s="1"/>
    </row>
    <row r="6" spans="1:8" ht="24" customHeight="1" x14ac:dyDescent="0.2">
      <c r="B6" s="2" t="s">
        <v>1</v>
      </c>
      <c r="C6" s="13">
        <v>190.5</v>
      </c>
      <c r="D6" s="13">
        <v>185.6</v>
      </c>
      <c r="E6" s="13">
        <v>209.8</v>
      </c>
      <c r="F6" s="13">
        <v>248.3</v>
      </c>
      <c r="G6" s="13">
        <v>271.8</v>
      </c>
    </row>
    <row r="7" spans="1:8" ht="19" x14ac:dyDescent="0.35">
      <c r="B7" s="2" t="s">
        <v>2</v>
      </c>
      <c r="C7" s="14">
        <v>136.9</v>
      </c>
      <c r="D7" s="14">
        <v>135.80000000000001</v>
      </c>
      <c r="E7" s="14">
        <v>156.80000000000001</v>
      </c>
      <c r="F7" s="14">
        <v>189.3</v>
      </c>
      <c r="G7" s="14">
        <v>212.1</v>
      </c>
    </row>
    <row r="8" spans="1:8" x14ac:dyDescent="0.2">
      <c r="B8" s="2" t="s">
        <v>3</v>
      </c>
      <c r="C8" s="13">
        <f>C6-C7</f>
        <v>53.599999999999994</v>
      </c>
      <c r="D8" s="13">
        <f>D6-D7</f>
        <v>49.799999999999983</v>
      </c>
      <c r="E8" s="13">
        <f t="shared" ref="E8:F8" si="0">E6-E7</f>
        <v>53</v>
      </c>
      <c r="F8" s="13">
        <f t="shared" si="0"/>
        <v>59</v>
      </c>
      <c r="G8" s="13">
        <f>G6-G7</f>
        <v>59.700000000000017</v>
      </c>
    </row>
    <row r="9" spans="1:8" ht="19" x14ac:dyDescent="0.35">
      <c r="B9" s="2" t="s">
        <v>4</v>
      </c>
      <c r="C9" s="14">
        <v>18.8</v>
      </c>
      <c r="D9" s="14">
        <v>28.8</v>
      </c>
      <c r="E9" s="14">
        <v>38.299999999999997</v>
      </c>
      <c r="F9" s="14">
        <v>47.5</v>
      </c>
      <c r="G9" s="14">
        <v>47</v>
      </c>
    </row>
    <row r="10" spans="1:8" x14ac:dyDescent="0.2">
      <c r="B10" s="2" t="s">
        <v>5</v>
      </c>
      <c r="C10" s="13">
        <f>C8-C9</f>
        <v>34.799999999999997</v>
      </c>
      <c r="D10" s="13">
        <f>D8-D9</f>
        <v>20.999999999999982</v>
      </c>
      <c r="E10" s="13">
        <f t="shared" ref="E10:G10" si="1">E8-E9</f>
        <v>14.700000000000003</v>
      </c>
      <c r="F10" s="13">
        <f t="shared" si="1"/>
        <v>11.5</v>
      </c>
      <c r="G10" s="13">
        <f t="shared" si="1"/>
        <v>12.700000000000017</v>
      </c>
    </row>
    <row r="11" spans="1:8" ht="19" x14ac:dyDescent="0.35">
      <c r="B11" s="2" t="s">
        <v>6</v>
      </c>
      <c r="C11" s="14">
        <v>0.92</v>
      </c>
      <c r="D11" s="14">
        <v>0.48</v>
      </c>
      <c r="E11" s="14">
        <v>6.96</v>
      </c>
      <c r="F11" s="14">
        <v>6.1</v>
      </c>
      <c r="G11" s="14">
        <v>5.6</v>
      </c>
    </row>
    <row r="12" spans="1:8" x14ac:dyDescent="0.2">
      <c r="B12" s="2" t="s">
        <v>44</v>
      </c>
      <c r="C12" s="13">
        <f>C10-C11</f>
        <v>33.879999999999995</v>
      </c>
      <c r="D12" s="13">
        <f>D10-D11</f>
        <v>20.519999999999982</v>
      </c>
      <c r="E12" s="13">
        <f t="shared" ref="E12:G12" si="2">E10-E11</f>
        <v>7.7400000000000029</v>
      </c>
      <c r="F12" s="13">
        <f t="shared" si="2"/>
        <v>5.4</v>
      </c>
      <c r="G12" s="13">
        <f t="shared" si="2"/>
        <v>7.1000000000000174</v>
      </c>
    </row>
    <row r="13" spans="1:8" ht="19" x14ac:dyDescent="0.35">
      <c r="B13" s="2" t="s">
        <v>7</v>
      </c>
      <c r="C13" s="14">
        <v>7.78</v>
      </c>
      <c r="D13" s="14">
        <v>4.97</v>
      </c>
      <c r="E13" s="14">
        <v>1.89</v>
      </c>
      <c r="F13" s="14">
        <v>1.41</v>
      </c>
      <c r="G13" s="14">
        <v>1.68</v>
      </c>
    </row>
    <row r="14" spans="1:8" x14ac:dyDescent="0.2">
      <c r="B14" s="2" t="s">
        <v>8</v>
      </c>
      <c r="C14" s="13">
        <f>C12-C13</f>
        <v>26.099999999999994</v>
      </c>
      <c r="D14" s="13">
        <f>D12-D13</f>
        <v>15.549999999999983</v>
      </c>
      <c r="E14" s="13">
        <f t="shared" ref="E14:G14" si="3">E12-E13</f>
        <v>5.8500000000000032</v>
      </c>
      <c r="F14" s="13">
        <f t="shared" si="3"/>
        <v>3.99</v>
      </c>
      <c r="G14" s="13">
        <f t="shared" si="3"/>
        <v>5.4200000000000177</v>
      </c>
    </row>
    <row r="15" spans="1:8" x14ac:dyDescent="0.2">
      <c r="C15" s="13"/>
      <c r="D15" s="13"/>
      <c r="E15" s="13"/>
      <c r="F15" s="13"/>
      <c r="G15" s="13"/>
    </row>
    <row r="16" spans="1:8" x14ac:dyDescent="0.2">
      <c r="C16" s="13"/>
      <c r="D16" s="13"/>
      <c r="E16" s="13"/>
      <c r="F16" s="13"/>
      <c r="G16" s="13"/>
    </row>
    <row r="17" spans="2:7" x14ac:dyDescent="0.2">
      <c r="B17" s="2" t="s">
        <v>9</v>
      </c>
      <c r="C17" s="13">
        <v>10.5</v>
      </c>
      <c r="D17" s="13">
        <v>9.8000000000000007</v>
      </c>
      <c r="E17" s="13">
        <v>10.5</v>
      </c>
      <c r="F17" s="13">
        <v>10.4</v>
      </c>
      <c r="G17" s="13">
        <v>8.5</v>
      </c>
    </row>
    <row r="18" spans="2:7" x14ac:dyDescent="0.2">
      <c r="B18" s="2" t="s">
        <v>45</v>
      </c>
      <c r="C18" s="13">
        <v>10</v>
      </c>
      <c r="D18" s="13">
        <v>9.6999999999999993</v>
      </c>
      <c r="E18" s="13">
        <v>10.1</v>
      </c>
      <c r="F18" s="13">
        <v>13.8</v>
      </c>
      <c r="G18" s="13">
        <v>15</v>
      </c>
    </row>
    <row r="19" spans="2:7" x14ac:dyDescent="0.2">
      <c r="B19" s="2" t="s">
        <v>10</v>
      </c>
      <c r="C19" s="13">
        <v>6.7</v>
      </c>
      <c r="D19" s="13">
        <v>7.7</v>
      </c>
      <c r="E19" s="13">
        <v>8.4</v>
      </c>
      <c r="F19" s="13">
        <v>10.9</v>
      </c>
      <c r="G19" s="13">
        <v>12</v>
      </c>
    </row>
    <row r="20" spans="2:7" ht="19" x14ac:dyDescent="0.35">
      <c r="B20" s="2" t="s">
        <v>11</v>
      </c>
      <c r="C20" s="14">
        <v>3.6</v>
      </c>
      <c r="D20" s="14">
        <v>3.2</v>
      </c>
      <c r="E20" s="14">
        <v>4.5999999999999996</v>
      </c>
      <c r="F20" s="14">
        <v>6.9</v>
      </c>
      <c r="G20" s="14">
        <v>7.7</v>
      </c>
    </row>
    <row r="21" spans="2:7" x14ac:dyDescent="0.2">
      <c r="B21" s="2" t="s">
        <v>12</v>
      </c>
      <c r="C21" s="13">
        <f>SUM(C17:C20)</f>
        <v>30.8</v>
      </c>
      <c r="D21" s="13">
        <f>SUM(D17:D20)</f>
        <v>30.4</v>
      </c>
      <c r="E21" s="13">
        <f t="shared" ref="E21:G21" si="4">SUM(E17:E20)</f>
        <v>33.6</v>
      </c>
      <c r="F21" s="13">
        <f t="shared" si="4"/>
        <v>42</v>
      </c>
      <c r="G21" s="13">
        <f t="shared" si="4"/>
        <v>43.2</v>
      </c>
    </row>
    <row r="22" spans="2:7" ht="23.25" customHeight="1" x14ac:dyDescent="0.2">
      <c r="B22" s="2" t="s">
        <v>13</v>
      </c>
      <c r="C22" s="13">
        <v>92</v>
      </c>
      <c r="D22" s="13">
        <v>89.9</v>
      </c>
      <c r="E22" s="13">
        <v>264.39999999999998</v>
      </c>
      <c r="F22" s="13">
        <v>275.5</v>
      </c>
      <c r="G22" s="13">
        <v>289</v>
      </c>
    </row>
    <row r="23" spans="2:7" ht="19" x14ac:dyDescent="0.35">
      <c r="B23" s="2" t="s">
        <v>14</v>
      </c>
      <c r="C23" s="14">
        <v>47.1</v>
      </c>
      <c r="D23" s="14">
        <v>47.6</v>
      </c>
      <c r="E23" s="14">
        <v>48.9</v>
      </c>
      <c r="F23" s="14">
        <v>46.6</v>
      </c>
      <c r="G23" s="14">
        <v>49.7</v>
      </c>
    </row>
    <row r="24" spans="2:7" x14ac:dyDescent="0.2">
      <c r="B24" s="2" t="s">
        <v>15</v>
      </c>
      <c r="C24" s="13">
        <f>C21+C22+C23</f>
        <v>169.9</v>
      </c>
      <c r="D24" s="13">
        <f>D21+D22+D23</f>
        <v>167.9</v>
      </c>
      <c r="E24" s="13">
        <f t="shared" ref="E24:G24" si="5">E21+E22+E23</f>
        <v>346.9</v>
      </c>
      <c r="F24" s="13">
        <f t="shared" si="5"/>
        <v>364.1</v>
      </c>
      <c r="G24" s="13">
        <f t="shared" si="5"/>
        <v>381.9</v>
      </c>
    </row>
    <row r="25" spans="2:7" x14ac:dyDescent="0.2">
      <c r="C25" s="13"/>
      <c r="D25" s="13"/>
      <c r="E25" s="13"/>
      <c r="F25" s="13"/>
      <c r="G25" s="13"/>
    </row>
    <row r="26" spans="2:7" x14ac:dyDescent="0.2">
      <c r="B26" s="2" t="s">
        <v>16</v>
      </c>
      <c r="C26" s="13">
        <v>12.2</v>
      </c>
      <c r="D26" s="13">
        <v>13.4</v>
      </c>
      <c r="E26" s="13">
        <v>15.4</v>
      </c>
      <c r="F26" s="13">
        <v>14.4</v>
      </c>
      <c r="G26" s="13">
        <v>12.3</v>
      </c>
    </row>
    <row r="27" spans="2:7" x14ac:dyDescent="0.2">
      <c r="B27" s="2" t="s">
        <v>17</v>
      </c>
      <c r="C27" s="13">
        <v>12.4</v>
      </c>
      <c r="D27" s="13">
        <v>14.4</v>
      </c>
      <c r="E27" s="13">
        <v>13.8</v>
      </c>
      <c r="F27" s="13">
        <v>13.7</v>
      </c>
      <c r="G27" s="13">
        <v>15</v>
      </c>
    </row>
    <row r="28" spans="2:7" ht="19" x14ac:dyDescent="0.35">
      <c r="B28" s="2" t="s">
        <v>18</v>
      </c>
      <c r="C28" s="14">
        <v>8.1</v>
      </c>
      <c r="D28" s="14">
        <v>7.8</v>
      </c>
      <c r="E28" s="14">
        <v>5.6</v>
      </c>
      <c r="F28" s="14">
        <v>6.6</v>
      </c>
      <c r="G28" s="14">
        <v>8.3000000000000007</v>
      </c>
    </row>
    <row r="29" spans="2:7" x14ac:dyDescent="0.2">
      <c r="B29" s="2" t="s">
        <v>19</v>
      </c>
      <c r="C29" s="13">
        <f>SUM(C26:C28)</f>
        <v>32.700000000000003</v>
      </c>
      <c r="D29" s="13">
        <f>SUM(D26:D28)</f>
        <v>35.6</v>
      </c>
      <c r="E29" s="13">
        <f>SUM(E26:E28)</f>
        <v>34.800000000000004</v>
      </c>
      <c r="F29" s="13">
        <f>SUM(F26:F28)</f>
        <v>34.700000000000003</v>
      </c>
      <c r="G29" s="13">
        <f>SUM(G26:G28)</f>
        <v>35.6</v>
      </c>
    </row>
    <row r="30" spans="2:7" x14ac:dyDescent="0.2">
      <c r="B30" s="2" t="s">
        <v>20</v>
      </c>
      <c r="C30" s="13">
        <v>29.5</v>
      </c>
      <c r="D30" s="13">
        <v>9.0500000000000185</v>
      </c>
      <c r="E30" s="13">
        <v>182.99999999999997</v>
      </c>
      <c r="F30" s="13">
        <v>196.31</v>
      </c>
      <c r="G30" s="13">
        <v>207.78999999999996</v>
      </c>
    </row>
    <row r="31" spans="2:7" x14ac:dyDescent="0.2">
      <c r="B31" s="2" t="s">
        <v>46</v>
      </c>
      <c r="C31" s="15">
        <v>107.7</v>
      </c>
      <c r="D31" s="15">
        <v>123.24999999999999</v>
      </c>
      <c r="E31" s="15">
        <v>129.1</v>
      </c>
      <c r="F31" s="15">
        <v>133.09</v>
      </c>
      <c r="G31" s="15">
        <v>138.51000000000002</v>
      </c>
    </row>
    <row r="32" spans="2:7" x14ac:dyDescent="0.2">
      <c r="B32" s="2" t="s">
        <v>69</v>
      </c>
      <c r="C32" s="16">
        <f>SUM(C29:C31)</f>
        <v>169.9</v>
      </c>
      <c r="D32" s="16">
        <f>SUM(D29:D31)</f>
        <v>167.9</v>
      </c>
      <c r="E32" s="16">
        <f t="shared" ref="E32:G32" si="6">SUM(E29:E31)</f>
        <v>346.9</v>
      </c>
      <c r="F32" s="16">
        <f t="shared" si="6"/>
        <v>364.1</v>
      </c>
      <c r="G32" s="16">
        <f t="shared" si="6"/>
        <v>381.9</v>
      </c>
    </row>
    <row r="34" spans="1:1" x14ac:dyDescent="0.2">
      <c r="A34" s="2" t="s">
        <v>86</v>
      </c>
    </row>
  </sheetData>
  <pageMargins left="0.7" right="0.7" top="0.75" bottom="0.75" header="0.3" footer="0.3"/>
  <pageSetup scale="9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DF31-9ACB-254B-9E47-4DB65B9A7FAB}">
  <dimension ref="A1:D24"/>
  <sheetViews>
    <sheetView showGridLines="0" zoomScale="119" zoomScaleNormal="119" workbookViewId="0"/>
  </sheetViews>
  <sheetFormatPr baseColWidth="10" defaultColWidth="10.83203125" defaultRowHeight="16" x14ac:dyDescent="0.2"/>
  <cols>
    <col min="1" max="1" width="5" style="2" customWidth="1"/>
    <col min="2" max="2" width="49.5" style="2" customWidth="1"/>
    <col min="3" max="16384" width="10.83203125" style="2"/>
  </cols>
  <sheetData>
    <row r="1" spans="1:4" s="1" customFormat="1" ht="17.25" customHeight="1" x14ac:dyDescent="0.2">
      <c r="A1" s="2" t="s">
        <v>22</v>
      </c>
    </row>
    <row r="2" spans="1:4" s="1" customFormat="1" x14ac:dyDescent="0.2">
      <c r="A2" s="1" t="s">
        <v>43</v>
      </c>
    </row>
    <row r="3" spans="1:4" x14ac:dyDescent="0.2">
      <c r="A3" s="2" t="s">
        <v>74</v>
      </c>
    </row>
    <row r="5" spans="1:4" x14ac:dyDescent="0.2">
      <c r="A5" s="17" t="s">
        <v>75</v>
      </c>
    </row>
    <row r="6" spans="1:4" ht="9" customHeight="1" x14ac:dyDescent="0.2"/>
    <row r="7" spans="1:4" x14ac:dyDescent="0.2">
      <c r="C7" s="18" t="s">
        <v>76</v>
      </c>
      <c r="D7" s="18" t="s">
        <v>77</v>
      </c>
    </row>
    <row r="8" spans="1:4" x14ac:dyDescent="0.2">
      <c r="B8" s="2" t="s">
        <v>88</v>
      </c>
      <c r="C8" s="19">
        <v>-1.2E-2</v>
      </c>
      <c r="D8" s="19">
        <v>2.3E-2</v>
      </c>
    </row>
    <row r="9" spans="1:4" x14ac:dyDescent="0.2">
      <c r="B9" s="2" t="s">
        <v>89</v>
      </c>
      <c r="C9" s="19">
        <v>8.8999999999999996E-2</v>
      </c>
      <c r="D9" s="19">
        <v>7.0999999999999994E-2</v>
      </c>
    </row>
    <row r="10" spans="1:4" x14ac:dyDescent="0.2">
      <c r="B10" s="2" t="s">
        <v>90</v>
      </c>
      <c r="C10" s="19">
        <v>0.19400000000000001</v>
      </c>
      <c r="D10" s="19">
        <v>0.13300000000000001</v>
      </c>
    </row>
    <row r="11" spans="1:4" x14ac:dyDescent="0.2">
      <c r="C11" s="18"/>
      <c r="D11" s="18"/>
    </row>
    <row r="12" spans="1:4" x14ac:dyDescent="0.2">
      <c r="A12" s="17" t="s">
        <v>78</v>
      </c>
    </row>
    <row r="14" spans="1:4" x14ac:dyDescent="0.2">
      <c r="B14" s="2" t="s">
        <v>79</v>
      </c>
      <c r="D14" s="19">
        <v>0.08</v>
      </c>
    </row>
    <row r="15" spans="1:4" x14ac:dyDescent="0.2">
      <c r="B15" s="2" t="s">
        <v>80</v>
      </c>
      <c r="D15" s="19">
        <v>6.0999999999999999E-2</v>
      </c>
    </row>
    <row r="17" spans="1:2" s="22" customFormat="1" ht="19" customHeight="1" x14ac:dyDescent="0.2">
      <c r="A17" s="22" t="s">
        <v>87</v>
      </c>
      <c r="B17" s="21"/>
    </row>
    <row r="18" spans="1:2" s="22" customFormat="1" ht="19" customHeight="1" x14ac:dyDescent="0.2">
      <c r="B18" s="21" t="s">
        <v>91</v>
      </c>
    </row>
    <row r="19" spans="1:2" s="22" customFormat="1" ht="19" customHeight="1" x14ac:dyDescent="0.2">
      <c r="B19" s="21" t="s">
        <v>81</v>
      </c>
    </row>
    <row r="20" spans="1:2" s="22" customFormat="1" ht="19" customHeight="1" x14ac:dyDescent="0.2">
      <c r="B20" s="21" t="s">
        <v>82</v>
      </c>
    </row>
    <row r="21" spans="1:2" s="22" customFormat="1" ht="19" customHeight="1" x14ac:dyDescent="0.2">
      <c r="B21" s="22" t="s">
        <v>84</v>
      </c>
    </row>
    <row r="22" spans="1:2" s="22" customFormat="1" ht="19" customHeight="1" x14ac:dyDescent="0.2">
      <c r="B22" s="21" t="s">
        <v>83</v>
      </c>
    </row>
    <row r="23" spans="1:2" s="20" customFormat="1" ht="14" x14ac:dyDescent="0.2"/>
    <row r="24" spans="1:2" s="20" customFormat="1" ht="14"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showGridLines="0" zoomScale="119" zoomScaleNormal="119" workbookViewId="0"/>
  </sheetViews>
  <sheetFormatPr baseColWidth="10" defaultColWidth="10.83203125" defaultRowHeight="16" x14ac:dyDescent="0.2"/>
  <cols>
    <col min="1" max="1" width="4.5" style="1" customWidth="1"/>
    <col min="2" max="2" width="19.5" style="2" customWidth="1"/>
    <col min="3" max="3" width="33" style="2" customWidth="1"/>
    <col min="4" max="4" width="7.5" style="2" customWidth="1"/>
    <col min="5" max="8" width="8.83203125" style="2" customWidth="1"/>
    <col min="9" max="16384" width="10.83203125" style="2"/>
  </cols>
  <sheetData>
    <row r="1" spans="1:8" x14ac:dyDescent="0.2">
      <c r="A1" s="2" t="s">
        <v>73</v>
      </c>
    </row>
    <row r="2" spans="1:8" x14ac:dyDescent="0.2">
      <c r="A2" s="1" t="s">
        <v>43</v>
      </c>
    </row>
    <row r="3" spans="1:8" x14ac:dyDescent="0.2">
      <c r="A3" s="2" t="s">
        <v>47</v>
      </c>
    </row>
    <row r="5" spans="1:8" ht="17.25" customHeight="1" x14ac:dyDescent="0.2">
      <c r="B5" s="1"/>
      <c r="C5" s="1"/>
      <c r="D5" s="1">
        <v>2015</v>
      </c>
      <c r="E5" s="1">
        <v>2016</v>
      </c>
      <c r="F5" s="1">
        <v>2017</v>
      </c>
      <c r="G5" s="1">
        <v>2018</v>
      </c>
      <c r="H5" s="1">
        <v>2019</v>
      </c>
    </row>
    <row r="6" spans="1:8" ht="11.25" customHeight="1" x14ac:dyDescent="0.2">
      <c r="B6" s="1"/>
      <c r="C6" s="1"/>
      <c r="D6" s="1"/>
      <c r="E6" s="1"/>
      <c r="F6" s="1"/>
      <c r="G6" s="1"/>
      <c r="H6" s="1"/>
    </row>
    <row r="7" spans="1:8" ht="17.25" customHeight="1" x14ac:dyDescent="0.2">
      <c r="B7" s="1" t="s">
        <v>33</v>
      </c>
      <c r="C7" s="1"/>
      <c r="D7" s="1"/>
      <c r="E7" s="1"/>
      <c r="F7" s="1"/>
      <c r="G7" s="1"/>
      <c r="H7" s="1"/>
    </row>
    <row r="8" spans="1:8" ht="17.25" customHeight="1" x14ac:dyDescent="0.2">
      <c r="B8" s="2" t="s">
        <v>36</v>
      </c>
      <c r="C8" s="2" t="s">
        <v>48</v>
      </c>
      <c r="D8" s="6">
        <v>5.5E-2</v>
      </c>
      <c r="E8" s="6">
        <f>'Exhibit 1'!D6/'Exhibit 1'!C6-1</f>
        <v>-2.5721784776902901E-2</v>
      </c>
      <c r="F8" s="6">
        <f>'Exhibit 1'!E6/'Exhibit 1'!D6-1</f>
        <v>0.13038793103448287</v>
      </c>
      <c r="G8" s="6">
        <f>'Exhibit 1'!F6/'Exhibit 1'!E6-1</f>
        <v>0.18350810295519548</v>
      </c>
      <c r="H8" s="6">
        <f>'Exhibit 1'!G6/'Exhibit 1'!F6-1</f>
        <v>9.4643576318969025E-2</v>
      </c>
    </row>
    <row r="9" spans="1:8" ht="17.25" customHeight="1" x14ac:dyDescent="0.2">
      <c r="B9" s="2" t="s">
        <v>37</v>
      </c>
      <c r="C9" s="2" t="s">
        <v>49</v>
      </c>
      <c r="D9" s="6">
        <f>'Exhibit 1'!C14/'Exhibit 1'!C24</f>
        <v>0.15361977633902291</v>
      </c>
      <c r="E9" s="6">
        <f>'Exhibit 1'!D14/'Exhibit 1'!D24</f>
        <v>9.2614651578320328E-2</v>
      </c>
      <c r="F9" s="6">
        <f>'Exhibit 1'!E14/'Exhibit 1'!E24</f>
        <v>1.6863649466705113E-2</v>
      </c>
      <c r="G9" s="6">
        <f>'Exhibit 1'!F14/'Exhibit 1'!F24</f>
        <v>1.095852787695688E-2</v>
      </c>
      <c r="H9" s="6">
        <f>'Exhibit 1'!G14/'Exhibit 1'!G24</f>
        <v>1.419219691018596E-2</v>
      </c>
    </row>
    <row r="10" spans="1:8" ht="17.25" customHeight="1" x14ac:dyDescent="0.2">
      <c r="B10" s="2" t="s">
        <v>38</v>
      </c>
      <c r="C10" s="2" t="s">
        <v>50</v>
      </c>
      <c r="D10" s="6">
        <f>D32/D34</f>
        <v>0.19023323615160351</v>
      </c>
      <c r="E10" s="6">
        <f>E32/E34</f>
        <v>0.11904761904761893</v>
      </c>
      <c r="F10" s="6">
        <f>F32/F34</f>
        <v>3.5325216276834361E-2</v>
      </c>
      <c r="G10" s="6">
        <f>G32/G34</f>
        <v>2.6183970856102006E-2</v>
      </c>
      <c r="H10" s="6">
        <f>H32/H34</f>
        <v>2.7505053421888578E-2</v>
      </c>
    </row>
    <row r="11" spans="1:8" ht="17.25" customHeight="1" x14ac:dyDescent="0.2">
      <c r="B11" s="2" t="s">
        <v>23</v>
      </c>
      <c r="C11" s="2" t="s">
        <v>51</v>
      </c>
      <c r="D11" s="6">
        <f>'Exhibit 1'!C14/'Exhibit 1'!C31</f>
        <v>0.24233983286908073</v>
      </c>
      <c r="E11" s="6">
        <f>'Exhibit 1'!D14/'Exhibit 1'!D31</f>
        <v>0.12616632860040555</v>
      </c>
      <c r="F11" s="6">
        <f>'Exhibit 1'!E14/'Exhibit 1'!E31</f>
        <v>4.5313710302091428E-2</v>
      </c>
      <c r="G11" s="6">
        <f>'Exhibit 1'!F14/'Exhibit 1'!F31</f>
        <v>2.9979712976181534E-2</v>
      </c>
      <c r="H11" s="6">
        <f>'Exhibit 1'!G14/'Exhibit 1'!G31</f>
        <v>3.9130748682405722E-2</v>
      </c>
    </row>
    <row r="13" spans="1:8" ht="17.25" customHeight="1" x14ac:dyDescent="0.2">
      <c r="D13" s="6"/>
      <c r="E13" s="6"/>
      <c r="F13" s="6"/>
      <c r="G13" s="6"/>
      <c r="H13" s="6"/>
    </row>
    <row r="14" spans="1:8" ht="17.25" customHeight="1" x14ac:dyDescent="0.2">
      <c r="B14" s="1" t="s">
        <v>30</v>
      </c>
      <c r="C14" s="1"/>
      <c r="D14" s="6"/>
      <c r="E14" s="6"/>
      <c r="F14" s="6"/>
      <c r="G14" s="6"/>
      <c r="H14" s="6"/>
    </row>
    <row r="15" spans="1:8" ht="17.25" customHeight="1" x14ac:dyDescent="0.2">
      <c r="B15" s="2" t="s">
        <v>21</v>
      </c>
      <c r="C15" s="2" t="s">
        <v>52</v>
      </c>
      <c r="D15" s="6">
        <f>'Exhibit 1'!C8/'Exhibit 1'!C6</f>
        <v>0.28136482939632546</v>
      </c>
      <c r="E15" s="6">
        <f>'Exhibit 1'!D8/'Exhibit 1'!D6</f>
        <v>0.26831896551724127</v>
      </c>
      <c r="F15" s="6">
        <f>'Exhibit 1'!E8/'Exhibit 1'!E6</f>
        <v>0.25262154432793132</v>
      </c>
      <c r="G15" s="6">
        <f>'Exhibit 1'!F8/'Exhibit 1'!F6</f>
        <v>0.23761578735400724</v>
      </c>
      <c r="H15" s="6">
        <f>'Exhibit 1'!G8/'Exhibit 1'!G6</f>
        <v>0.21964679911699786</v>
      </c>
    </row>
    <row r="16" spans="1:8" ht="17.25" customHeight="1" x14ac:dyDescent="0.2">
      <c r="B16" s="2" t="s">
        <v>53</v>
      </c>
      <c r="C16" s="2" t="s">
        <v>54</v>
      </c>
      <c r="D16" s="6">
        <f>'Exhibit 1'!C9/'Exhibit 1'!C6</f>
        <v>9.8687664041994749E-2</v>
      </c>
      <c r="E16" s="6">
        <f>'Exhibit 1'!D9/'Exhibit 1'!D6</f>
        <v>0.15517241379310345</v>
      </c>
      <c r="F16" s="6">
        <f>'Exhibit 1'!E9/'Exhibit 1'!E6</f>
        <v>0.18255481410867491</v>
      </c>
      <c r="G16" s="6">
        <f>'Exhibit 1'!F9/'Exhibit 1'!F6</f>
        <v>0.19130084575110753</v>
      </c>
      <c r="H16" s="6">
        <f>'Exhibit 1'!G9/'Exhibit 1'!G6</f>
        <v>0.17292126563649743</v>
      </c>
    </row>
    <row r="17" spans="1:8" ht="17.25" customHeight="1" x14ac:dyDescent="0.2">
      <c r="B17" s="2" t="s">
        <v>25</v>
      </c>
      <c r="C17" s="2" t="s">
        <v>55</v>
      </c>
      <c r="D17" s="6">
        <f>'Exhibit 1'!C10/'Exhibit 1'!C6</f>
        <v>0.18267716535433071</v>
      </c>
      <c r="E17" s="6">
        <f>'Exhibit 1'!D10/'Exhibit 1'!D6</f>
        <v>0.11314655172413784</v>
      </c>
      <c r="F17" s="6">
        <f>'Exhibit 1'!E10/'Exhibit 1'!E6</f>
        <v>7.006673021925644E-2</v>
      </c>
      <c r="G17" s="6">
        <f>'Exhibit 1'!F10/'Exhibit 1'!F6</f>
        <v>4.6314941602899715E-2</v>
      </c>
      <c r="H17" s="6">
        <f>'Exhibit 1'!G10/'Exhibit 1'!G6</f>
        <v>4.6725533480500431E-2</v>
      </c>
    </row>
    <row r="18" spans="1:8" ht="17.25" customHeight="1" x14ac:dyDescent="0.2">
      <c r="B18" s="2" t="s">
        <v>24</v>
      </c>
      <c r="C18" s="2" t="s">
        <v>56</v>
      </c>
      <c r="D18" s="6">
        <f>'Exhibit 1'!C14/'Exhibit 1'!C6</f>
        <v>0.13700787401574799</v>
      </c>
      <c r="E18" s="6">
        <f>'Exhibit 1'!D14/'Exhibit 1'!D6</f>
        <v>8.3782327586206809E-2</v>
      </c>
      <c r="F18" s="6">
        <f>'Exhibit 1'!E14/'Exhibit 1'!E6</f>
        <v>2.7883698760724513E-2</v>
      </c>
      <c r="G18" s="6">
        <f>'Exhibit 1'!F14/'Exhibit 1'!F6</f>
        <v>1.6069271043093032E-2</v>
      </c>
      <c r="H18" s="6">
        <f>'Exhibit 1'!G14/'Exhibit 1'!G6</f>
        <v>1.9941133186166363E-2</v>
      </c>
    </row>
    <row r="19" spans="1:8" ht="17.25" customHeight="1" x14ac:dyDescent="0.2">
      <c r="D19" s="6"/>
      <c r="E19" s="6"/>
      <c r="F19" s="6"/>
      <c r="G19" s="6"/>
      <c r="H19" s="6"/>
    </row>
    <row r="20" spans="1:8" ht="17.25" customHeight="1" x14ac:dyDescent="0.2">
      <c r="B20" s="1" t="s">
        <v>31</v>
      </c>
      <c r="C20" s="1"/>
      <c r="D20" s="6"/>
      <c r="E20" s="6"/>
      <c r="F20" s="6"/>
      <c r="G20" s="6"/>
      <c r="H20" s="6"/>
    </row>
    <row r="21" spans="1:8" ht="17.25" customHeight="1" x14ac:dyDescent="0.2">
      <c r="A21" s="2"/>
      <c r="B21" s="2" t="s">
        <v>34</v>
      </c>
      <c r="C21" s="2" t="s">
        <v>57</v>
      </c>
      <c r="D21" s="3">
        <f>'Exhibit 1'!C6/'Exhibit 1'!C24</f>
        <v>1.1212477928193054</v>
      </c>
      <c r="E21" s="3">
        <f>'Exhibit 1'!D6/'Exhibit 1'!D24</f>
        <v>1.1054198927933292</v>
      </c>
      <c r="F21" s="3">
        <f>'Exhibit 1'!E6/'Exhibit 1'!E24</f>
        <v>0.60478524070337281</v>
      </c>
      <c r="G21" s="3">
        <f>'Exhibit 1'!F6/'Exhibit 1'!F24</f>
        <v>0.68195550672892058</v>
      </c>
      <c r="H21" s="3">
        <f>'Exhibit 1'!G6/'Exhibit 1'!G24</f>
        <v>0.71170463472113121</v>
      </c>
    </row>
    <row r="22" spans="1:8" ht="17.25" customHeight="1" x14ac:dyDescent="0.2">
      <c r="B22" s="2" t="s">
        <v>28</v>
      </c>
      <c r="C22" s="2" t="s">
        <v>58</v>
      </c>
      <c r="D22" s="3">
        <f>'Exhibit 1'!C6/'Exhibit 1'!C22</f>
        <v>2.0706521739130435</v>
      </c>
      <c r="E22" s="3">
        <f>'Exhibit 1'!D6/'Exhibit 1'!D22</f>
        <v>2.064516129032258</v>
      </c>
      <c r="F22" s="3">
        <f>'Exhibit 1'!E6/'Exhibit 1'!E22</f>
        <v>0.7934947049924358</v>
      </c>
      <c r="G22" s="3">
        <f>'Exhibit 1'!F6/'Exhibit 1'!F22</f>
        <v>0.90127041742286751</v>
      </c>
      <c r="H22" s="3">
        <f>'Exhibit 1'!G6/'Exhibit 1'!G22</f>
        <v>0.94048442906574403</v>
      </c>
    </row>
    <row r="23" spans="1:8" ht="17.25" customHeight="1" x14ac:dyDescent="0.2">
      <c r="B23" s="2" t="s">
        <v>27</v>
      </c>
      <c r="C23" s="2" t="s">
        <v>59</v>
      </c>
      <c r="D23" s="8" t="s">
        <v>35</v>
      </c>
      <c r="E23" s="8" t="s">
        <v>35</v>
      </c>
      <c r="F23" s="8" t="s">
        <v>35</v>
      </c>
      <c r="G23" s="3">
        <f>'Exhibit 1'!F6/'Exhibit 3'!G33</f>
        <v>34.013698630137</v>
      </c>
      <c r="H23" s="3">
        <f>'Exhibit 1'!G6/'Exhibit 3'!H33</f>
        <v>35.763157894736835</v>
      </c>
    </row>
    <row r="24" spans="1:8" ht="17.25" customHeight="1" x14ac:dyDescent="0.2">
      <c r="B24" s="2" t="s">
        <v>26</v>
      </c>
      <c r="C24" s="2" t="s">
        <v>60</v>
      </c>
      <c r="D24" s="3">
        <f>'Exhibit 1'!C18/'Exhibit 1'!C6*365</f>
        <v>19.16010498687664</v>
      </c>
      <c r="E24" s="3">
        <f>'Exhibit 1'!D18/'Exhibit 1'!D6*365</f>
        <v>19.075969827586206</v>
      </c>
      <c r="F24" s="3">
        <f>'Exhibit 1'!E18/'Exhibit 1'!E6*365</f>
        <v>17.571496663489036</v>
      </c>
      <c r="G24" s="3">
        <f>'Exhibit 1'!F18/'Exhibit 1'!F6*365</f>
        <v>20.285944422070074</v>
      </c>
      <c r="H24" s="3">
        <f>'Exhibit 1'!G18/'Exhibit 1'!G6*365</f>
        <v>20.143487858719645</v>
      </c>
    </row>
    <row r="25" spans="1:8" ht="17.25" customHeight="1" x14ac:dyDescent="0.2">
      <c r="B25" s="2" t="s">
        <v>39</v>
      </c>
      <c r="C25" s="2" t="s">
        <v>61</v>
      </c>
      <c r="D25" s="3">
        <f>'Exhibit 1'!C19/'Exhibit 1'!C7*365</f>
        <v>17.863403944485025</v>
      </c>
      <c r="E25" s="3">
        <f>'Exhibit 1'!D19/'Exhibit 1'!D7*365</f>
        <v>20.695876288659793</v>
      </c>
      <c r="F25" s="3">
        <f>'Exhibit 1'!E19/'Exhibit 1'!E7*365</f>
        <v>19.553571428571427</v>
      </c>
      <c r="G25" s="3">
        <f>'Exhibit 1'!F19/'Exhibit 1'!F7*365</f>
        <v>21.016904384574747</v>
      </c>
      <c r="H25" s="3">
        <f>'Exhibit 1'!G19/'Exhibit 1'!G7*365</f>
        <v>20.650636492220652</v>
      </c>
    </row>
    <row r="26" spans="1:8" ht="17.25" customHeight="1" x14ac:dyDescent="0.2">
      <c r="B26" s="2" t="s">
        <v>40</v>
      </c>
      <c r="C26" s="2" t="s">
        <v>62</v>
      </c>
      <c r="D26" s="3">
        <f>'Exhibit 1'!C26/'Exhibit 1'!C7*365</f>
        <v>32.527392257121981</v>
      </c>
      <c r="E26" s="3">
        <f>'Exhibit 1'!D26/'Exhibit 1'!D7*365</f>
        <v>36.016200294550806</v>
      </c>
      <c r="F26" s="3">
        <f>'Exhibit 1'!E26/'Exhibit 1'!E7*365</f>
        <v>35.848214285714285</v>
      </c>
      <c r="G26" s="3">
        <f>'Exhibit 1'!F26/'Exhibit 1'!F7*365</f>
        <v>27.765451664025356</v>
      </c>
      <c r="H26" s="3">
        <f>'Exhibit 1'!G26/'Exhibit 1'!G7*365</f>
        <v>21.166902404526169</v>
      </c>
    </row>
    <row r="27" spans="1:8" ht="17.25" customHeight="1" x14ac:dyDescent="0.2"/>
    <row r="28" spans="1:8" ht="17.25" customHeight="1" x14ac:dyDescent="0.2">
      <c r="B28" s="1" t="s">
        <v>32</v>
      </c>
      <c r="C28" s="1"/>
    </row>
    <row r="29" spans="1:8" ht="17.25" customHeight="1" x14ac:dyDescent="0.2">
      <c r="B29" s="2" t="s">
        <v>68</v>
      </c>
      <c r="C29" s="2" t="s">
        <v>63</v>
      </c>
      <c r="D29" s="5">
        <f>'Exhibit 1'!C30/('Exhibit 1'!C30+'Exhibit 1'!C31)</f>
        <v>0.21501457725947523</v>
      </c>
      <c r="E29" s="5">
        <f>'Exhibit 1'!D30/('Exhibit 1'!D30+'Exhibit 1'!D31)</f>
        <v>6.8405139833711395E-2</v>
      </c>
      <c r="F29" s="5">
        <f>'Exhibit 1'!E30/('Exhibit 1'!E30+'Exhibit 1'!E31)</f>
        <v>0.58635052867670612</v>
      </c>
      <c r="G29" s="5">
        <f>'Exhibit 1'!F30/('Exhibit 1'!F30+'Exhibit 1'!F31)</f>
        <v>0.59596235579842138</v>
      </c>
      <c r="H29" s="5">
        <f>'Exhibit 1'!G30/('Exhibit 1'!G30+'Exhibit 1'!G31)</f>
        <v>0.60002887669650584</v>
      </c>
    </row>
    <row r="30" spans="1:8" ht="17.25" customHeight="1" x14ac:dyDescent="0.2">
      <c r="D30" s="5"/>
      <c r="E30" s="5"/>
      <c r="F30" s="5"/>
      <c r="G30" s="5"/>
      <c r="H30" s="5"/>
    </row>
    <row r="31" spans="1:8" ht="17.25" customHeight="1" x14ac:dyDescent="0.2">
      <c r="B31" s="1" t="s">
        <v>70</v>
      </c>
      <c r="C31" s="1"/>
    </row>
    <row r="32" spans="1:8" ht="17.25" customHeight="1" x14ac:dyDescent="0.2">
      <c r="B32" s="2" t="s">
        <v>67</v>
      </c>
      <c r="C32" s="2" t="s">
        <v>64</v>
      </c>
      <c r="D32" s="4">
        <f>'Exhibit 1'!C10*(1-0.25)</f>
        <v>26.099999999999998</v>
      </c>
      <c r="E32" s="4">
        <f>'Exhibit 1'!D10*(1-0.25)</f>
        <v>15.749999999999986</v>
      </c>
      <c r="F32" s="4">
        <f>'Exhibit 1'!E10*(1-0.25)</f>
        <v>11.025000000000002</v>
      </c>
      <c r="G32" s="4">
        <f>'Exhibit 1'!F10*(1-0.25)</f>
        <v>8.625</v>
      </c>
      <c r="H32" s="4">
        <f>'Exhibit 1'!G10*(1-0.25)</f>
        <v>9.5250000000000128</v>
      </c>
    </row>
    <row r="33" spans="1:8" ht="17.25" customHeight="1" x14ac:dyDescent="0.2">
      <c r="B33" s="2" t="s">
        <v>29</v>
      </c>
      <c r="C33" s="2" t="s">
        <v>65</v>
      </c>
      <c r="D33" s="4">
        <f>'Exhibit 1'!C21-'Exhibit 1'!C29</f>
        <v>-1.9000000000000021</v>
      </c>
      <c r="E33" s="4">
        <f>'Exhibit 1'!D21-'Exhibit 1'!D29</f>
        <v>-5.2000000000000028</v>
      </c>
      <c r="F33" s="4">
        <f>'Exhibit 1'!E21-'Exhibit 1'!E29</f>
        <v>-1.2000000000000028</v>
      </c>
      <c r="G33" s="4">
        <f>'Exhibit 1'!F21-'Exhibit 1'!F29</f>
        <v>7.2999999999999972</v>
      </c>
      <c r="H33" s="4">
        <f>'Exhibit 1'!G21-'Exhibit 1'!G29</f>
        <v>7.6000000000000014</v>
      </c>
    </row>
    <row r="34" spans="1:8" ht="17.25" customHeight="1" x14ac:dyDescent="0.2">
      <c r="B34" s="2" t="s">
        <v>41</v>
      </c>
      <c r="C34" s="2" t="s">
        <v>66</v>
      </c>
      <c r="D34" s="7">
        <f>'Exhibit 1'!C30+'Exhibit 1'!C31</f>
        <v>137.19999999999999</v>
      </c>
      <c r="E34" s="7">
        <f>'Exhibit 1'!D30+'Exhibit 1'!D31</f>
        <v>132.30000000000001</v>
      </c>
      <c r="F34" s="7">
        <f>'Exhibit 1'!E30+'Exhibit 1'!E31</f>
        <v>312.09999999999997</v>
      </c>
      <c r="G34" s="7">
        <f>'Exhibit 1'!F30+'Exhibit 1'!F31</f>
        <v>329.4</v>
      </c>
      <c r="H34" s="7">
        <f>'Exhibit 1'!G30+'Exhibit 1'!G31</f>
        <v>346.29999999999995</v>
      </c>
    </row>
    <row r="37" spans="1:8" ht="37.5" customHeight="1" x14ac:dyDescent="0.2">
      <c r="A37" s="25" t="s">
        <v>71</v>
      </c>
      <c r="B37" s="26"/>
      <c r="C37" s="26"/>
      <c r="D37" s="26"/>
      <c r="E37" s="26"/>
      <c r="F37" s="26"/>
      <c r="G37" s="26"/>
      <c r="H37" s="26"/>
    </row>
    <row r="39" spans="1:8" x14ac:dyDescent="0.2">
      <c r="A39" s="2"/>
    </row>
  </sheetData>
  <mergeCells count="1">
    <mergeCell ref="A37:H37"/>
  </mergeCells>
  <pageMargins left="0.7" right="0.7" top="0.75" bottom="0.75" header="0.3" footer="0.3"/>
  <pageSetup scale="85"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040c23d-d20f-405c-b1e1-9ed7d2ff1c5f">
      <Terms xmlns="http://schemas.microsoft.com/office/infopath/2007/PartnerControls"/>
    </lcf76f155ced4ddcb4097134ff3c332f>
    <TaxCatchAll xmlns="228c7561-c4e0-41f6-911a-1185116220b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7F792F8D65604CB074370CEA835510" ma:contentTypeVersion="18" ma:contentTypeDescription="Create a new document." ma:contentTypeScope="" ma:versionID="c177c3889a8353f00a7dd1dabf14dcd0">
  <xsd:schema xmlns:xsd="http://www.w3.org/2001/XMLSchema" xmlns:xs="http://www.w3.org/2001/XMLSchema" xmlns:p="http://schemas.microsoft.com/office/2006/metadata/properties" xmlns:ns2="7040c23d-d20f-405c-b1e1-9ed7d2ff1c5f" xmlns:ns3="228c7561-c4e0-41f6-911a-1185116220b2" targetNamespace="http://schemas.microsoft.com/office/2006/metadata/properties" ma:root="true" ma:fieldsID="ed81aacb2560594c39c9659d4f341aa6" ns2:_="" ns3:_="">
    <xsd:import namespace="7040c23d-d20f-405c-b1e1-9ed7d2ff1c5f"/>
    <xsd:import namespace="228c7561-c4e0-41f6-911a-1185116220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40c23d-d20f-405c-b1e1-9ed7d2ff1c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f802e18-79f9-49a4-b541-8cb1213600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8c7561-c4e0-41f6-911a-1185116220b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9eda082-e39b-45d7-a19d-211c6ef9b62d}" ma:internalName="TaxCatchAll" ma:showField="CatchAllData" ma:web="228c7561-c4e0-41f6-911a-1185116220b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B2C91F-F4DB-4F30-8DF0-3C26D163A572}">
  <ds:schemaRefs>
    <ds:schemaRef ds:uri="http://schemas.microsoft.com/sharepoint/v3/contenttype/forms"/>
  </ds:schemaRefs>
</ds:datastoreItem>
</file>

<file path=customXml/itemProps2.xml><?xml version="1.0" encoding="utf-8"?>
<ds:datastoreItem xmlns:ds="http://schemas.openxmlformats.org/officeDocument/2006/customXml" ds:itemID="{3176BD11-68C8-4D9D-8534-9C45E00E2062}">
  <ds:schemaRef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http://schemas.microsoft.com/office/2006/metadata/properties"/>
    <ds:schemaRef ds:uri="http://schemas.openxmlformats.org/package/2006/metadata/core-properties"/>
    <ds:schemaRef ds:uri="5f305e24-4878-4147-904c-f04b8958a896"/>
    <ds:schemaRef ds:uri="35e09d93-1b66-4974-90e1-751c95075bae"/>
    <ds:schemaRef ds:uri="http://purl.org/dc/terms/"/>
    <ds:schemaRef ds:uri="7040c23d-d20f-405c-b1e1-9ed7d2ff1c5f"/>
    <ds:schemaRef ds:uri="228c7561-c4e0-41f6-911a-1185116220b2"/>
  </ds:schemaRefs>
</ds:datastoreItem>
</file>

<file path=customXml/itemProps3.xml><?xml version="1.0" encoding="utf-8"?>
<ds:datastoreItem xmlns:ds="http://schemas.openxmlformats.org/officeDocument/2006/customXml" ds:itemID="{B01C2F02-E464-4693-8B2E-12A0D3DFDD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40c23d-d20f-405c-b1e1-9ed7d2ff1c5f"/>
    <ds:schemaRef ds:uri="228c7561-c4e0-41f6-911a-1185116220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Exhibit 1</vt:lpstr>
      <vt:lpstr>Exhibit 2</vt:lpstr>
      <vt:lpstr>Exhibit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SchillM</dc:creator>
  <cp:keywords/>
  <dc:description/>
  <cp:lastModifiedBy>Ellen Burnes</cp:lastModifiedBy>
  <cp:lastPrinted>2018-10-24T16:19:29Z</cp:lastPrinted>
  <dcterms:created xsi:type="dcterms:W3CDTF">2018-10-21T02:22:22Z</dcterms:created>
  <dcterms:modified xsi:type="dcterms:W3CDTF">2025-09-09T21:38:19Z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0x010100F4880AD0D53E43488DF4D1D5CE5ABC15</vt:lpwstr>
  </property>
  <property fmtid="{D5CDD505-2E9C-101B-9397-08002B2CF9AE}" pid="3" name="_dlc_DocIdItemGuid">
    <vt:lpwstr>ad8c4f95-cedb-4608-b5fb-ea9d4a5feab3</vt:lpwstr>
  </property>
  <property fmtid="{D5CDD505-2E9C-101B-9397-08002B2CF9AE}" pid="4" name="Order">
    <vt:r8>523400</vt:r8>
  </property>
  <property fmtid="{D5CDD505-2E9C-101B-9397-08002B2CF9AE}" pid="5" name="Submitter">
    <vt:lpwstr/>
  </property>
  <property fmtid="{D5CDD505-2E9C-101B-9397-08002B2CF9AE}" pid="6" name="Submitted By">
    <vt:lpwstr>MullinL@darden.virginia.edu</vt:lpwstr>
  </property>
  <property fmtid="{D5CDD505-2E9C-101B-9397-08002B2CF9AE}" pid="7" name="Reason For Rejection">
    <vt:lpwstr/>
  </property>
  <property fmtid="{D5CDD505-2E9C-101B-9397-08002B2CF9AE}" pid="8" name="Submission Status">
    <vt:lpwstr>Accepted</vt:lpwstr>
  </property>
  <property fmtid="{D5CDD505-2E9C-101B-9397-08002B2CF9AE}" pid="9" name="Task ID">
    <vt:lpwstr>79543</vt:lpwstr>
  </property>
  <property fmtid="{D5CDD505-2E9C-101B-9397-08002B2CF9AE}" pid="10" name="Upload Mode">
    <vt:lpwstr>Email</vt:lpwstr>
  </property>
  <property fmtid="{D5CDD505-2E9C-101B-9397-08002B2CF9AE}" pid="11" name="Email Time Stamp">
    <vt:filetime>2020-02-04T13:53:20Z</vt:filetime>
  </property>
  <property fmtid="{D5CDD505-2E9C-101B-9397-08002B2CF9AE}" pid="12" name="Email Subject">
    <vt:lpwstr>FW: Bobs Baloney Case</vt:lpwstr>
  </property>
  <property fmtid="{D5CDD505-2E9C-101B-9397-08002B2CF9AE}" pid="13" name="Workflow Template Name">
    <vt:lpwstr>13</vt:lpwstr>
  </property>
  <property fmtid="{D5CDD505-2E9C-101B-9397-08002B2CF9AE}" pid="14" name="Acceptance Task ID">
    <vt:lpwstr>79546</vt:lpwstr>
  </property>
  <property fmtid="{D5CDD505-2E9C-101B-9397-08002B2CF9AE}" pid="15" name="Faculty Sponsor">
    <vt:lpwstr>431;#schillm@darden.virginia.edu</vt:lpwstr>
  </property>
  <property fmtid="{D5CDD505-2E9C-101B-9397-08002B2CF9AE}" pid="16" name="Content Type">
    <vt:lpwstr>9</vt:lpwstr>
  </property>
  <property fmtid="{D5CDD505-2E9C-101B-9397-08002B2CF9AE}" pid="17" name="Content_x0020_Type">
    <vt:lpwstr>9</vt:lpwstr>
  </property>
  <property fmtid="{D5CDD505-2E9C-101B-9397-08002B2CF9AE}" pid="18" name="Workflow_x0020_Instance_x0020_Name">
    <vt:lpwstr>9133</vt:lpwstr>
  </property>
  <property fmtid="{D5CDD505-2E9C-101B-9397-08002B2CF9AE}" pid="19" name="Product Type">
    <vt:lpwstr/>
  </property>
  <property fmtid="{D5CDD505-2E9C-101B-9397-08002B2CF9AE}" pid="20" name="Workflow Instance Name">
    <vt:lpwstr>9390</vt:lpwstr>
  </property>
  <property fmtid="{D5CDD505-2E9C-101B-9397-08002B2CF9AE}" pid="21" name="Target Audiences">
    <vt:lpwstr/>
  </property>
  <property fmtid="{D5CDD505-2E9C-101B-9397-08002B2CF9AE}" pid="22" name="Reviewer">
    <vt:lpwstr>431;#schillm@darden.virginia.edu</vt:lpwstr>
  </property>
  <property fmtid="{D5CDD505-2E9C-101B-9397-08002B2CF9AE}" pid="23" name="Mode">
    <vt:lpwstr>2</vt:lpwstr>
  </property>
  <property fmtid="{D5CDD505-2E9C-101B-9397-08002B2CF9AE}" pid="24" name="Comments">
    <vt:lpwstr/>
  </property>
  <property fmtid="{D5CDD505-2E9C-101B-9397-08002B2CF9AE}" pid="25" name="xd_ProgID">
    <vt:lpwstr/>
  </property>
  <property fmtid="{D5CDD505-2E9C-101B-9397-08002B2CF9AE}" pid="26" name="TemplateUrl">
    <vt:lpwstr/>
  </property>
  <property fmtid="{D5CDD505-2E9C-101B-9397-08002B2CF9AE}" pid="27" name="_CopySource">
    <vt:lpwstr>https://www.wmcasemgmt.com/sites/casemanagement/Gold Library/F-1942X.xlsx</vt:lpwstr>
  </property>
  <property fmtid="{D5CDD505-2E9C-101B-9397-08002B2CF9AE}" pid="28" name="Content_x0020_Name">
    <vt:lpwstr>18323</vt:lpwstr>
  </property>
  <property fmtid="{D5CDD505-2E9C-101B-9397-08002B2CF9AE}" pid="29" name="Status">
    <vt:lpwstr>Available</vt:lpwstr>
  </property>
  <property fmtid="{D5CDD505-2E9C-101B-9397-08002B2CF9AE}" pid="30" name="Content Name">
    <vt:lpwstr>18323</vt:lpwstr>
  </property>
  <property fmtid="{D5CDD505-2E9C-101B-9397-08002B2CF9AE}" pid="31" name="MediaServiceImageTags">
    <vt:lpwstr/>
  </property>
</Properties>
</file>