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jeco9627_colorado_edu/Documents/1. Teach - CU/1a Fall 2025/1. Corp 1 (ACCT 3220)/2. Miah - Slides/15 TVM NR/"/>
    </mc:Choice>
  </mc:AlternateContent>
  <xr:revisionPtr revIDLastSave="135" documentId="8_{FA0BBB86-4B68-47AB-AEBA-5F13EB03E5A0}" xr6:coauthVersionLast="47" xr6:coauthVersionMax="47" xr10:uidLastSave="{B4587816-601E-4809-8A83-870DE19003F2}"/>
  <bookViews>
    <workbookView xWindow="-120" yWindow="-120" windowWidth="29040" windowHeight="15720" activeTab="1" xr2:uid="{DC5BF9D0-AE41-4C57-AF6E-F983AE5F477D}"/>
  </bookViews>
  <sheets>
    <sheet name="Problem 1" sheetId="1" r:id="rId1"/>
    <sheet name="Extra Problem" sheetId="4" r:id="rId2"/>
    <sheet name="Problem 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0" i="4" l="1"/>
  <c r="B19" i="4"/>
  <c r="B20" i="1"/>
  <c r="B19" i="1"/>
  <c r="B12" i="1"/>
  <c r="B11" i="4"/>
  <c r="D19" i="1"/>
  <c r="E19" i="1"/>
  <c r="B11" i="1"/>
  <c r="E18" i="1" s="1"/>
  <c r="B8" i="1"/>
  <c r="E24" i="4"/>
  <c r="B8" i="4"/>
  <c r="C21" i="4" s="1"/>
  <c r="E32" i="4" s="1"/>
  <c r="B6" i="4"/>
  <c r="E32" i="1"/>
  <c r="E28" i="1"/>
  <c r="C21" i="1"/>
  <c r="C20" i="1"/>
  <c r="C19" i="1"/>
  <c r="B6" i="1"/>
  <c r="J9" i="1" l="1"/>
  <c r="J8" i="1" s="1"/>
  <c r="J9" i="4"/>
  <c r="I8" i="4" s="1"/>
  <c r="C19" i="4"/>
  <c r="C20" i="4"/>
  <c r="E28" i="4" s="1"/>
  <c r="F26" i="1"/>
  <c r="F30" i="1"/>
  <c r="E25" i="1"/>
  <c r="E18" i="4" l="1"/>
  <c r="D20" i="1"/>
  <c r="F26" i="4" l="1"/>
  <c r="D19" i="4"/>
  <c r="F25" i="4" s="1"/>
  <c r="E29" i="1"/>
  <c r="E20" i="1"/>
  <c r="B21" i="1" s="1"/>
  <c r="E19" i="4" l="1"/>
  <c r="F34" i="1" l="1"/>
  <c r="D21" i="1"/>
  <c r="D20" i="4" l="1"/>
  <c r="F29" i="4" s="1"/>
  <c r="F30" i="4"/>
  <c r="E33" i="1"/>
  <c r="E21" i="1"/>
  <c r="E20" i="4" l="1"/>
  <c r="B21" i="4" s="1"/>
  <c r="F34" i="4" l="1"/>
  <c r="D21" i="4"/>
  <c r="F33" i="4" s="1"/>
  <c r="E21" i="4" l="1"/>
</calcChain>
</file>

<file path=xl/sharedStrings.xml><?xml version="1.0" encoding="utf-8"?>
<sst xmlns="http://schemas.openxmlformats.org/spreadsheetml/2006/main" count="84" uniqueCount="42">
  <si>
    <t>Problem 1:</t>
  </si>
  <si>
    <t>Need PV of Note - determines amount of cash to lend out and carrying value, which determines discount)</t>
  </si>
  <si>
    <t>RATE</t>
  </si>
  <si>
    <t>NPER</t>
  </si>
  <si>
    <t>PMT</t>
  </si>
  <si>
    <t>FV</t>
  </si>
  <si>
    <t>PV</t>
  </si>
  <si>
    <t>AMORTIZATION</t>
  </si>
  <si>
    <t>Note Receivable (B-A)</t>
  </si>
  <si>
    <t>Cash (B-A)</t>
  </si>
  <si>
    <t>Discount (B-XA)</t>
  </si>
  <si>
    <t>Interest Revenue</t>
  </si>
  <si>
    <t>(CV x market rate)</t>
  </si>
  <si>
    <t>Disc. Amort.</t>
  </si>
  <si>
    <t>(Int. Rev. - PMT)</t>
  </si>
  <si>
    <t>CV</t>
  </si>
  <si>
    <t>End of Yr 1</t>
  </si>
  <si>
    <t>End of Yr 2</t>
  </si>
  <si>
    <t>End of Yr 3</t>
  </si>
  <si>
    <t>(CV + Amort)</t>
  </si>
  <si>
    <t>12/31 Yr 1</t>
  </si>
  <si>
    <t>Interest Revenue (I-R)</t>
  </si>
  <si>
    <t>12/31 Yr 2</t>
  </si>
  <si>
    <t>Problem 2:</t>
  </si>
  <si>
    <t>Fair value is known so that is the PV of the note! Given that face value is 12,000 and PV is 10,000, there must be a discount of 2,000.</t>
  </si>
  <si>
    <t>Note receivable (B-A)</t>
  </si>
  <si>
    <t>Accumulated Depreciation (B-XA)</t>
  </si>
  <si>
    <t>Equipment (B-A)</t>
  </si>
  <si>
    <t>Gain on sale (I-R)</t>
  </si>
  <si>
    <t>Premium (B-A)</t>
  </si>
  <si>
    <t>Prem. Amort.</t>
  </si>
  <si>
    <t>Premium (B-XA)</t>
  </si>
  <si>
    <t>Mkt RATE</t>
  </si>
  <si>
    <t>PMT (Stated)</t>
  </si>
  <si>
    <t>Discount</t>
  </si>
  <si>
    <t>Extra Problem 1:</t>
  </si>
  <si>
    <t>On January 1, Atta Corp receives a 3-year, $50,000 face value note bearing 8% annual interest rate from Heimlich Corp.  The market interest rate for a note of similar risk is 10%.  Interest is paid annually. 
Required: Prepare journal entries for issuance and year ends for Atta. Round to the nearest dollar for journal entries.</t>
  </si>
  <si>
    <t>On January 1, Atta Corp receives a 3-year, $50,000 face value note bearing 12% annual interest rate from Heimlich Corp.  The market interest rate for a note of similar risk is 10%.  Interest is paid annually. 
Required: Prepare journal entries for issuance and year ends for Atta. Round to the nearest dollar for journal entries.</t>
  </si>
  <si>
    <t xml:space="preserve">Flik Co. sells equipment with a fair value of $10,000 in exchange for a note that matures in two years.  There are no annual interest payments and the note’s face (maturity) value is $12,000.  The equipment was purchased for $15,000 and has accumulated depreciation of $6,000 (book value is $9,000). 
Required: What is the journal entry for the initial transaction? </t>
  </si>
  <si>
    <t>Annuity Cash Flow</t>
  </si>
  <si>
    <t>Lump Sum Cash Flow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</si>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</sst>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000"/>
    <numFmt numFmtId="166" formatCode="_(&quot;$&quot;* #,##0_);_(&quot;$&quot;* \(#,##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1">
    <xf numFmtId="0" fontId="0" fillId="0" borderId="0" xfId="0"/>
    <xf numFmtId="8" fontId="0" fillId="0" borderId="0" xfId="0" applyNumberFormat="1"/>
    <xf numFmtId="8" fontId="3" fillId="0" borderId="0" xfId="0" applyNumberFormat="1" applyFont="1"/>
    <xf numFmtId="0" fontId="0" fillId="0" borderId="0" xfId="0" applyAlignment="1">
      <alignment horizontal="center"/>
    </xf>
    <xf numFmtId="0" fontId="3" fillId="0" borderId="0" xfId="0" applyFont="1"/>
    <xf numFmtId="16" fontId="0" fillId="0" borderId="0" xfId="0" applyNumberFormat="1"/>
    <xf numFmtId="16" fontId="0" fillId="2" borderId="0" xfId="0" applyNumberFormat="1" applyFill="1"/>
    <xf numFmtId="0" fontId="0" fillId="2" borderId="0" xfId="0" applyFill="1"/>
    <xf numFmtId="3" fontId="0" fillId="2" borderId="0" xfId="0" applyNumberFormat="1" applyFill="1"/>
    <xf numFmtId="164" fontId="0" fillId="2" borderId="0" xfId="1" applyNumberFormat="1" applyFont="1" applyFill="1"/>
    <xf numFmtId="164" fontId="0" fillId="2" borderId="0" xfId="0" applyNumberFormat="1" applyFill="1"/>
    <xf numFmtId="0" fontId="0" fillId="0" borderId="1" xfId="0" applyBorder="1" applyAlignment="1">
      <alignment horizontal="center"/>
    </xf>
    <xf numFmtId="43" fontId="0" fillId="0" borderId="0" xfId="0" applyNumberFormat="1"/>
    <xf numFmtId="0" fontId="2" fillId="0" borderId="0" xfId="0" applyFont="1"/>
    <xf numFmtId="165" fontId="0" fillId="0" borderId="0" xfId="0" applyNumberFormat="1"/>
    <xf numFmtId="9" fontId="0" fillId="0" borderId="0" xfId="2" applyFont="1"/>
    <xf numFmtId="166" fontId="0" fillId="0" borderId="0" xfId="3" applyNumberFormat="1" applyFont="1"/>
    <xf numFmtId="0" fontId="4" fillId="0" borderId="0" xfId="0" applyFont="1"/>
    <xf numFmtId="9" fontId="0" fillId="0" borderId="0" xfId="0" applyNumberFormat="1"/>
    <xf numFmtId="164" fontId="0" fillId="0" borderId="0" xfId="1" applyNumberFormat="1" applyFont="1"/>
    <xf numFmtId="0" fontId="2" fillId="0" borderId="0" xfId="0" applyFont="1" applyAlignment="1">
      <alignment horizontal="left" wrapText="1"/>
    </xf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0"/>
  <tableStyles count="1" defaultTableStyle="TableStyleMedium2" defaultPivotStyle="PivotStyleLight16">
    <tableStyle name="Invisible" pivot="0" table="0" count="0" xr9:uid="{866B36E2-0607-4495-BAB8-0AB75C8C676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B2308-8171-46CC-884B-283E9EB03DA1}">
  <dimension ref="A1:J37"/>
  <sheetViews>
    <sheetView topLeftCell="A2" zoomScaleNormal="100" workbookViewId="0">
      <selection activeCell="J36" sqref="J36"/>
    </sheetView>
  </sheetViews>
  <sheetFormatPr defaultRowHeight="15" x14ac:dyDescent="0.25"/>
  <cols>
    <col min="1" max="1" width="11.42578125" customWidth="1"/>
    <col min="2" max="2" width="15.28515625" bestFit="1" customWidth="1"/>
    <col min="4" max="4" width="13.85546875" bestFit="1" customWidth="1"/>
    <col min="5" max="5" width="10.42578125" bestFit="1" customWidth="1"/>
    <col min="6" max="6" width="9.85546875" bestFit="1" customWidth="1"/>
    <col min="10" max="10" width="8" customWidth="1"/>
  </cols>
  <sheetData>
    <row r="1" spans="1:10" x14ac:dyDescent="0.25">
      <c r="A1" s="2" t="s">
        <v>0</v>
      </c>
    </row>
    <row r="2" spans="1:10" ht="79.5" customHeight="1" x14ac:dyDescent="0.25">
      <c r="A2" s="20" t="s">
        <v>36</v>
      </c>
      <c r="B2" s="20"/>
      <c r="C2" s="20"/>
      <c r="D2" s="20"/>
      <c r="E2" s="20"/>
      <c r="F2" s="20"/>
      <c r="G2" s="20"/>
      <c r="H2" s="20"/>
      <c r="I2" s="20"/>
    </row>
    <row r="4" spans="1:10" x14ac:dyDescent="0.25">
      <c r="A4" t="s">
        <v>1</v>
      </c>
    </row>
    <row r="6" spans="1:10" x14ac:dyDescent="0.25">
      <c r="A6" t="s">
        <v>32</v>
      </c>
      <c r="B6" s="15">
        <f>0.1</f>
        <v>0.1</v>
      </c>
    </row>
    <row r="7" spans="1:10" x14ac:dyDescent="0.25">
      <c r="A7" t="s">
        <v>3</v>
      </c>
      <c r="B7">
        <v>3</v>
      </c>
      <c r="E7" s="6">
        <v>44197</v>
      </c>
      <c r="F7" s="7" t="s">
        <v>8</v>
      </c>
      <c r="G7" s="7"/>
      <c r="H7" s="7"/>
      <c r="I7" s="8">
        <v>50000</v>
      </c>
      <c r="J7" s="7"/>
    </row>
    <row r="8" spans="1:10" x14ac:dyDescent="0.25">
      <c r="A8" t="s">
        <v>33</v>
      </c>
      <c r="B8" s="16">
        <f>50000*0.08</f>
        <v>4000</v>
      </c>
      <c r="C8" s="17" t="s">
        <v>39</v>
      </c>
      <c r="E8" s="7"/>
      <c r="F8" s="7"/>
      <c r="G8" s="7" t="s">
        <v>10</v>
      </c>
      <c r="H8" s="7"/>
      <c r="I8" s="7"/>
      <c r="J8" s="10">
        <f>I7-J9</f>
        <v>2487</v>
      </c>
    </row>
    <row r="9" spans="1:10" x14ac:dyDescent="0.25">
      <c r="A9" t="s">
        <v>5</v>
      </c>
      <c r="B9" s="16">
        <v>50000</v>
      </c>
      <c r="C9" s="17" t="s">
        <v>40</v>
      </c>
      <c r="E9" s="7"/>
      <c r="F9" s="7"/>
      <c r="G9" s="7" t="s">
        <v>9</v>
      </c>
      <c r="H9" s="7"/>
      <c r="I9" s="7"/>
      <c r="J9" s="9">
        <f>ROUND(-B11,0)</f>
        <v>47513</v>
      </c>
    </row>
    <row r="11" spans="1:10" x14ac:dyDescent="0.25">
      <c r="A11" t="s">
        <v>6</v>
      </c>
      <c r="B11" s="1">
        <f>PV(B6,B7,B8,B9)</f>
        <v>-47513.148009015771</v>
      </c>
    </row>
    <row r="12" spans="1:10" x14ac:dyDescent="0.25">
      <c r="A12" t="s">
        <v>34</v>
      </c>
      <c r="B12" s="1">
        <f>B11+B9</f>
        <v>2486.8519909842289</v>
      </c>
    </row>
    <row r="14" spans="1:10" x14ac:dyDescent="0.25">
      <c r="A14" s="4" t="s">
        <v>7</v>
      </c>
    </row>
    <row r="15" spans="1:10" x14ac:dyDescent="0.25">
      <c r="B15" s="18">
        <v>0.1</v>
      </c>
    </row>
    <row r="16" spans="1:10" x14ac:dyDescent="0.25">
      <c r="B16" s="3" t="s">
        <v>11</v>
      </c>
      <c r="C16" s="3" t="s">
        <v>4</v>
      </c>
      <c r="D16" s="3" t="s">
        <v>13</v>
      </c>
      <c r="E16" s="3" t="s">
        <v>15</v>
      </c>
    </row>
    <row r="17" spans="1:6" x14ac:dyDescent="0.25">
      <c r="B17" s="11" t="s">
        <v>12</v>
      </c>
      <c r="C17" s="11"/>
      <c r="D17" s="11" t="s">
        <v>14</v>
      </c>
      <c r="E17" s="11" t="s">
        <v>19</v>
      </c>
    </row>
    <row r="18" spans="1:6" x14ac:dyDescent="0.25">
      <c r="A18" s="5">
        <v>44197</v>
      </c>
      <c r="E18" s="12">
        <f>-B11</f>
        <v>47513.148009015771</v>
      </c>
    </row>
    <row r="19" spans="1:6" x14ac:dyDescent="0.25">
      <c r="A19" t="s">
        <v>16</v>
      </c>
      <c r="B19" s="12">
        <f>E18*$B$15</f>
        <v>4751.3148009015777</v>
      </c>
      <c r="C19" s="19">
        <f>$B$8</f>
        <v>4000</v>
      </c>
      <c r="D19" s="12">
        <f>B19-C19</f>
        <v>751.31480090157766</v>
      </c>
      <c r="E19" s="12">
        <f>E18+D19</f>
        <v>48264.46280991735</v>
      </c>
    </row>
    <row r="20" spans="1:6" x14ac:dyDescent="0.25">
      <c r="A20" t="s">
        <v>17</v>
      </c>
      <c r="B20" s="12">
        <f t="shared" ref="B20:B21" si="0">E19*$B$15</f>
        <v>4826.446280991735</v>
      </c>
      <c r="C20" s="19">
        <f>$B$8</f>
        <v>4000</v>
      </c>
      <c r="D20" s="12">
        <f>B20-C20</f>
        <v>826.44628099173497</v>
      </c>
      <c r="E20" s="12">
        <f>E19+D20</f>
        <v>49090.909090909088</v>
      </c>
    </row>
    <row r="21" spans="1:6" x14ac:dyDescent="0.25">
      <c r="A21" t="s">
        <v>18</v>
      </c>
      <c r="B21" s="12">
        <f t="shared" si="0"/>
        <v>4909.090909090909</v>
      </c>
      <c r="C21" s="19">
        <f>$B$8</f>
        <v>4000</v>
      </c>
      <c r="D21" s="12">
        <f>B21-C21</f>
        <v>909.09090909090901</v>
      </c>
      <c r="E21" s="12">
        <f>E20+D21</f>
        <v>50000</v>
      </c>
    </row>
    <row r="24" spans="1:6" x14ac:dyDescent="0.25">
      <c r="B24" s="7" t="s">
        <v>20</v>
      </c>
      <c r="C24" s="7" t="s">
        <v>9</v>
      </c>
      <c r="D24" s="7"/>
      <c r="E24" s="9">
        <v>4000</v>
      </c>
      <c r="F24" s="9"/>
    </row>
    <row r="25" spans="1:6" x14ac:dyDescent="0.25">
      <c r="B25" s="7"/>
      <c r="C25" s="7" t="s">
        <v>10</v>
      </c>
      <c r="D25" s="7"/>
      <c r="E25" s="9">
        <f>ROUND(D19,0)</f>
        <v>751</v>
      </c>
      <c r="F25" s="9"/>
    </row>
    <row r="26" spans="1:6" x14ac:dyDescent="0.25">
      <c r="B26" s="7"/>
      <c r="C26" s="7"/>
      <c r="D26" s="7" t="s">
        <v>21</v>
      </c>
      <c r="E26" s="9"/>
      <c r="F26" s="9">
        <f>ROUND(B19,0)</f>
        <v>4751</v>
      </c>
    </row>
    <row r="27" spans="1:6" x14ac:dyDescent="0.25">
      <c r="B27" s="7"/>
      <c r="C27" s="7"/>
      <c r="D27" s="7"/>
      <c r="E27" s="9"/>
      <c r="F27" s="9"/>
    </row>
    <row r="28" spans="1:6" x14ac:dyDescent="0.25">
      <c r="B28" s="7" t="s">
        <v>22</v>
      </c>
      <c r="C28" s="7" t="s">
        <v>9</v>
      </c>
      <c r="D28" s="7"/>
      <c r="E28" s="9">
        <f>C20</f>
        <v>4000</v>
      </c>
      <c r="F28" s="9"/>
    </row>
    <row r="29" spans="1:6" x14ac:dyDescent="0.25">
      <c r="B29" s="7"/>
      <c r="C29" s="7" t="s">
        <v>10</v>
      </c>
      <c r="D29" s="7"/>
      <c r="E29" s="9">
        <f>ROUND(D20,0)</f>
        <v>826</v>
      </c>
      <c r="F29" s="9"/>
    </row>
    <row r="30" spans="1:6" x14ac:dyDescent="0.25">
      <c r="B30" s="7"/>
      <c r="C30" s="7"/>
      <c r="D30" s="7" t="s">
        <v>21</v>
      </c>
      <c r="E30" s="9"/>
      <c r="F30" s="9">
        <f>ROUND(B20,0)</f>
        <v>4826</v>
      </c>
    </row>
    <row r="31" spans="1:6" x14ac:dyDescent="0.25">
      <c r="B31" s="7"/>
      <c r="C31" s="7"/>
      <c r="D31" s="7"/>
      <c r="E31" s="9"/>
      <c r="F31" s="9"/>
    </row>
    <row r="32" spans="1:6" x14ac:dyDescent="0.25">
      <c r="B32" s="7" t="s">
        <v>22</v>
      </c>
      <c r="C32" s="7" t="s">
        <v>9</v>
      </c>
      <c r="D32" s="7"/>
      <c r="E32" s="9">
        <f>C21</f>
        <v>4000</v>
      </c>
      <c r="F32" s="9"/>
    </row>
    <row r="33" spans="2:6" x14ac:dyDescent="0.25">
      <c r="B33" s="7"/>
      <c r="C33" s="7" t="s">
        <v>10</v>
      </c>
      <c r="D33" s="7"/>
      <c r="E33" s="9">
        <f>ROUND(D21,0)</f>
        <v>909</v>
      </c>
      <c r="F33" s="9"/>
    </row>
    <row r="34" spans="2:6" x14ac:dyDescent="0.25">
      <c r="B34" s="7"/>
      <c r="C34" s="7"/>
      <c r="D34" s="7" t="s">
        <v>21</v>
      </c>
      <c r="E34" s="9"/>
      <c r="F34" s="9">
        <f>ROUND(B21,0)</f>
        <v>4909</v>
      </c>
    </row>
    <row r="35" spans="2:6" x14ac:dyDescent="0.25">
      <c r="B35" s="7"/>
      <c r="C35" s="7"/>
      <c r="D35" s="7"/>
      <c r="E35" s="9"/>
      <c r="F35" s="9"/>
    </row>
    <row r="36" spans="2:6" x14ac:dyDescent="0.25">
      <c r="B36" s="7"/>
      <c r="C36" s="7" t="s">
        <v>9</v>
      </c>
      <c r="D36" s="7"/>
      <c r="E36" s="9">
        <v>50000</v>
      </c>
      <c r="F36" s="9"/>
    </row>
    <row r="37" spans="2:6" x14ac:dyDescent="0.25">
      <c r="B37" s="7"/>
      <c r="C37" s="7"/>
      <c r="D37" s="7" t="s">
        <v>8</v>
      </c>
      <c r="E37" s="9"/>
      <c r="F37" s="9">
        <v>50000</v>
      </c>
    </row>
  </sheetData>
  <mergeCells count="1">
    <mergeCell ref="A2:I2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9E9B1-6FFD-4E97-9A26-676DDC7F5322}">
  <dimension ref="A1:K37"/>
  <sheetViews>
    <sheetView tabSelected="1" topLeftCell="A5" zoomScale="160" zoomScaleNormal="160" workbookViewId="0">
      <selection activeCell="K15" sqref="K15"/>
    </sheetView>
  </sheetViews>
  <sheetFormatPr defaultRowHeight="15" x14ac:dyDescent="0.25"/>
  <cols>
    <col min="1" max="1" width="9.85546875" customWidth="1"/>
    <col min="2" max="2" width="15.28515625" bestFit="1" customWidth="1"/>
    <col min="4" max="4" width="13.85546875" bestFit="1" customWidth="1"/>
    <col min="5" max="5" width="12.28515625" bestFit="1" customWidth="1"/>
    <col min="6" max="6" width="9.85546875" bestFit="1" customWidth="1"/>
    <col min="10" max="10" width="8.42578125" bestFit="1" customWidth="1"/>
  </cols>
  <sheetData>
    <row r="1" spans="1:11" x14ac:dyDescent="0.25">
      <c r="A1" s="2" t="s">
        <v>35</v>
      </c>
    </row>
    <row r="2" spans="1:11" ht="79.5" customHeight="1" x14ac:dyDescent="0.25">
      <c r="A2" s="20" t="s">
        <v>37</v>
      </c>
      <c r="B2" s="20"/>
      <c r="C2" s="20"/>
      <c r="D2" s="20"/>
      <c r="E2" s="20"/>
      <c r="F2" s="20"/>
      <c r="G2" s="20"/>
      <c r="H2" s="20"/>
      <c r="I2" s="20"/>
    </row>
    <row r="4" spans="1:11" x14ac:dyDescent="0.25">
      <c r="A4" t="s">
        <v>1</v>
      </c>
    </row>
    <row r="6" spans="1:11" x14ac:dyDescent="0.25">
      <c r="A6" t="s">
        <v>2</v>
      </c>
      <c r="B6" s="15">
        <f>0.1</f>
        <v>0.1</v>
      </c>
    </row>
    <row r="7" spans="1:11" x14ac:dyDescent="0.25">
      <c r="A7" t="s">
        <v>3</v>
      </c>
      <c r="B7">
        <v>3</v>
      </c>
      <c r="E7" s="6">
        <v>44197</v>
      </c>
      <c r="F7" s="7" t="s">
        <v>8</v>
      </c>
      <c r="G7" s="7"/>
      <c r="H7" s="7"/>
      <c r="I7" s="8">
        <v>50000</v>
      </c>
      <c r="J7" s="7"/>
    </row>
    <row r="8" spans="1:11" x14ac:dyDescent="0.25">
      <c r="A8" t="s">
        <v>4</v>
      </c>
      <c r="B8" s="16">
        <f>50000*0.12</f>
        <v>6000</v>
      </c>
      <c r="E8" s="7"/>
      <c r="F8" s="7" t="s">
        <v>29</v>
      </c>
      <c r="G8" s="7"/>
      <c r="H8" s="7"/>
      <c r="I8" s="10">
        <f>J9-I7</f>
        <v>2487</v>
      </c>
      <c r="J8" s="7"/>
    </row>
    <row r="9" spans="1:11" x14ac:dyDescent="0.25">
      <c r="A9" t="s">
        <v>5</v>
      </c>
      <c r="B9" s="16">
        <v>50000</v>
      </c>
      <c r="E9" s="7"/>
      <c r="F9" s="7"/>
      <c r="G9" s="7" t="s">
        <v>9</v>
      </c>
      <c r="H9" s="7"/>
      <c r="I9" s="7"/>
      <c r="J9" s="9">
        <f>ROUND(-B11,0)</f>
        <v>52487</v>
      </c>
    </row>
    <row r="11" spans="1:11" x14ac:dyDescent="0.25">
      <c r="A11" t="s">
        <v>6</v>
      </c>
      <c r="B11" s="1">
        <f>PV(B6,B7,B8,B9)</f>
        <v>-52486.851990984229</v>
      </c>
    </row>
    <row r="14" spans="1:11" x14ac:dyDescent="0.25">
      <c r="A14" s="4" t="s">
        <v>7</v>
      </c>
    </row>
    <row r="15" spans="1:11" x14ac:dyDescent="0.25">
      <c r="B15" s="18">
        <v>0.1</v>
      </c>
      <c r="K15" t="s">
        <v>41</v>
      </c>
    </row>
    <row r="16" spans="1:11" x14ac:dyDescent="0.25">
      <c r="B16" s="3" t="s">
        <v>11</v>
      </c>
      <c r="C16" s="3" t="s">
        <v>4</v>
      </c>
      <c r="D16" s="3" t="s">
        <v>30</v>
      </c>
      <c r="E16" s="3" t="s">
        <v>15</v>
      </c>
    </row>
    <row r="17" spans="1:6" x14ac:dyDescent="0.25">
      <c r="B17" s="11" t="s">
        <v>12</v>
      </c>
      <c r="C17" s="11"/>
      <c r="D17" s="11" t="s">
        <v>14</v>
      </c>
      <c r="E17" s="11" t="s">
        <v>19</v>
      </c>
    </row>
    <row r="18" spans="1:6" x14ac:dyDescent="0.25">
      <c r="A18" s="5">
        <v>44197</v>
      </c>
      <c r="E18" s="12">
        <f>-B11</f>
        <v>52486.851990984229</v>
      </c>
    </row>
    <row r="19" spans="1:6" x14ac:dyDescent="0.25">
      <c r="A19" t="s">
        <v>16</v>
      </c>
      <c r="B19" s="12">
        <f>E18*$B$15</f>
        <v>5248.6851990984233</v>
      </c>
      <c r="C19" s="19">
        <f>$B$8</f>
        <v>6000</v>
      </c>
      <c r="D19" s="12">
        <f>B19-C19</f>
        <v>-751.31480090157675</v>
      </c>
      <c r="E19" s="12">
        <f>E18+D19</f>
        <v>51735.53719008265</v>
      </c>
    </row>
    <row r="20" spans="1:6" x14ac:dyDescent="0.25">
      <c r="A20" t="s">
        <v>17</v>
      </c>
      <c r="B20" s="12">
        <f t="shared" ref="B20:B21" si="0">E19*$B$15</f>
        <v>5173.553719008265</v>
      </c>
      <c r="C20" s="19">
        <f>$B$8</f>
        <v>6000</v>
      </c>
      <c r="D20" s="12">
        <f>B20-C20</f>
        <v>-826.44628099173497</v>
      </c>
      <c r="E20" s="12">
        <f>E19+D20</f>
        <v>50909.090909090912</v>
      </c>
    </row>
    <row r="21" spans="1:6" x14ac:dyDescent="0.25">
      <c r="A21" t="s">
        <v>18</v>
      </c>
      <c r="B21" s="12">
        <f t="shared" si="0"/>
        <v>5090.9090909090919</v>
      </c>
      <c r="C21" s="19">
        <f>$B$8</f>
        <v>6000</v>
      </c>
      <c r="D21" s="12">
        <f>B21-C21</f>
        <v>-909.0909090909081</v>
      </c>
      <c r="E21" s="12">
        <f>E20+D21</f>
        <v>50000</v>
      </c>
    </row>
    <row r="24" spans="1:6" x14ac:dyDescent="0.25">
      <c r="B24" s="7" t="s">
        <v>20</v>
      </c>
      <c r="C24" s="7" t="s">
        <v>9</v>
      </c>
      <c r="D24" s="7"/>
      <c r="E24" s="9">
        <f>C19</f>
        <v>6000</v>
      </c>
      <c r="F24" s="9"/>
    </row>
    <row r="25" spans="1:6" x14ac:dyDescent="0.25">
      <c r="B25" s="7"/>
      <c r="C25" s="7"/>
      <c r="D25" s="7" t="s">
        <v>31</v>
      </c>
      <c r="E25" s="9"/>
      <c r="F25" s="9">
        <f>ROUND(-D19,0)</f>
        <v>751</v>
      </c>
    </row>
    <row r="26" spans="1:6" x14ac:dyDescent="0.25">
      <c r="B26" s="7"/>
      <c r="C26" s="7"/>
      <c r="D26" s="7" t="s">
        <v>21</v>
      </c>
      <c r="E26" s="9"/>
      <c r="F26" s="9">
        <f>ROUND(B19,0)</f>
        <v>5249</v>
      </c>
    </row>
    <row r="27" spans="1:6" x14ac:dyDescent="0.25">
      <c r="B27" s="7"/>
      <c r="C27" s="7"/>
      <c r="D27" s="7"/>
      <c r="E27" s="9"/>
      <c r="F27" s="9"/>
    </row>
    <row r="28" spans="1:6" x14ac:dyDescent="0.25">
      <c r="B28" s="7" t="s">
        <v>22</v>
      </c>
      <c r="C28" s="7" t="s">
        <v>9</v>
      </c>
      <c r="D28" s="7"/>
      <c r="E28" s="9">
        <f>C20</f>
        <v>6000</v>
      </c>
      <c r="F28" s="9"/>
    </row>
    <row r="29" spans="1:6" x14ac:dyDescent="0.25">
      <c r="B29" s="7"/>
      <c r="C29" s="7"/>
      <c r="D29" s="7" t="s">
        <v>31</v>
      </c>
      <c r="E29" s="9"/>
      <c r="F29" s="9">
        <f>ROUND(-D20,0)</f>
        <v>826</v>
      </c>
    </row>
    <row r="30" spans="1:6" x14ac:dyDescent="0.25">
      <c r="B30" s="7"/>
      <c r="C30" s="7"/>
      <c r="D30" s="7" t="s">
        <v>21</v>
      </c>
      <c r="E30" s="9"/>
      <c r="F30" s="9">
        <f>ROUND(B20,0)</f>
        <v>5174</v>
      </c>
    </row>
    <row r="31" spans="1:6" x14ac:dyDescent="0.25">
      <c r="B31" s="7"/>
      <c r="C31" s="7"/>
      <c r="D31" s="7"/>
      <c r="E31" s="9"/>
      <c r="F31" s="9"/>
    </row>
    <row r="32" spans="1:6" x14ac:dyDescent="0.25">
      <c r="B32" s="7" t="s">
        <v>22</v>
      </c>
      <c r="C32" s="7" t="s">
        <v>9</v>
      </c>
      <c r="D32" s="7"/>
      <c r="E32" s="9">
        <f>C21</f>
        <v>6000</v>
      </c>
      <c r="F32" s="9"/>
    </row>
    <row r="33" spans="2:6" x14ac:dyDescent="0.25">
      <c r="B33" s="7"/>
      <c r="C33" s="7"/>
      <c r="D33" s="7" t="s">
        <v>31</v>
      </c>
      <c r="E33" s="9"/>
      <c r="F33" s="9">
        <f>ROUND(-D21,0)</f>
        <v>909</v>
      </c>
    </row>
    <row r="34" spans="2:6" x14ac:dyDescent="0.25">
      <c r="B34" s="7"/>
      <c r="C34" s="7"/>
      <c r="D34" s="7" t="s">
        <v>21</v>
      </c>
      <c r="E34" s="9"/>
      <c r="F34" s="9">
        <f>ROUND(B21,0)</f>
        <v>5091</v>
      </c>
    </row>
    <row r="35" spans="2:6" x14ac:dyDescent="0.25">
      <c r="B35" s="7"/>
      <c r="C35" s="7"/>
      <c r="D35" s="7"/>
      <c r="E35" s="9"/>
      <c r="F35" s="9"/>
    </row>
    <row r="36" spans="2:6" x14ac:dyDescent="0.25">
      <c r="B36" s="7"/>
      <c r="C36" s="7" t="s">
        <v>9</v>
      </c>
      <c r="D36" s="7"/>
      <c r="E36" s="9">
        <v>50000</v>
      </c>
      <c r="F36" s="9"/>
    </row>
    <row r="37" spans="2:6" x14ac:dyDescent="0.25">
      <c r="B37" s="7"/>
      <c r="C37" s="7"/>
      <c r="D37" s="7" t="s">
        <v>8</v>
      </c>
      <c r="E37" s="9"/>
      <c r="F37" s="9">
        <v>50000</v>
      </c>
    </row>
  </sheetData>
  <mergeCells count="1">
    <mergeCell ref="A2:I2"/>
  </mergeCells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F9F61-FB67-494B-AFEA-7E7F802218DE}">
  <dimension ref="A1:P12"/>
  <sheetViews>
    <sheetView zoomScaleNormal="100" workbookViewId="0">
      <selection activeCell="D24" sqref="D24"/>
    </sheetView>
  </sheetViews>
  <sheetFormatPr defaultRowHeight="15" x14ac:dyDescent="0.25"/>
  <cols>
    <col min="4" max="4" width="10.28515625" customWidth="1"/>
    <col min="12" max="12" width="10.140625" bestFit="1" customWidth="1"/>
  </cols>
  <sheetData>
    <row r="1" spans="1:16" x14ac:dyDescent="0.25">
      <c r="A1" s="2" t="s">
        <v>23</v>
      </c>
    </row>
    <row r="2" spans="1:16" ht="96.75" customHeight="1" x14ac:dyDescent="0.25">
      <c r="A2" s="20" t="s">
        <v>38</v>
      </c>
      <c r="B2" s="20"/>
      <c r="C2" s="20"/>
      <c r="D2" s="20"/>
      <c r="E2" s="20"/>
      <c r="F2" s="20"/>
      <c r="G2" s="20"/>
      <c r="H2" s="20"/>
      <c r="I2" s="20"/>
    </row>
    <row r="4" spans="1:16" x14ac:dyDescent="0.25">
      <c r="A4" t="s">
        <v>24</v>
      </c>
    </row>
    <row r="6" spans="1:16" x14ac:dyDescent="0.25">
      <c r="L6" s="13"/>
      <c r="M6" s="13"/>
    </row>
    <row r="7" spans="1:16" x14ac:dyDescent="0.25">
      <c r="A7" s="7" t="s">
        <v>25</v>
      </c>
      <c r="B7" s="7"/>
      <c r="C7" s="7"/>
      <c r="D7" s="7"/>
      <c r="E7" s="8">
        <v>12000</v>
      </c>
      <c r="F7" s="7"/>
    </row>
    <row r="8" spans="1:16" x14ac:dyDescent="0.25">
      <c r="A8" s="7" t="s">
        <v>26</v>
      </c>
      <c r="B8" s="7"/>
      <c r="C8" s="7"/>
      <c r="D8" s="7"/>
      <c r="E8" s="8">
        <v>6000</v>
      </c>
      <c r="F8" s="7"/>
    </row>
    <row r="9" spans="1:16" x14ac:dyDescent="0.25">
      <c r="A9" s="7"/>
      <c r="B9" s="7" t="s">
        <v>10</v>
      </c>
      <c r="C9" s="7"/>
      <c r="D9" s="7"/>
      <c r="E9" s="7"/>
      <c r="F9" s="8">
        <v>2000</v>
      </c>
    </row>
    <row r="10" spans="1:16" x14ac:dyDescent="0.25">
      <c r="A10" s="7"/>
      <c r="B10" s="7" t="s">
        <v>27</v>
      </c>
      <c r="C10" s="7"/>
      <c r="D10" s="7"/>
      <c r="E10" s="7"/>
      <c r="F10" s="8">
        <v>15000</v>
      </c>
    </row>
    <row r="11" spans="1:16" x14ac:dyDescent="0.25">
      <c r="A11" s="7"/>
      <c r="B11" s="7" t="s">
        <v>28</v>
      </c>
      <c r="C11" s="7"/>
      <c r="D11" s="7"/>
      <c r="E11" s="7"/>
      <c r="F11" s="8">
        <v>1000</v>
      </c>
    </row>
    <row r="12" spans="1:16" x14ac:dyDescent="0.25">
      <c r="P12" s="14"/>
    </row>
  </sheetData>
  <mergeCells count="1">
    <mergeCell ref="A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Problem 1</vt:lpstr>
      <vt:lpstr>Extra Problem</vt:lpstr>
      <vt:lpstr>Problem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 Tice</dc:creator>
  <cp:lastModifiedBy>Jeremiah Contreras</cp:lastModifiedBy>
  <dcterms:created xsi:type="dcterms:W3CDTF">2021-03-02T17:43:40Z</dcterms:created>
  <dcterms:modified xsi:type="dcterms:W3CDTF">2025-10-15T21:14:44Z</dcterms:modified>
</cp:coreProperties>
</file>