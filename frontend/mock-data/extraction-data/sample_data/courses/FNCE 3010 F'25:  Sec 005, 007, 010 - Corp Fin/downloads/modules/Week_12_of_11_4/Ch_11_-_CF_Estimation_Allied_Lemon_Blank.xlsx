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Z:\donchez\AAAA Busdemeter Faculty\FNCE 3010\3010WebPosts\3010 16th ed support\3010 16ed PPTs\"/>
    </mc:Choice>
  </mc:AlternateContent>
  <bookViews>
    <workbookView xWindow="0" yWindow="0" windowWidth="15090" windowHeight="8160" activeTab="2"/>
  </bookViews>
  <sheets>
    <sheet name="ALLIED Input sheet" sheetId="3" r:id="rId1"/>
    <sheet name="ALLIED LEMON " sheetId="1" state="hidden" r:id="rId2"/>
    <sheet name="ALLIED Solution" sheetId="2" r:id="rId3"/>
  </sheets>
  <definedNames>
    <definedName name="_xlnm.Print_Area" localSheetId="0">'ALLIED Input sheet'!$A$1:$I$106</definedName>
    <definedName name="_xlnm.Print_Area" localSheetId="1">'ALLIED LEMON '!$A$1:$I$106</definedName>
    <definedName name="_xlnm.Print_Area" localSheetId="2">'ALLIED Solution'!$A$1:$I$106</definedName>
  </definedNames>
  <calcPr calcId="162913"/>
</workbook>
</file>

<file path=xl/calcChain.xml><?xml version="1.0" encoding="utf-8"?>
<calcChain xmlns="http://schemas.openxmlformats.org/spreadsheetml/2006/main">
  <c r="E80" i="3" l="1"/>
  <c r="E84" i="3" s="1"/>
  <c r="G71" i="3"/>
  <c r="F71" i="3"/>
  <c r="D71" i="3"/>
  <c r="G70" i="3"/>
  <c r="G72" i="3" s="1"/>
  <c r="F70" i="3"/>
  <c r="F72" i="3" s="1"/>
  <c r="H117" i="3" s="1"/>
  <c r="G69" i="3"/>
  <c r="F69" i="3"/>
  <c r="D69" i="3"/>
  <c r="D70" i="3" s="1"/>
  <c r="D72" i="3" s="1"/>
  <c r="I83" i="3" s="1"/>
  <c r="F55" i="3"/>
  <c r="F59" i="3" s="1"/>
  <c r="H54" i="3"/>
  <c r="G54" i="3"/>
  <c r="F54" i="3"/>
  <c r="E54" i="3"/>
  <c r="H53" i="3"/>
  <c r="G53" i="3"/>
  <c r="F53" i="3"/>
  <c r="F56" i="3" s="1"/>
  <c r="E53" i="3"/>
  <c r="G40" i="3"/>
  <c r="H55" i="3" s="1"/>
  <c r="H59" i="3" s="1"/>
  <c r="G39" i="3"/>
  <c r="G55" i="3" s="1"/>
  <c r="G59" i="3" s="1"/>
  <c r="G38" i="3"/>
  <c r="G37" i="3"/>
  <c r="H37" i="3" s="1"/>
  <c r="H38" i="3" s="1"/>
  <c r="H39" i="3" s="1"/>
  <c r="H40" i="3" s="1"/>
  <c r="C34" i="3"/>
  <c r="D30" i="3"/>
  <c r="H56" i="3" l="1"/>
  <c r="G56" i="3"/>
  <c r="F57" i="3"/>
  <c r="F58" i="3" s="1"/>
  <c r="F60" i="3" s="1"/>
  <c r="G81" i="3" s="1"/>
  <c r="G84" i="3" s="1"/>
  <c r="E114" i="3"/>
  <c r="E118" i="3" s="1"/>
  <c r="E91" i="3"/>
  <c r="E102" i="3"/>
  <c r="E103" i="3" s="1"/>
  <c r="E55" i="3"/>
  <c r="E59" i="3" s="1"/>
  <c r="AH1" i="2"/>
  <c r="D25" i="2"/>
  <c r="D30" i="2" s="1"/>
  <c r="E80" i="2" s="1"/>
  <c r="E84" i="2" s="1"/>
  <c r="AC25" i="2"/>
  <c r="AC30" i="2" s="1"/>
  <c r="AD80" i="2" s="1"/>
  <c r="AD84" i="2" s="1"/>
  <c r="D26" i="2"/>
  <c r="AC26" i="2"/>
  <c r="D27" i="2"/>
  <c r="AC71" i="2" s="1"/>
  <c r="AC27" i="2"/>
  <c r="AB34" i="2"/>
  <c r="AD37" i="2" s="1"/>
  <c r="E49" i="2"/>
  <c r="E53" i="2" s="1"/>
  <c r="F49" i="2"/>
  <c r="G49" i="2"/>
  <c r="H49" i="2"/>
  <c r="AD49" i="2"/>
  <c r="AE49" i="2"/>
  <c r="AF49" i="2"/>
  <c r="AG49" i="2"/>
  <c r="E50" i="2"/>
  <c r="F50" i="2"/>
  <c r="F53" i="2" s="1"/>
  <c r="G50" i="2"/>
  <c r="H50" i="2"/>
  <c r="AD50" i="2"/>
  <c r="AE50" i="2"/>
  <c r="AF50" i="2"/>
  <c r="AF53" i="2" s="1"/>
  <c r="AG50" i="2"/>
  <c r="AG53" i="2" s="1"/>
  <c r="E51" i="2"/>
  <c r="F51" i="2"/>
  <c r="G51" i="2"/>
  <c r="H51" i="2"/>
  <c r="AD51" i="2"/>
  <c r="AE51" i="2"/>
  <c r="AG51" i="2"/>
  <c r="AG54" i="2" s="1"/>
  <c r="G53" i="2"/>
  <c r="H53" i="2"/>
  <c r="AD53" i="2"/>
  <c r="AE53" i="2"/>
  <c r="G54" i="2"/>
  <c r="H54" i="2"/>
  <c r="AD54" i="2"/>
  <c r="AE54" i="2"/>
  <c r="D67" i="2"/>
  <c r="F67" i="2"/>
  <c r="G67" i="2"/>
  <c r="AC67" i="2"/>
  <c r="AE67" i="2"/>
  <c r="AF67" i="2"/>
  <c r="F71" i="2"/>
  <c r="G71" i="2"/>
  <c r="G102" i="3" l="1"/>
  <c r="G115" i="3"/>
  <c r="G118" i="3" s="1"/>
  <c r="G91" i="3"/>
  <c r="I93" i="3" s="1"/>
  <c r="E95" i="3"/>
  <c r="G57" i="3"/>
  <c r="G58" i="3" s="1"/>
  <c r="G60" i="3" s="1"/>
  <c r="H81" i="3" s="1"/>
  <c r="H84" i="3" s="1"/>
  <c r="E136" i="3"/>
  <c r="E137" i="3" s="1"/>
  <c r="E125" i="3"/>
  <c r="E56" i="3"/>
  <c r="H57" i="3"/>
  <c r="H58" i="3" s="1"/>
  <c r="H60" i="3" s="1"/>
  <c r="I81" i="3" s="1"/>
  <c r="I84" i="3" s="1"/>
  <c r="AF37" i="2"/>
  <c r="AD55" i="2" s="1"/>
  <c r="AD39" i="2"/>
  <c r="AF39" i="2" s="1"/>
  <c r="AF55" i="2" s="1"/>
  <c r="AF59" i="2" s="1"/>
  <c r="AD40" i="2"/>
  <c r="AF40" i="2" s="1"/>
  <c r="AG55" i="2" s="1"/>
  <c r="AG59" i="2" s="1"/>
  <c r="AD38" i="2"/>
  <c r="AF38" i="2" s="1"/>
  <c r="AE55" i="2" s="1"/>
  <c r="AD114" i="2"/>
  <c r="AD118" i="2" s="1"/>
  <c r="AD102" i="2"/>
  <c r="AD103" i="2" s="1"/>
  <c r="AD91" i="2"/>
  <c r="AF56" i="2"/>
  <c r="F54" i="2"/>
  <c r="E114" i="2"/>
  <c r="E118" i="2" s="1"/>
  <c r="E102" i="2"/>
  <c r="E103" i="2" s="1"/>
  <c r="E91" i="2"/>
  <c r="E54" i="2"/>
  <c r="AF51" i="2"/>
  <c r="AF54" i="2" s="1"/>
  <c r="C34" i="2"/>
  <c r="AF71" i="2"/>
  <c r="AG37" i="2"/>
  <c r="AG38" i="2" s="1"/>
  <c r="AG39" i="2" s="1"/>
  <c r="D71" i="2"/>
  <c r="AE71" i="2"/>
  <c r="I91" i="3" l="1"/>
  <c r="I102" i="3"/>
  <c r="H102" i="3"/>
  <c r="H115" i="3"/>
  <c r="H118" i="3" s="1"/>
  <c r="H91" i="3"/>
  <c r="I92" i="3" s="1"/>
  <c r="E57" i="3"/>
  <c r="E58" i="3" s="1"/>
  <c r="E60" i="3" s="1"/>
  <c r="F81" i="3" s="1"/>
  <c r="F84" i="3" s="1"/>
  <c r="G125" i="3"/>
  <c r="H126" i="3" s="1"/>
  <c r="G136" i="3"/>
  <c r="E129" i="3"/>
  <c r="AF68" i="2"/>
  <c r="AF69" i="2" s="1"/>
  <c r="AF70" i="2" s="1"/>
  <c r="AF72" i="2" s="1"/>
  <c r="AG40" i="2"/>
  <c r="AC68" i="2" s="1"/>
  <c r="AC69" i="2" s="1"/>
  <c r="AC70" i="2" s="1"/>
  <c r="AC72" i="2" s="1"/>
  <c r="AH83" i="2" s="1"/>
  <c r="AE68" i="2"/>
  <c r="AE69" i="2" s="1"/>
  <c r="AE70" i="2" s="1"/>
  <c r="AE72" i="2" s="1"/>
  <c r="AG117" i="2" s="1"/>
  <c r="E125" i="2"/>
  <c r="E136" i="2"/>
  <c r="E137" i="2" s="1"/>
  <c r="AF57" i="2"/>
  <c r="AF58" i="2" s="1"/>
  <c r="AF60" i="2" s="1"/>
  <c r="AG81" i="2" s="1"/>
  <c r="AG84" i="2" s="1"/>
  <c r="AE56" i="2"/>
  <c r="AE59" i="2"/>
  <c r="E37" i="2"/>
  <c r="AD56" i="2"/>
  <c r="AD59" i="2"/>
  <c r="AD136" i="2"/>
  <c r="AD137" i="2" s="1"/>
  <c r="AD125" i="2"/>
  <c r="E95" i="2"/>
  <c r="AG56" i="2"/>
  <c r="AD95" i="2"/>
  <c r="F115" i="3" l="1"/>
  <c r="F118" i="3" s="1"/>
  <c r="F91" i="3"/>
  <c r="F102" i="3"/>
  <c r="F103" i="3" s="1"/>
  <c r="C87" i="3"/>
  <c r="C86" i="3"/>
  <c r="H8" i="3" s="1"/>
  <c r="H136" i="3"/>
  <c r="H125" i="3"/>
  <c r="AG91" i="2"/>
  <c r="AH92" i="2" s="1"/>
  <c r="AG115" i="2"/>
  <c r="AG118" i="2" s="1"/>
  <c r="AG102" i="2"/>
  <c r="AE57" i="2"/>
  <c r="AE58" i="2"/>
  <c r="AE60" i="2" s="1"/>
  <c r="AF81" i="2" s="1"/>
  <c r="AF84" i="2" s="1"/>
  <c r="AD129" i="2"/>
  <c r="AD57" i="2"/>
  <c r="AD58" i="2"/>
  <c r="AD60" i="2" s="1"/>
  <c r="AE81" i="2" s="1"/>
  <c r="AE84" i="2" s="1"/>
  <c r="AG57" i="2"/>
  <c r="AG58" i="2"/>
  <c r="AG60" i="2" s="1"/>
  <c r="AH81" i="2" s="1"/>
  <c r="AH84" i="2" s="1"/>
  <c r="E129" i="2"/>
  <c r="E39" i="2"/>
  <c r="G39" i="2" s="1"/>
  <c r="G55" i="2" s="1"/>
  <c r="G37" i="2"/>
  <c r="E38" i="2"/>
  <c r="G38" i="2" s="1"/>
  <c r="F55" i="2" s="1"/>
  <c r="E40" i="2"/>
  <c r="G40" i="2" s="1"/>
  <c r="H55" i="2" s="1"/>
  <c r="G103" i="3" l="1"/>
  <c r="H103" i="3" s="1"/>
  <c r="I103" i="3" s="1"/>
  <c r="C105" i="3"/>
  <c r="I94" i="3"/>
  <c r="I95" i="3" s="1"/>
  <c r="E88" i="3"/>
  <c r="F88" i="3" s="1"/>
  <c r="K91" i="3"/>
  <c r="K92" i="3" s="1"/>
  <c r="B98" i="3"/>
  <c r="F125" i="3"/>
  <c r="F136" i="3"/>
  <c r="F137" i="3" s="1"/>
  <c r="C121" i="3"/>
  <c r="C120" i="3"/>
  <c r="H56" i="2"/>
  <c r="H59" i="2"/>
  <c r="AF102" i="2"/>
  <c r="AF115" i="2"/>
  <c r="AF118" i="2" s="1"/>
  <c r="AF91" i="2"/>
  <c r="AH93" i="2" s="1"/>
  <c r="F59" i="2"/>
  <c r="F56" i="2"/>
  <c r="AB86" i="2"/>
  <c r="AG8" i="2" s="1"/>
  <c r="AE115" i="2"/>
  <c r="AE118" i="2" s="1"/>
  <c r="AE91" i="2"/>
  <c r="AE102" i="2"/>
  <c r="AE103" i="2" s="1"/>
  <c r="AB87" i="2"/>
  <c r="AG136" i="2"/>
  <c r="AG125" i="2"/>
  <c r="AH91" i="2"/>
  <c r="AH102" i="2"/>
  <c r="E55" i="2"/>
  <c r="H37" i="2"/>
  <c r="H38" i="2" s="1"/>
  <c r="H39" i="2" s="1"/>
  <c r="G59" i="2"/>
  <c r="G56" i="2"/>
  <c r="G137" i="3" l="1"/>
  <c r="H137" i="3" s="1"/>
  <c r="C139" i="3"/>
  <c r="H127" i="3"/>
  <c r="H129" i="3" s="1"/>
  <c r="B132" i="3"/>
  <c r="E59" i="2"/>
  <c r="E56" i="2"/>
  <c r="AH95" i="2"/>
  <c r="G57" i="2"/>
  <c r="G58" i="2"/>
  <c r="G60" i="2" s="1"/>
  <c r="H81" i="2" s="1"/>
  <c r="H84" i="2" s="1"/>
  <c r="F57" i="2"/>
  <c r="F58" i="2"/>
  <c r="F60" i="2" s="1"/>
  <c r="G81" i="2" s="1"/>
  <c r="G84" i="2" s="1"/>
  <c r="AF125" i="2"/>
  <c r="AG126" i="2" s="1"/>
  <c r="AF136" i="2"/>
  <c r="AF103" i="2"/>
  <c r="AG103" i="2" s="1"/>
  <c r="AH103" i="2" s="1"/>
  <c r="AB105" i="2"/>
  <c r="F68" i="2"/>
  <c r="F69" i="2" s="1"/>
  <c r="F70" i="2" s="1"/>
  <c r="F72" i="2" s="1"/>
  <c r="H117" i="2" s="1"/>
  <c r="H40" i="2"/>
  <c r="D68" i="2" s="1"/>
  <c r="D69" i="2" s="1"/>
  <c r="D70" i="2" s="1"/>
  <c r="D72" i="2" s="1"/>
  <c r="I83" i="2" s="1"/>
  <c r="G68" i="2"/>
  <c r="G69" i="2" s="1"/>
  <c r="G70" i="2" s="1"/>
  <c r="G72" i="2" s="1"/>
  <c r="AD88" i="2"/>
  <c r="AE88" i="2" s="1"/>
  <c r="AJ91" i="2"/>
  <c r="AJ92" i="2" s="1"/>
  <c r="AH94" i="2"/>
  <c r="AA98" i="2"/>
  <c r="AB120" i="2"/>
  <c r="AE125" i="2"/>
  <c r="AE136" i="2"/>
  <c r="AE137" i="2" s="1"/>
  <c r="AB121" i="2"/>
  <c r="H57" i="2"/>
  <c r="H58" i="2" s="1"/>
  <c r="H60" i="2" s="1"/>
  <c r="I81" i="2" s="1"/>
  <c r="I84" i="2" s="1"/>
  <c r="I91" i="2" l="1"/>
  <c r="I102" i="2"/>
  <c r="G102" i="2"/>
  <c r="G91" i="2"/>
  <c r="I93" i="2" s="1"/>
  <c r="G115" i="2"/>
  <c r="G118" i="2" s="1"/>
  <c r="AF137" i="2"/>
  <c r="AG137" i="2" s="1"/>
  <c r="AB139" i="2"/>
  <c r="AG127" i="2"/>
  <c r="AG129" i="2" s="1"/>
  <c r="AA132" i="2"/>
  <c r="H115" i="2"/>
  <c r="H118" i="2" s="1"/>
  <c r="H91" i="2"/>
  <c r="I92" i="2" s="1"/>
  <c r="H102" i="2"/>
  <c r="E57" i="2"/>
  <c r="E58" i="2"/>
  <c r="E60" i="2" s="1"/>
  <c r="F81" i="2" s="1"/>
  <c r="F84" i="2" s="1"/>
  <c r="F91" i="2" l="1"/>
  <c r="F115" i="2"/>
  <c r="F118" i="2" s="1"/>
  <c r="F102" i="2"/>
  <c r="F103" i="2" s="1"/>
  <c r="C86" i="2"/>
  <c r="H8" i="2" s="1"/>
  <c r="C87" i="2"/>
  <c r="H125" i="2"/>
  <c r="H136" i="2"/>
  <c r="G136" i="2"/>
  <c r="G125" i="2"/>
  <c r="H126" i="2" s="1"/>
  <c r="G103" i="2" l="1"/>
  <c r="H103" i="2" s="1"/>
  <c r="I103" i="2" s="1"/>
  <c r="C105" i="2"/>
  <c r="F136" i="2"/>
  <c r="F137" i="2" s="1"/>
  <c r="C120" i="2"/>
  <c r="F125" i="2"/>
  <c r="C121" i="2"/>
  <c r="I94" i="2"/>
  <c r="I95" i="2" s="1"/>
  <c r="K91" i="2"/>
  <c r="K92" i="2" s="1"/>
  <c r="E88" i="2"/>
  <c r="F88" i="2" s="1"/>
  <c r="B98" i="2"/>
  <c r="H127" i="2" l="1"/>
  <c r="H129" i="2" s="1"/>
  <c r="B132" i="2"/>
  <c r="G137" i="2"/>
  <c r="H137" i="2" s="1"/>
  <c r="C139" i="2"/>
  <c r="G71" i="1" l="1"/>
  <c r="F71" i="1"/>
  <c r="D71" i="1"/>
  <c r="D30" i="1"/>
  <c r="E80" i="1" s="1"/>
  <c r="C34" i="1" l="1"/>
  <c r="G37" i="1" s="1"/>
  <c r="F53" i="1" l="1"/>
  <c r="E54" i="1"/>
  <c r="G39" i="1"/>
  <c r="G55" i="1" s="1"/>
  <c r="G59" i="1" s="1"/>
  <c r="E53" i="1"/>
  <c r="G38" i="1"/>
  <c r="F55" i="1" s="1"/>
  <c r="F59" i="1" s="1"/>
  <c r="G40" i="1"/>
  <c r="H55" i="1" s="1"/>
  <c r="H59" i="1" s="1"/>
  <c r="H37" i="1"/>
  <c r="E55" i="1"/>
  <c r="E59" i="1" s="1"/>
  <c r="F54" i="1" l="1"/>
  <c r="F56" i="1" s="1"/>
  <c r="F57" i="1" s="1"/>
  <c r="F58" i="1" s="1"/>
  <c r="F60" i="1" s="1"/>
  <c r="G81" i="1" s="1"/>
  <c r="G53" i="1"/>
  <c r="E84" i="1"/>
  <c r="H38" i="1"/>
  <c r="H39" i="1" s="1"/>
  <c r="F69" i="1" s="1"/>
  <c r="F70" i="1" s="1"/>
  <c r="F72" i="1" s="1"/>
  <c r="H117" i="1" s="1"/>
  <c r="E56" i="1"/>
  <c r="E102" i="1" l="1"/>
  <c r="E103" i="1" s="1"/>
  <c r="E114" i="1"/>
  <c r="E118" i="1" s="1"/>
  <c r="H40" i="1"/>
  <c r="D69" i="1" s="1"/>
  <c r="D70" i="1" s="1"/>
  <c r="G54" i="1"/>
  <c r="G56" i="1" s="1"/>
  <c r="G69" i="1"/>
  <c r="G70" i="1" s="1"/>
  <c r="G72" i="1" s="1"/>
  <c r="E91" i="1"/>
  <c r="E95" i="1" s="1"/>
  <c r="E57" i="1"/>
  <c r="E58" i="1" s="1"/>
  <c r="E60" i="1" s="1"/>
  <c r="F81" i="1" s="1"/>
  <c r="F84" i="1" s="1"/>
  <c r="F115" i="1" s="1"/>
  <c r="F118" i="1" s="1"/>
  <c r="G84" i="1"/>
  <c r="G115" i="1" s="1"/>
  <c r="G118" i="1" s="1"/>
  <c r="F136" i="1" l="1"/>
  <c r="F125" i="1"/>
  <c r="H127" i="1" s="1"/>
  <c r="D72" i="1"/>
  <c r="I83" i="1" s="1"/>
  <c r="E136" i="1"/>
  <c r="E137" i="1" s="1"/>
  <c r="E125" i="1"/>
  <c r="G136" i="1"/>
  <c r="G125" i="1"/>
  <c r="H126" i="1" s="1"/>
  <c r="H54" i="1"/>
  <c r="H53" i="1"/>
  <c r="G102" i="1"/>
  <c r="G91" i="1"/>
  <c r="I93" i="1" s="1"/>
  <c r="F102" i="1"/>
  <c r="F103" i="1" s="1"/>
  <c r="F91" i="1"/>
  <c r="G57" i="1"/>
  <c r="G58" i="1" s="1"/>
  <c r="G60" i="1" s="1"/>
  <c r="H81" i="1" s="1"/>
  <c r="E129" i="1" l="1"/>
  <c r="F137" i="1"/>
  <c r="G137" i="1" s="1"/>
  <c r="H56" i="1"/>
  <c r="H57" i="1" s="1"/>
  <c r="H58" i="1" s="1"/>
  <c r="H60" i="1" s="1"/>
  <c r="I81" i="1" s="1"/>
  <c r="I84" i="1" s="1"/>
  <c r="H84" i="1"/>
  <c r="I94" i="1"/>
  <c r="G103" i="1"/>
  <c r="H102" i="1" l="1"/>
  <c r="H103" i="1" s="1"/>
  <c r="H115" i="1"/>
  <c r="H118" i="1" s="1"/>
  <c r="H91" i="1"/>
  <c r="I92" i="1" s="1"/>
  <c r="I102" i="1"/>
  <c r="I91" i="1"/>
  <c r="C87" i="1"/>
  <c r="C86" i="1"/>
  <c r="H125" i="1" l="1"/>
  <c r="H136" i="1"/>
  <c r="H137" i="1" s="1"/>
  <c r="C139" i="1" s="1"/>
  <c r="C121" i="1"/>
  <c r="C120" i="1"/>
  <c r="I103" i="1"/>
  <c r="C105" i="1" s="1"/>
  <c r="K91" i="1"/>
  <c r="K92" i="1" s="1"/>
  <c r="H8" i="1"/>
  <c r="I95" i="1"/>
  <c r="B98" i="1"/>
  <c r="E88" i="1"/>
  <c r="F88" i="1" s="1"/>
  <c r="H129" i="1" l="1"/>
  <c r="B132" i="1"/>
</calcChain>
</file>

<file path=xl/comments1.xml><?xml version="1.0" encoding="utf-8"?>
<comments xmlns="http://schemas.openxmlformats.org/spreadsheetml/2006/main">
  <authors>
    <author>Michael C. Ehrhardt</author>
  </authors>
  <commentList>
    <comment ref="G36" authorId="0" shapeId="0">
      <text>
        <r>
          <rPr>
            <b/>
            <sz val="8"/>
            <color indexed="81"/>
            <rFont val="Tahoma"/>
            <family val="2"/>
          </rPr>
          <t>This differs slightly from the Powerpoint solution due to rounding in intermediate steps in the Powerpoint solution.</t>
        </r>
      </text>
    </comment>
    <comment ref="C86" authorId="0" shapeId="0">
      <text>
        <r>
          <rPr>
            <b/>
            <sz val="8"/>
            <color indexed="81"/>
            <rFont val="Tahoma"/>
            <family val="2"/>
          </rPr>
          <t>This differs slightly from the Powerpoint solution due to rounding in intermediate steps in the Powerpoint solution.</t>
        </r>
      </text>
    </comment>
    <comment ref="C120" authorId="0" shapeId="0">
      <text>
        <r>
          <rPr>
            <b/>
            <sz val="8"/>
            <color indexed="81"/>
            <rFont val="Tahoma"/>
            <family val="2"/>
          </rPr>
          <t>This differs slightly from the Powerpoint solution due to rounding in intermediate steps in the Powerpoint solution.</t>
        </r>
      </text>
    </comment>
  </commentList>
</comments>
</file>

<file path=xl/comments2.xml><?xml version="1.0" encoding="utf-8"?>
<comments xmlns="http://schemas.openxmlformats.org/spreadsheetml/2006/main">
  <authors>
    <author>Michael C. Ehrhardt</author>
  </authors>
  <commentList>
    <comment ref="G36" authorId="0" shapeId="0">
      <text>
        <r>
          <rPr>
            <b/>
            <sz val="8"/>
            <color indexed="81"/>
            <rFont val="Tahoma"/>
            <family val="2"/>
          </rPr>
          <t>This differs slightly from the Powerpoint solution due to rounding in intermediate steps in the Powerpoint solution.</t>
        </r>
      </text>
    </comment>
    <comment ref="C86" authorId="0" shapeId="0">
      <text>
        <r>
          <rPr>
            <b/>
            <sz val="8"/>
            <color indexed="81"/>
            <rFont val="Tahoma"/>
            <family val="2"/>
          </rPr>
          <t>This differs slightly from the Powerpoint solution due to rounding in intermediate steps in the Powerpoint solution.</t>
        </r>
      </text>
    </comment>
    <comment ref="C120" authorId="0" shapeId="0">
      <text>
        <r>
          <rPr>
            <b/>
            <sz val="8"/>
            <color indexed="81"/>
            <rFont val="Tahoma"/>
            <family val="2"/>
          </rPr>
          <t>This differs slightly from the Powerpoint solution due to rounding in intermediate steps in the Powerpoint solution.</t>
        </r>
      </text>
    </comment>
  </commentList>
</comments>
</file>

<file path=xl/comments3.xml><?xml version="1.0" encoding="utf-8"?>
<comments xmlns="http://schemas.openxmlformats.org/spreadsheetml/2006/main">
  <authors>
    <author>Michael C. Ehrhardt</author>
  </authors>
  <commentList>
    <comment ref="G36" authorId="0" shapeId="0">
      <text>
        <r>
          <rPr>
            <b/>
            <sz val="8"/>
            <color indexed="81"/>
            <rFont val="Tahoma"/>
            <family val="2"/>
          </rPr>
          <t>This differs slightly from the Powerpoint solution due to rounding in intermediate steps in the Powerpoint solution.</t>
        </r>
      </text>
    </comment>
    <comment ref="AF36" authorId="0" shapeId="0">
      <text>
        <r>
          <rPr>
            <b/>
            <sz val="8"/>
            <color indexed="81"/>
            <rFont val="Tahoma"/>
            <family val="2"/>
          </rPr>
          <t>This differs slightly from the Powerpoint solution due to rounding in intermediate steps in the Powerpoint solution.</t>
        </r>
      </text>
    </comment>
    <comment ref="C86" authorId="0" shapeId="0">
      <text>
        <r>
          <rPr>
            <b/>
            <sz val="8"/>
            <color indexed="81"/>
            <rFont val="Tahoma"/>
            <family val="2"/>
          </rPr>
          <t>This differs slightly from the Powerpoint solution due to rounding in intermediate steps in the Powerpoint solution.</t>
        </r>
      </text>
    </comment>
    <comment ref="AB86" authorId="0" shapeId="0">
      <text>
        <r>
          <rPr>
            <b/>
            <sz val="8"/>
            <color indexed="81"/>
            <rFont val="Tahoma"/>
            <family val="2"/>
          </rPr>
          <t>This differs slightly from the Powerpoint solution due to rounding in intermediate steps in the Powerpoint solution.</t>
        </r>
      </text>
    </comment>
    <comment ref="C120" authorId="0" shapeId="0">
      <text>
        <r>
          <rPr>
            <b/>
            <sz val="8"/>
            <color indexed="81"/>
            <rFont val="Tahoma"/>
            <family val="2"/>
          </rPr>
          <t>This differs slightly from the Powerpoint solution due to rounding in intermediate steps in the Powerpoint solution.</t>
        </r>
      </text>
    </comment>
    <comment ref="AB120" authorId="0" shapeId="0">
      <text>
        <r>
          <rPr>
            <b/>
            <sz val="8"/>
            <color indexed="81"/>
            <rFont val="Tahoma"/>
            <family val="2"/>
          </rPr>
          <t>This differs slightly from the Powerpoint solution due to rounding in intermediate steps in the Powerpoint solution.</t>
        </r>
      </text>
    </comment>
  </commentList>
</comments>
</file>

<file path=xl/sharedStrings.xml><?xml version="1.0" encoding="utf-8"?>
<sst xmlns="http://schemas.openxmlformats.org/spreadsheetml/2006/main" count="448" uniqueCount="82">
  <si>
    <t>Analysis of New Expansion Project</t>
  </si>
  <si>
    <t>Part I:  Input Data</t>
  </si>
  <si>
    <t>Economic Life</t>
  </si>
  <si>
    <t>Salvage Value</t>
  </si>
  <si>
    <t>Tax Rate</t>
  </si>
  <si>
    <t>Cost of Capital</t>
  </si>
  <si>
    <t>Annual Depreciation Expense</t>
  </si>
  <si>
    <t>Year</t>
  </si>
  <si>
    <t>%</t>
  </si>
  <si>
    <t>x</t>
  </si>
  <si>
    <t>Basis</t>
  </si>
  <si>
    <t>Depr.</t>
  </si>
  <si>
    <t xml:space="preserve"> =</t>
  </si>
  <si>
    <t>Operating Cash Flows</t>
  </si>
  <si>
    <t>Year 1</t>
  </si>
  <si>
    <t>Year 4</t>
  </si>
  <si>
    <t>Projected Net Cash Flows</t>
  </si>
  <si>
    <t>Years</t>
  </si>
  <si>
    <t>Net Cash Flows</t>
  </si>
  <si>
    <t>NPV</t>
  </si>
  <si>
    <t>IRR</t>
  </si>
  <si>
    <t>TV =</t>
  </si>
  <si>
    <t>Cumulative Cash Flow for Payback</t>
  </si>
  <si>
    <t>Payback =</t>
  </si>
  <si>
    <t>Units Sold</t>
  </si>
  <si>
    <t>Year 2</t>
  </si>
  <si>
    <t>Year 3</t>
  </si>
  <si>
    <t>Sales</t>
  </si>
  <si>
    <t>Find MIRR</t>
  </si>
  <si>
    <t>PV=</t>
  </si>
  <si>
    <t>To find MIRR, we could now find the discount rate that equates the PV and TV.  But it is easier to use the MIRR function.</t>
  </si>
  <si>
    <t>MIRR =</t>
  </si>
  <si>
    <t>Find Payback</t>
  </si>
  <si>
    <t>Sales Price Per Unit</t>
  </si>
  <si>
    <t>Incremental Cost Per Unit</t>
  </si>
  <si>
    <t xml:space="preserve">Depreciable Basis = </t>
  </si>
  <si>
    <t>Equipment cost</t>
  </si>
  <si>
    <t>Annual Operating Cash Flows</t>
  </si>
  <si>
    <t>Year 0</t>
  </si>
  <si>
    <t>After-tax Salvage Value</t>
  </si>
  <si>
    <t>d.  Construct annual incremental operating cash flow statements.</t>
  </si>
  <si>
    <t>Based on facts in case:</t>
  </si>
  <si>
    <t>Hypothetical: If sold after 3 years for</t>
  </si>
  <si>
    <t>Remaining Book Value</t>
  </si>
  <si>
    <t>Cash Flow</t>
  </si>
  <si>
    <t>Key Output:  NPV  =</t>
  </si>
  <si>
    <t>Depreciable Basis = Equipment + Freight + Installation</t>
  </si>
  <si>
    <t>PV of Inflows</t>
  </si>
  <si>
    <t>TV of Inflows</t>
  </si>
  <si>
    <t>g.  Calculate the net cash flows for each year.  Based on these cash flows, what are the project’s NPV, IRR, MIRR, and payback?  Do these indicators suggest the project should be undertaken?</t>
  </si>
  <si>
    <t>Ship + Install charge</t>
  </si>
  <si>
    <t>NWC - Inventory</t>
  </si>
  <si>
    <t>NWC - AP</t>
  </si>
  <si>
    <t>-Costs</t>
  </si>
  <si>
    <t xml:space="preserve">-Depreciation </t>
  </si>
  <si>
    <t>=Operating income before taxes (EBIT)</t>
  </si>
  <si>
    <t>-Tax Expense (40%)</t>
  </si>
  <si>
    <t>=NOPAT (NI)</t>
  </si>
  <si>
    <t xml:space="preserve">+Depreciation Addback </t>
  </si>
  <si>
    <t>=Net operating CF</t>
  </si>
  <si>
    <t xml:space="preserve">  Calculate Terminal (or after-tax salvage) cash flow.</t>
  </si>
  <si>
    <t>Sell @ salvage value</t>
  </si>
  <si>
    <t>- Book value</t>
  </si>
  <si>
    <t>= Taxable gain or loss</t>
  </si>
  <si>
    <t>-/+ Tax effect on G/L</t>
  </si>
  <si>
    <t>Chapter 11 CF Estimatiion - Allied Lemon Co</t>
  </si>
  <si>
    <t>+/-  Return of NWC</t>
  </si>
  <si>
    <t>= Net terminal cash flow</t>
  </si>
  <si>
    <t>Initial Outlay CF @ t=o</t>
  </si>
  <si>
    <t>Purchase Price</t>
  </si>
  <si>
    <t>+ Ship &amp; Install</t>
  </si>
  <si>
    <t>+ Invest In NWC</t>
  </si>
  <si>
    <t>= Initial Outlay</t>
  </si>
  <si>
    <t>Sell off after 3 yrs with $25,000 Salvage Value</t>
  </si>
  <si>
    <t>Terminal (salvage) CF</t>
  </si>
  <si>
    <t>Investment Outlay: Acquisition LT Assets</t>
  </si>
  <si>
    <t>PV ofOutflow vs. FV of Inflows</t>
  </si>
  <si>
    <t>Units=q</t>
  </si>
  <si>
    <t>Unit price =p</t>
  </si>
  <si>
    <t>Unit cost=vc</t>
  </si>
  <si>
    <t>P*Q</t>
  </si>
  <si>
    <t>60% *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</si>
</sst>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6" formatCode="&quot;$&quot;#,##0_);[Red]\(&quot;$&quot;#,##0\)"/>
    <numFmt numFmtId="8" formatCode="&quot;$&quot;#,##0.00_);[Red]\(&quot;$&quot;#,##0.00\)"/>
    <numFmt numFmtId="164" formatCode="&quot;$&quot;#,##0"/>
    <numFmt numFmtId="165" formatCode="0.0%"/>
    <numFmt numFmtId="166" formatCode="0.0"/>
    <numFmt numFmtId="167" formatCode="0.00_);[Red]\(0.00\)"/>
    <numFmt numFmtId="168" formatCode="#,##0;[Red]#,##0"/>
  </numFmts>
  <fonts count="16" x14ac:knownFonts="1">
    <font>
      <sz val="10"/>
      <name val="Arial"/>
    </font>
    <font>
      <sz val="10"/>
      <name val="Arial"/>
      <family val="2"/>
    </font>
    <font>
      <b/>
      <sz val="8"/>
      <color indexed="81"/>
      <name val="Tahoma"/>
      <family val="2"/>
    </font>
    <font>
      <sz val="10"/>
      <color indexed="18"/>
      <name val="Arial"/>
      <family val="2"/>
    </font>
    <font>
      <b/>
      <sz val="10"/>
      <name val="Arial"/>
      <family val="2"/>
    </font>
    <font>
      <b/>
      <sz val="10"/>
      <color indexed="18"/>
      <name val="Arial"/>
      <family val="2"/>
    </font>
    <font>
      <b/>
      <sz val="10"/>
      <color indexed="12"/>
      <name val="Arial"/>
      <family val="2"/>
    </font>
    <font>
      <b/>
      <sz val="12"/>
      <color indexed="16"/>
      <name val="Arial"/>
      <family val="2"/>
    </font>
    <font>
      <b/>
      <sz val="10"/>
      <color indexed="10"/>
      <name val="Arial"/>
      <family val="2"/>
    </font>
    <font>
      <b/>
      <sz val="10"/>
      <color indexed="16"/>
      <name val="Arial"/>
      <family val="2"/>
    </font>
    <font>
      <b/>
      <sz val="10"/>
      <color indexed="8"/>
      <name val="Arial"/>
      <family val="2"/>
    </font>
    <font>
      <b/>
      <sz val="10"/>
      <color indexed="62"/>
      <name val="Arial"/>
      <family val="2"/>
    </font>
    <font>
      <b/>
      <sz val="12"/>
      <color indexed="60"/>
      <name val="Arial"/>
      <family val="2"/>
    </font>
    <font>
      <b/>
      <i/>
      <sz val="10"/>
      <color indexed="60"/>
      <name val="Arial"/>
      <family val="2"/>
    </font>
    <font>
      <b/>
      <u val="doubleAccounting"/>
      <sz val="10"/>
      <name val="Arial"/>
      <family val="2"/>
    </font>
    <font>
      <b/>
      <sz val="9"/>
      <name val="Arial"/>
      <family val="2"/>
    </font>
  </fonts>
  <fills count="5">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rgb="FFFFFF00"/>
        <bgColor indexed="64"/>
      </patternFill>
    </fill>
  </fills>
  <borders count="17">
    <border>
      <left/>
      <right/>
      <top/>
      <bottom/>
      <diagonal/>
    </border>
    <border>
      <left/>
      <right/>
      <top style="thin">
        <color indexed="64"/>
      </top>
      <bottom style="double">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double">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s>
  <cellStyleXfs count="1">
    <xf numFmtId="0" fontId="0" fillId="0" borderId="0"/>
  </cellStyleXfs>
  <cellXfs count="103">
    <xf numFmtId="0" fontId="0" fillId="0" borderId="0" xfId="0"/>
    <xf numFmtId="164" fontId="6" fillId="0" borderId="0" xfId="0" applyNumberFormat="1" applyFont="1"/>
    <xf numFmtId="0" fontId="4" fillId="0" borderId="0" xfId="0" applyFont="1"/>
    <xf numFmtId="0" fontId="1" fillId="0" borderId="0" xfId="0" applyFont="1"/>
    <xf numFmtId="14" fontId="4" fillId="0" borderId="0" xfId="0" applyNumberFormat="1" applyFont="1"/>
    <xf numFmtId="0" fontId="7" fillId="0" borderId="0" xfId="0" quotePrefix="1" applyFont="1" applyAlignment="1">
      <alignment horizontal="left"/>
    </xf>
    <xf numFmtId="0" fontId="7" fillId="0" borderId="0" xfId="0" applyFont="1"/>
    <xf numFmtId="0" fontId="9" fillId="0" borderId="0" xfId="0" applyFont="1"/>
    <xf numFmtId="0" fontId="5" fillId="0" borderId="0" xfId="0" applyFont="1"/>
    <xf numFmtId="37" fontId="10" fillId="3" borderId="11" xfId="0" applyNumberFormat="1" applyFont="1" applyFill="1" applyBorder="1"/>
    <xf numFmtId="5" fontId="5" fillId="3" borderId="7" xfId="0" applyNumberFormat="1" applyFont="1" applyFill="1" applyBorder="1"/>
    <xf numFmtId="5" fontId="5" fillId="3" borderId="12" xfId="0" applyNumberFormat="1" applyFont="1" applyFill="1" applyBorder="1"/>
    <xf numFmtId="0" fontId="6" fillId="0" borderId="0" xfId="0" applyFont="1" applyAlignment="1">
      <alignment horizontal="right"/>
    </xf>
    <xf numFmtId="6" fontId="6" fillId="0" borderId="0" xfId="0" applyNumberFormat="1" applyFont="1" applyAlignment="1">
      <alignment horizontal="right"/>
    </xf>
    <xf numFmtId="0" fontId="5" fillId="0" borderId="0" xfId="0" applyFont="1" applyFill="1" applyBorder="1"/>
    <xf numFmtId="0" fontId="4" fillId="0" borderId="0" xfId="0" applyFont="1" applyFill="1" applyBorder="1"/>
    <xf numFmtId="0" fontId="1" fillId="0" borderId="0" xfId="0" applyFont="1" applyFill="1" applyBorder="1"/>
    <xf numFmtId="9" fontId="6" fillId="0" borderId="0" xfId="0" applyNumberFormat="1" applyFont="1" applyAlignment="1">
      <alignment horizontal="right"/>
    </xf>
    <xf numFmtId="164" fontId="6" fillId="0" borderId="0" xfId="0" applyNumberFormat="1" applyFont="1" applyFill="1" applyBorder="1"/>
    <xf numFmtId="6" fontId="4" fillId="0" borderId="0" xfId="0" applyNumberFormat="1" applyFont="1" applyFill="1" applyBorder="1"/>
    <xf numFmtId="3" fontId="6" fillId="0" borderId="0" xfId="0" applyNumberFormat="1" applyFont="1" applyAlignment="1">
      <alignment horizontal="right"/>
    </xf>
    <xf numFmtId="6" fontId="6" fillId="0" borderId="0" xfId="0" applyNumberFormat="1" applyFont="1" applyFill="1" applyBorder="1" applyAlignment="1">
      <alignment horizontal="right"/>
    </xf>
    <xf numFmtId="0" fontId="4" fillId="0" borderId="3" xfId="0" applyFont="1" applyFill="1" applyBorder="1" applyAlignment="1">
      <alignment horizontal="center"/>
    </xf>
    <xf numFmtId="0" fontId="5" fillId="0" borderId="0" xfId="0" applyFont="1" applyFill="1" applyBorder="1" applyAlignment="1">
      <alignment horizontal="center"/>
    </xf>
    <xf numFmtId="6" fontId="5" fillId="0" borderId="0" xfId="0" applyNumberFormat="1" applyFont="1" applyFill="1" applyBorder="1" applyAlignment="1">
      <alignment horizontal="center"/>
    </xf>
    <xf numFmtId="168" fontId="5" fillId="0" borderId="0" xfId="0" applyNumberFormat="1" applyFont="1" applyFill="1" applyBorder="1" applyAlignment="1">
      <alignment horizontal="center"/>
    </xf>
    <xf numFmtId="38" fontId="5" fillId="0" borderId="0" xfId="0" applyNumberFormat="1" applyFont="1" applyFill="1" applyBorder="1" applyAlignment="1">
      <alignment horizontal="center"/>
    </xf>
    <xf numFmtId="167" fontId="4" fillId="0" borderId="0" xfId="0" applyNumberFormat="1" applyFont="1"/>
    <xf numFmtId="0" fontId="4" fillId="0" borderId="3" xfId="0" applyFont="1" applyBorder="1" applyAlignment="1">
      <alignment horizontal="center"/>
    </xf>
    <xf numFmtId="3" fontId="11" fillId="0" borderId="0" xfId="0" applyNumberFormat="1" applyFont="1" applyAlignment="1">
      <alignment horizontal="right"/>
    </xf>
    <xf numFmtId="8" fontId="11" fillId="0" borderId="0" xfId="0" applyNumberFormat="1" applyFont="1" applyAlignment="1">
      <alignment horizontal="right"/>
    </xf>
    <xf numFmtId="6" fontId="5" fillId="0" borderId="0" xfId="0" applyNumberFormat="1" applyFont="1" applyAlignment="1">
      <alignment horizontal="right"/>
    </xf>
    <xf numFmtId="38" fontId="5" fillId="0" borderId="0" xfId="0" applyNumberFormat="1" applyFont="1" applyAlignment="1">
      <alignment horizontal="right"/>
    </xf>
    <xf numFmtId="38" fontId="5" fillId="0" borderId="5" xfId="0" applyNumberFormat="1" applyFont="1" applyBorder="1" applyAlignment="1">
      <alignment horizontal="right"/>
    </xf>
    <xf numFmtId="6" fontId="5" fillId="0" borderId="1" xfId="0" applyNumberFormat="1" applyFont="1" applyBorder="1" applyAlignment="1">
      <alignment horizontal="right"/>
    </xf>
    <xf numFmtId="0" fontId="4" fillId="0" borderId="3" xfId="0" applyFont="1" applyBorder="1"/>
    <xf numFmtId="6" fontId="4" fillId="0" borderId="0" xfId="0" applyNumberFormat="1" applyFont="1"/>
    <xf numFmtId="38" fontId="4" fillId="0" borderId="0" xfId="0" applyNumberFormat="1" applyFont="1"/>
    <xf numFmtId="0" fontId="4" fillId="0" borderId="0" xfId="0" applyFont="1" applyAlignment="1">
      <alignment horizontal="center" wrapText="1"/>
    </xf>
    <xf numFmtId="6" fontId="6" fillId="0" borderId="5" xfId="0" applyNumberFormat="1" applyFont="1" applyBorder="1"/>
    <xf numFmtId="6" fontId="5" fillId="0" borderId="0" xfId="0" applyNumberFormat="1" applyFont="1"/>
    <xf numFmtId="38" fontId="5" fillId="0" borderId="5" xfId="0" applyNumberFormat="1" applyFont="1" applyBorder="1"/>
    <xf numFmtId="38" fontId="5" fillId="0" borderId="0" xfId="0" applyNumberFormat="1" applyFont="1"/>
    <xf numFmtId="6" fontId="5" fillId="0" borderId="1" xfId="0" applyNumberFormat="1" applyFont="1" applyBorder="1"/>
    <xf numFmtId="37" fontId="4" fillId="0" borderId="0" xfId="0" applyNumberFormat="1" applyFont="1" applyFill="1" applyBorder="1" applyAlignment="1">
      <alignment horizontal="center"/>
    </xf>
    <xf numFmtId="0" fontId="12" fillId="0" borderId="0" xfId="0" applyFont="1"/>
    <xf numFmtId="37" fontId="10" fillId="0" borderId="0" xfId="0" applyNumberFormat="1" applyFont="1" applyBorder="1" applyAlignment="1">
      <alignment horizontal="center"/>
    </xf>
    <xf numFmtId="0" fontId="10" fillId="0" borderId="0" xfId="0" applyNumberFormat="1" applyFont="1" applyBorder="1" applyAlignment="1">
      <alignment horizontal="center"/>
    </xf>
    <xf numFmtId="0" fontId="13" fillId="0" borderId="0" xfId="0" applyFont="1" applyAlignment="1">
      <alignment horizontal="center"/>
    </xf>
    <xf numFmtId="0" fontId="13" fillId="0" borderId="0" xfId="0" applyFont="1" applyAlignment="1">
      <alignment horizontal="left"/>
    </xf>
    <xf numFmtId="38" fontId="1" fillId="0" borderId="0" xfId="0" applyNumberFormat="1" applyFont="1"/>
    <xf numFmtId="38" fontId="13" fillId="0" borderId="0" xfId="0" applyNumberFormat="1" applyFont="1" applyAlignment="1">
      <alignment horizontal="left"/>
    </xf>
    <xf numFmtId="38" fontId="4" fillId="0" borderId="3" xfId="0" applyNumberFormat="1" applyFont="1" applyBorder="1"/>
    <xf numFmtId="6" fontId="4" fillId="0" borderId="13" xfId="0" applyNumberFormat="1" applyFont="1" applyBorder="1"/>
    <xf numFmtId="0" fontId="4" fillId="0" borderId="0" xfId="0" applyFont="1" applyBorder="1"/>
    <xf numFmtId="0" fontId="4" fillId="2" borderId="16" xfId="0" applyFont="1" applyFill="1" applyBorder="1"/>
    <xf numFmtId="0" fontId="8" fillId="2" borderId="2" xfId="0" applyFont="1" applyFill="1" applyBorder="1"/>
    <xf numFmtId="6" fontId="6" fillId="2" borderId="10" xfId="0" applyNumberFormat="1" applyFont="1" applyFill="1" applyBorder="1"/>
    <xf numFmtId="0" fontId="4" fillId="2" borderId="14" xfId="0" applyFont="1" applyFill="1" applyBorder="1"/>
    <xf numFmtId="0" fontId="8" fillId="2" borderId="3" xfId="0" applyFont="1" applyFill="1" applyBorder="1"/>
    <xf numFmtId="165" fontId="6" fillId="2" borderId="9" xfId="0" applyNumberFormat="1" applyFont="1" applyFill="1" applyBorder="1"/>
    <xf numFmtId="0" fontId="4" fillId="0" borderId="0" xfId="0" applyFont="1" applyAlignment="1">
      <alignment horizontal="center"/>
    </xf>
    <xf numFmtId="1" fontId="10" fillId="0" borderId="5" xfId="0" applyNumberFormat="1" applyFont="1" applyFill="1" applyBorder="1" applyAlignment="1">
      <alignment horizontal="center"/>
    </xf>
    <xf numFmtId="38" fontId="4" fillId="0" borderId="5" xfId="0" applyNumberFormat="1" applyFont="1" applyBorder="1"/>
    <xf numFmtId="3" fontId="14" fillId="0" borderId="0" xfId="0" applyNumberFormat="1" applyFont="1" applyBorder="1"/>
    <xf numFmtId="0" fontId="4" fillId="0" borderId="0" xfId="0" applyFont="1" applyAlignment="1">
      <alignment horizontal="right"/>
    </xf>
    <xf numFmtId="0" fontId="4" fillId="0" borderId="0" xfId="0" applyFont="1" applyBorder="1" applyAlignment="1">
      <alignment wrapText="1"/>
    </xf>
    <xf numFmtId="0" fontId="4" fillId="2" borderId="15" xfId="0" applyFont="1" applyFill="1" applyBorder="1"/>
    <xf numFmtId="165" fontId="8" fillId="2" borderId="4" xfId="0" applyNumberFormat="1" applyFont="1" applyFill="1" applyBorder="1"/>
    <xf numFmtId="6" fontId="4" fillId="0" borderId="0" xfId="0" applyNumberFormat="1" applyFont="1" applyFill="1" applyAlignment="1">
      <alignment horizontal="center"/>
    </xf>
    <xf numFmtId="37" fontId="4" fillId="0" borderId="0" xfId="0" applyNumberFormat="1" applyFont="1" applyFill="1" applyAlignment="1">
      <alignment horizontal="left"/>
    </xf>
    <xf numFmtId="37" fontId="1" fillId="0" borderId="0" xfId="0" applyNumberFormat="1" applyFont="1" applyFill="1"/>
    <xf numFmtId="166" fontId="8" fillId="2" borderId="6" xfId="0" applyNumberFormat="1" applyFont="1" applyFill="1" applyBorder="1"/>
    <xf numFmtId="8" fontId="4" fillId="0" borderId="0" xfId="0" applyNumberFormat="1" applyFont="1"/>
    <xf numFmtId="164" fontId="6" fillId="0" borderId="0" xfId="0" applyNumberFormat="1" applyFont="1" applyAlignment="1">
      <alignment horizontal="right"/>
    </xf>
    <xf numFmtId="10" fontId="6" fillId="0" borderId="0" xfId="0" applyNumberFormat="1" applyFont="1" applyAlignment="1">
      <alignment horizontal="right"/>
    </xf>
    <xf numFmtId="8" fontId="6" fillId="0" borderId="0" xfId="0" applyNumberFormat="1" applyFont="1" applyAlignment="1">
      <alignment horizontal="right"/>
    </xf>
    <xf numFmtId="0" fontId="15" fillId="0" borderId="3" xfId="0" applyFont="1" applyBorder="1" applyAlignment="1">
      <alignment horizontal="center" wrapText="1"/>
    </xf>
    <xf numFmtId="0" fontId="4" fillId="0" borderId="0" xfId="0" quotePrefix="1" applyFont="1"/>
    <xf numFmtId="8" fontId="6" fillId="2" borderId="10" xfId="0" applyNumberFormat="1" applyFont="1" applyFill="1" applyBorder="1"/>
    <xf numFmtId="3" fontId="4" fillId="0" borderId="0" xfId="0" applyNumberFormat="1" applyFont="1"/>
    <xf numFmtId="8" fontId="0" fillId="0" borderId="0" xfId="0" applyNumberFormat="1"/>
    <xf numFmtId="10" fontId="4" fillId="0" borderId="0" xfId="0" applyNumberFormat="1" applyFont="1"/>
    <xf numFmtId="9" fontId="1" fillId="0" borderId="0" xfId="0" applyNumberFormat="1" applyFont="1"/>
    <xf numFmtId="10" fontId="8" fillId="2" borderId="4" xfId="0" applyNumberFormat="1" applyFont="1" applyFill="1" applyBorder="1"/>
    <xf numFmtId="10" fontId="11" fillId="4" borderId="0" xfId="0" applyNumberFormat="1" applyFont="1" applyFill="1" applyAlignment="1">
      <alignment horizontal="right"/>
    </xf>
    <xf numFmtId="8" fontId="11" fillId="4" borderId="0" xfId="0" applyNumberFormat="1" applyFont="1" applyFill="1" applyAlignment="1">
      <alignment horizontal="right"/>
    </xf>
    <xf numFmtId="6" fontId="6" fillId="4" borderId="0" xfId="0" applyNumberFormat="1" applyFont="1" applyFill="1" applyAlignment="1">
      <alignment horizontal="right"/>
    </xf>
    <xf numFmtId="6" fontId="5" fillId="4" borderId="0" xfId="0" applyNumberFormat="1" applyFont="1" applyFill="1"/>
    <xf numFmtId="38" fontId="5" fillId="4" borderId="5" xfId="0" applyNumberFormat="1" applyFont="1" applyFill="1" applyBorder="1"/>
    <xf numFmtId="164" fontId="6" fillId="4" borderId="0" xfId="0" applyNumberFormat="1" applyFont="1" applyFill="1" applyAlignment="1">
      <alignment horizontal="right"/>
    </xf>
    <xf numFmtId="10" fontId="6" fillId="4" borderId="0" xfId="0" applyNumberFormat="1" applyFont="1" applyFill="1" applyAlignment="1">
      <alignment horizontal="right"/>
    </xf>
    <xf numFmtId="8" fontId="6" fillId="4" borderId="0" xfId="0" applyNumberFormat="1" applyFont="1" applyFill="1" applyAlignment="1">
      <alignment horizontal="right"/>
    </xf>
    <xf numFmtId="3" fontId="6" fillId="4" borderId="0" xfId="0" applyNumberFormat="1" applyFont="1" applyFill="1" applyAlignment="1">
      <alignment horizontal="right"/>
    </xf>
    <xf numFmtId="9" fontId="6" fillId="4" borderId="0" xfId="0" applyNumberFormat="1" applyFont="1" applyFill="1" applyAlignment="1">
      <alignment horizontal="right"/>
    </xf>
    <xf numFmtId="0" fontId="6" fillId="4" borderId="0" xfId="0" applyFont="1" applyFill="1" applyAlignment="1">
      <alignment horizontal="right"/>
    </xf>
    <xf numFmtId="164" fontId="6" fillId="4" borderId="0" xfId="0" applyNumberFormat="1" applyFont="1" applyFill="1"/>
    <xf numFmtId="37" fontId="10" fillId="0" borderId="3" xfId="0" applyNumberFormat="1" applyFont="1" applyBorder="1" applyAlignment="1">
      <alignment horizontal="center"/>
    </xf>
    <xf numFmtId="0" fontId="4" fillId="0" borderId="8" xfId="0" applyFont="1" applyBorder="1" applyAlignment="1">
      <alignment horizontal="left" wrapText="1"/>
    </xf>
    <xf numFmtId="0" fontId="4" fillId="0" borderId="0" xfId="0" applyFont="1" applyBorder="1" applyAlignment="1">
      <alignment horizontal="left" wrapText="1"/>
    </xf>
    <xf numFmtId="0" fontId="5" fillId="0" borderId="0" xfId="0" applyFont="1" applyAlignment="1">
      <alignment wrapText="1"/>
    </xf>
    <xf numFmtId="0" fontId="4" fillId="0" borderId="3" xfId="0" applyFont="1" applyBorder="1" applyAlignment="1">
      <alignment horizontal="center"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285750</xdr:colOff>
      <xdr:row>91</xdr:row>
      <xdr:rowOff>9525</xdr:rowOff>
    </xdr:from>
    <xdr:to>
      <xdr:col>5</xdr:col>
      <xdr:colOff>285750</xdr:colOff>
      <xdr:row>93</xdr:row>
      <xdr:rowOff>85725</xdr:rowOff>
    </xdr:to>
    <xdr:sp macro="" textlink="">
      <xdr:nvSpPr>
        <xdr:cNvPr id="2" name="Line 4"/>
        <xdr:cNvSpPr>
          <a:spLocks noChangeShapeType="1"/>
        </xdr:cNvSpPr>
      </xdr:nvSpPr>
      <xdr:spPr bwMode="auto">
        <a:xfrm>
          <a:off x="4127500" y="16348075"/>
          <a:ext cx="0" cy="406400"/>
        </a:xfrm>
        <a:prstGeom prst="line">
          <a:avLst/>
        </a:prstGeom>
        <a:noFill/>
        <a:ln w="9525">
          <a:solidFill>
            <a:srgbClr val="000000"/>
          </a:solidFill>
          <a:round/>
          <a:headEnd/>
          <a:tailEnd/>
        </a:ln>
      </xdr:spPr>
    </xdr:sp>
    <xdr:clientData/>
  </xdr:twoCellAnchor>
  <xdr:twoCellAnchor>
    <xdr:from>
      <xdr:col>5</xdr:col>
      <xdr:colOff>285750</xdr:colOff>
      <xdr:row>93</xdr:row>
      <xdr:rowOff>76200</xdr:rowOff>
    </xdr:from>
    <xdr:to>
      <xdr:col>7</xdr:col>
      <xdr:colOff>590550</xdr:colOff>
      <xdr:row>93</xdr:row>
      <xdr:rowOff>76200</xdr:rowOff>
    </xdr:to>
    <xdr:sp macro="" textlink="">
      <xdr:nvSpPr>
        <xdr:cNvPr id="3" name="Line 5"/>
        <xdr:cNvSpPr>
          <a:spLocks noChangeShapeType="1"/>
        </xdr:cNvSpPr>
      </xdr:nvSpPr>
      <xdr:spPr bwMode="auto">
        <a:xfrm>
          <a:off x="4127500" y="16744950"/>
          <a:ext cx="1797050" cy="0"/>
        </a:xfrm>
        <a:prstGeom prst="line">
          <a:avLst/>
        </a:prstGeom>
        <a:noFill/>
        <a:ln w="9525">
          <a:solidFill>
            <a:srgbClr val="000000"/>
          </a:solidFill>
          <a:round/>
          <a:headEnd/>
          <a:tailEnd type="triangle" w="med" len="med"/>
        </a:ln>
      </xdr:spPr>
    </xdr:sp>
    <xdr:clientData/>
  </xdr:twoCellAnchor>
  <xdr:twoCellAnchor>
    <xdr:from>
      <xdr:col>6</xdr:col>
      <xdr:colOff>304800</xdr:colOff>
      <xdr:row>91</xdr:row>
      <xdr:rowOff>9525</xdr:rowOff>
    </xdr:from>
    <xdr:to>
      <xdr:col>6</xdr:col>
      <xdr:colOff>304800</xdr:colOff>
      <xdr:row>92</xdr:row>
      <xdr:rowOff>85725</xdr:rowOff>
    </xdr:to>
    <xdr:sp macro="" textlink="">
      <xdr:nvSpPr>
        <xdr:cNvPr id="4" name="Line 6"/>
        <xdr:cNvSpPr>
          <a:spLocks noChangeShapeType="1"/>
        </xdr:cNvSpPr>
      </xdr:nvSpPr>
      <xdr:spPr bwMode="auto">
        <a:xfrm>
          <a:off x="4927600" y="16348075"/>
          <a:ext cx="0" cy="241300"/>
        </a:xfrm>
        <a:prstGeom prst="line">
          <a:avLst/>
        </a:prstGeom>
        <a:noFill/>
        <a:ln w="9525">
          <a:solidFill>
            <a:srgbClr val="000000"/>
          </a:solidFill>
          <a:round/>
          <a:headEnd/>
          <a:tailEnd/>
        </a:ln>
      </xdr:spPr>
    </xdr:sp>
    <xdr:clientData/>
  </xdr:twoCellAnchor>
  <xdr:twoCellAnchor>
    <xdr:from>
      <xdr:col>6</xdr:col>
      <xdr:colOff>295275</xdr:colOff>
      <xdr:row>92</xdr:row>
      <xdr:rowOff>85725</xdr:rowOff>
    </xdr:from>
    <xdr:to>
      <xdr:col>7</xdr:col>
      <xdr:colOff>590550</xdr:colOff>
      <xdr:row>92</xdr:row>
      <xdr:rowOff>85725</xdr:rowOff>
    </xdr:to>
    <xdr:sp macro="" textlink="">
      <xdr:nvSpPr>
        <xdr:cNvPr id="5" name="Line 7"/>
        <xdr:cNvSpPr>
          <a:spLocks noChangeShapeType="1"/>
        </xdr:cNvSpPr>
      </xdr:nvSpPr>
      <xdr:spPr bwMode="auto">
        <a:xfrm>
          <a:off x="4918075" y="16589375"/>
          <a:ext cx="1006475" cy="0"/>
        </a:xfrm>
        <a:prstGeom prst="line">
          <a:avLst/>
        </a:prstGeom>
        <a:noFill/>
        <a:ln w="9525">
          <a:solidFill>
            <a:srgbClr val="000000"/>
          </a:solidFill>
          <a:round/>
          <a:headEnd/>
          <a:tailEnd type="triangle" w="med" len="med"/>
        </a:ln>
      </xdr:spPr>
    </xdr:sp>
    <xdr:clientData/>
  </xdr:twoCellAnchor>
  <xdr:twoCellAnchor>
    <xdr:from>
      <xdr:col>7</xdr:col>
      <xdr:colOff>323850</xdr:colOff>
      <xdr:row>91</xdr:row>
      <xdr:rowOff>0</xdr:rowOff>
    </xdr:from>
    <xdr:to>
      <xdr:col>7</xdr:col>
      <xdr:colOff>323850</xdr:colOff>
      <xdr:row>91</xdr:row>
      <xdr:rowOff>114300</xdr:rowOff>
    </xdr:to>
    <xdr:sp macro="" textlink="">
      <xdr:nvSpPr>
        <xdr:cNvPr id="6" name="Line 10"/>
        <xdr:cNvSpPr>
          <a:spLocks noChangeShapeType="1"/>
        </xdr:cNvSpPr>
      </xdr:nvSpPr>
      <xdr:spPr bwMode="auto">
        <a:xfrm>
          <a:off x="5657850" y="16338550"/>
          <a:ext cx="0" cy="114300"/>
        </a:xfrm>
        <a:prstGeom prst="line">
          <a:avLst/>
        </a:prstGeom>
        <a:noFill/>
        <a:ln w="9525">
          <a:solidFill>
            <a:srgbClr val="000000"/>
          </a:solidFill>
          <a:round/>
          <a:headEnd/>
          <a:tailEnd/>
        </a:ln>
      </xdr:spPr>
    </xdr:sp>
    <xdr:clientData/>
  </xdr:twoCellAnchor>
  <xdr:twoCellAnchor>
    <xdr:from>
      <xdr:col>7</xdr:col>
      <xdr:colOff>323850</xdr:colOff>
      <xdr:row>91</xdr:row>
      <xdr:rowOff>114300</xdr:rowOff>
    </xdr:from>
    <xdr:to>
      <xdr:col>7</xdr:col>
      <xdr:colOff>581025</xdr:colOff>
      <xdr:row>91</xdr:row>
      <xdr:rowOff>114300</xdr:rowOff>
    </xdr:to>
    <xdr:sp macro="" textlink="">
      <xdr:nvSpPr>
        <xdr:cNvPr id="7" name="Line 11"/>
        <xdr:cNvSpPr>
          <a:spLocks noChangeShapeType="1"/>
        </xdr:cNvSpPr>
      </xdr:nvSpPr>
      <xdr:spPr bwMode="auto">
        <a:xfrm>
          <a:off x="5657850" y="16452850"/>
          <a:ext cx="257175" cy="0"/>
        </a:xfrm>
        <a:prstGeom prst="line">
          <a:avLst/>
        </a:prstGeom>
        <a:noFill/>
        <a:ln w="9525">
          <a:solidFill>
            <a:srgbClr val="000000"/>
          </a:solidFill>
          <a:round/>
          <a:headEnd/>
          <a:tailEnd type="triangle" w="med" len="med"/>
        </a:ln>
      </xdr:spPr>
    </xdr:sp>
    <xdr:clientData/>
  </xdr:twoCellAnchor>
  <xdr:twoCellAnchor editAs="oneCell">
    <xdr:from>
      <xdr:col>4</xdr:col>
      <xdr:colOff>76200</xdr:colOff>
      <xdr:row>106</xdr:row>
      <xdr:rowOff>0</xdr:rowOff>
    </xdr:from>
    <xdr:to>
      <xdr:col>4</xdr:col>
      <xdr:colOff>152400</xdr:colOff>
      <xdr:row>107</xdr:row>
      <xdr:rowOff>38100</xdr:rowOff>
    </xdr:to>
    <xdr:sp macro="" textlink="">
      <xdr:nvSpPr>
        <xdr:cNvPr id="8" name="Text Box 177"/>
        <xdr:cNvSpPr txBox="1">
          <a:spLocks noChangeArrowheads="1"/>
        </xdr:cNvSpPr>
      </xdr:nvSpPr>
      <xdr:spPr bwMode="auto">
        <a:xfrm>
          <a:off x="3219450" y="19050000"/>
          <a:ext cx="76200" cy="196850"/>
        </a:xfrm>
        <a:prstGeom prst="rect">
          <a:avLst/>
        </a:prstGeom>
        <a:noFill/>
        <a:ln w="9525">
          <a:noFill/>
          <a:miter lim="800000"/>
          <a:headEnd/>
          <a:tailEnd/>
        </a:ln>
      </xdr:spPr>
    </xdr:sp>
    <xdr:clientData/>
  </xdr:twoCellAnchor>
  <xdr:twoCellAnchor>
    <xdr:from>
      <xdr:col>5</xdr:col>
      <xdr:colOff>285750</xdr:colOff>
      <xdr:row>125</xdr:row>
      <xdr:rowOff>9525</xdr:rowOff>
    </xdr:from>
    <xdr:to>
      <xdr:col>5</xdr:col>
      <xdr:colOff>304800</xdr:colOff>
      <xdr:row>126</xdr:row>
      <xdr:rowOff>9525</xdr:rowOff>
    </xdr:to>
    <xdr:sp macro="" textlink="">
      <xdr:nvSpPr>
        <xdr:cNvPr id="9" name="Line 4"/>
        <xdr:cNvSpPr>
          <a:spLocks noChangeShapeType="1"/>
        </xdr:cNvSpPr>
      </xdr:nvSpPr>
      <xdr:spPr bwMode="auto">
        <a:xfrm>
          <a:off x="4127500" y="22291675"/>
          <a:ext cx="19050" cy="165100"/>
        </a:xfrm>
        <a:prstGeom prst="line">
          <a:avLst/>
        </a:prstGeom>
        <a:noFill/>
        <a:ln w="9525">
          <a:solidFill>
            <a:srgbClr val="000000"/>
          </a:solidFill>
          <a:round/>
          <a:headEnd/>
          <a:tailEnd/>
        </a:ln>
      </xdr:spPr>
    </xdr:sp>
    <xdr:clientData/>
  </xdr:twoCellAnchor>
  <xdr:twoCellAnchor>
    <xdr:from>
      <xdr:col>9</xdr:col>
      <xdr:colOff>123825</xdr:colOff>
      <xdr:row>141</xdr:row>
      <xdr:rowOff>28575</xdr:rowOff>
    </xdr:from>
    <xdr:to>
      <xdr:col>9</xdr:col>
      <xdr:colOff>123825</xdr:colOff>
      <xdr:row>142</xdr:row>
      <xdr:rowOff>104775</xdr:rowOff>
    </xdr:to>
    <xdr:sp macro="" textlink="">
      <xdr:nvSpPr>
        <xdr:cNvPr id="10" name="Line 6"/>
        <xdr:cNvSpPr>
          <a:spLocks noChangeShapeType="1"/>
        </xdr:cNvSpPr>
      </xdr:nvSpPr>
      <xdr:spPr bwMode="auto">
        <a:xfrm>
          <a:off x="6950075" y="25022175"/>
          <a:ext cx="0" cy="234950"/>
        </a:xfrm>
        <a:prstGeom prst="line">
          <a:avLst/>
        </a:prstGeom>
        <a:noFill/>
        <a:ln w="9525">
          <a:solidFill>
            <a:srgbClr val="000000"/>
          </a:solidFill>
          <a:round/>
          <a:headEnd/>
          <a:tailEnd/>
        </a:ln>
      </xdr:spPr>
    </xdr:sp>
    <xdr:clientData/>
  </xdr:twoCellAnchor>
  <xdr:twoCellAnchor>
    <xdr:from>
      <xdr:col>5</xdr:col>
      <xdr:colOff>285750</xdr:colOff>
      <xdr:row>126</xdr:row>
      <xdr:rowOff>66675</xdr:rowOff>
    </xdr:from>
    <xdr:to>
      <xdr:col>6</xdr:col>
      <xdr:colOff>514350</xdr:colOff>
      <xdr:row>126</xdr:row>
      <xdr:rowOff>66675</xdr:rowOff>
    </xdr:to>
    <xdr:sp macro="" textlink="">
      <xdr:nvSpPr>
        <xdr:cNvPr id="11" name="Line 7"/>
        <xdr:cNvSpPr>
          <a:spLocks noChangeShapeType="1"/>
        </xdr:cNvSpPr>
      </xdr:nvSpPr>
      <xdr:spPr bwMode="auto">
        <a:xfrm>
          <a:off x="4127500" y="22513925"/>
          <a:ext cx="1009650" cy="0"/>
        </a:xfrm>
        <a:prstGeom prst="line">
          <a:avLst/>
        </a:prstGeom>
        <a:noFill/>
        <a:ln w="9525">
          <a:solidFill>
            <a:srgbClr val="000000"/>
          </a:solidFill>
          <a:round/>
          <a:headEnd/>
          <a:tailEnd type="triangle" w="med" len="med"/>
        </a:ln>
      </xdr:spPr>
    </xdr:sp>
    <xdr:clientData/>
  </xdr:twoCellAnchor>
  <xdr:twoCellAnchor>
    <xdr:from>
      <xdr:col>6</xdr:col>
      <xdr:colOff>276225</xdr:colOff>
      <xdr:row>125</xdr:row>
      <xdr:rowOff>19050</xdr:rowOff>
    </xdr:from>
    <xdr:to>
      <xdr:col>6</xdr:col>
      <xdr:colOff>276225</xdr:colOff>
      <xdr:row>125</xdr:row>
      <xdr:rowOff>133350</xdr:rowOff>
    </xdr:to>
    <xdr:sp macro="" textlink="">
      <xdr:nvSpPr>
        <xdr:cNvPr id="12" name="Line 10"/>
        <xdr:cNvSpPr>
          <a:spLocks noChangeShapeType="1"/>
        </xdr:cNvSpPr>
      </xdr:nvSpPr>
      <xdr:spPr bwMode="auto">
        <a:xfrm>
          <a:off x="4899025" y="22301200"/>
          <a:ext cx="0" cy="114300"/>
        </a:xfrm>
        <a:prstGeom prst="line">
          <a:avLst/>
        </a:prstGeom>
        <a:noFill/>
        <a:ln w="9525">
          <a:solidFill>
            <a:srgbClr val="000000"/>
          </a:solidFill>
          <a:round/>
          <a:headEnd/>
          <a:tailEnd/>
        </a:ln>
      </xdr:spPr>
    </xdr:sp>
    <xdr:clientData/>
  </xdr:twoCellAnchor>
  <xdr:twoCellAnchor>
    <xdr:from>
      <xdr:col>6</xdr:col>
      <xdr:colOff>276225</xdr:colOff>
      <xdr:row>125</xdr:row>
      <xdr:rowOff>142875</xdr:rowOff>
    </xdr:from>
    <xdr:to>
      <xdr:col>6</xdr:col>
      <xdr:colOff>533400</xdr:colOff>
      <xdr:row>125</xdr:row>
      <xdr:rowOff>142875</xdr:rowOff>
    </xdr:to>
    <xdr:sp macro="" textlink="">
      <xdr:nvSpPr>
        <xdr:cNvPr id="13" name="Line 11"/>
        <xdr:cNvSpPr>
          <a:spLocks noChangeShapeType="1"/>
        </xdr:cNvSpPr>
      </xdr:nvSpPr>
      <xdr:spPr bwMode="auto">
        <a:xfrm>
          <a:off x="4899025" y="22425025"/>
          <a:ext cx="257175" cy="0"/>
        </a:xfrm>
        <a:prstGeom prst="line">
          <a:avLst/>
        </a:prstGeom>
        <a:noFill/>
        <a:ln w="9525">
          <a:solidFill>
            <a:srgbClr val="000000"/>
          </a:solidFill>
          <a:round/>
          <a:headEnd/>
          <a:tailEnd type="triangle" w="med" len="med"/>
        </a:ln>
      </xdr:spPr>
    </xdr:sp>
    <xdr:clientData/>
  </xdr:twoCellAnchor>
  <xdr:twoCellAnchor>
    <xdr:from>
      <xdr:col>9</xdr:col>
      <xdr:colOff>104775</xdr:colOff>
      <xdr:row>141</xdr:row>
      <xdr:rowOff>114300</xdr:rowOff>
    </xdr:from>
    <xdr:to>
      <xdr:col>10</xdr:col>
      <xdr:colOff>190500</xdr:colOff>
      <xdr:row>141</xdr:row>
      <xdr:rowOff>114300</xdr:rowOff>
    </xdr:to>
    <xdr:sp macro="" textlink="">
      <xdr:nvSpPr>
        <xdr:cNvPr id="14" name="Line 11"/>
        <xdr:cNvSpPr>
          <a:spLocks noChangeShapeType="1"/>
        </xdr:cNvSpPr>
      </xdr:nvSpPr>
      <xdr:spPr bwMode="auto">
        <a:xfrm>
          <a:off x="6931025" y="25107900"/>
          <a:ext cx="263525" cy="0"/>
        </a:xfrm>
        <a:prstGeom prst="line">
          <a:avLst/>
        </a:prstGeom>
        <a:noFill/>
        <a:ln w="9525">
          <a:solidFill>
            <a:srgbClr val="000000"/>
          </a:solidFill>
          <a:round/>
          <a:headEnd/>
          <a:tailEnd type="triangle"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285750</xdr:colOff>
      <xdr:row>91</xdr:row>
      <xdr:rowOff>9525</xdr:rowOff>
    </xdr:from>
    <xdr:to>
      <xdr:col>5</xdr:col>
      <xdr:colOff>285750</xdr:colOff>
      <xdr:row>93</xdr:row>
      <xdr:rowOff>85725</xdr:rowOff>
    </xdr:to>
    <xdr:sp macro="" textlink="">
      <xdr:nvSpPr>
        <xdr:cNvPr id="33799" name="Line 4"/>
        <xdr:cNvSpPr>
          <a:spLocks noChangeShapeType="1"/>
        </xdr:cNvSpPr>
      </xdr:nvSpPr>
      <xdr:spPr bwMode="auto">
        <a:xfrm>
          <a:off x="3695700" y="20745450"/>
          <a:ext cx="0" cy="400050"/>
        </a:xfrm>
        <a:prstGeom prst="line">
          <a:avLst/>
        </a:prstGeom>
        <a:noFill/>
        <a:ln w="9525">
          <a:solidFill>
            <a:srgbClr val="000000"/>
          </a:solidFill>
          <a:round/>
          <a:headEnd/>
          <a:tailEnd/>
        </a:ln>
      </xdr:spPr>
    </xdr:sp>
    <xdr:clientData/>
  </xdr:twoCellAnchor>
  <xdr:twoCellAnchor>
    <xdr:from>
      <xdr:col>5</xdr:col>
      <xdr:colOff>285750</xdr:colOff>
      <xdr:row>93</xdr:row>
      <xdr:rowOff>76200</xdr:rowOff>
    </xdr:from>
    <xdr:to>
      <xdr:col>7</xdr:col>
      <xdr:colOff>590550</xdr:colOff>
      <xdr:row>93</xdr:row>
      <xdr:rowOff>76200</xdr:rowOff>
    </xdr:to>
    <xdr:sp macro="" textlink="">
      <xdr:nvSpPr>
        <xdr:cNvPr id="33800" name="Line 5"/>
        <xdr:cNvSpPr>
          <a:spLocks noChangeShapeType="1"/>
        </xdr:cNvSpPr>
      </xdr:nvSpPr>
      <xdr:spPr bwMode="auto">
        <a:xfrm>
          <a:off x="3695700" y="21135975"/>
          <a:ext cx="1724025" cy="0"/>
        </a:xfrm>
        <a:prstGeom prst="line">
          <a:avLst/>
        </a:prstGeom>
        <a:noFill/>
        <a:ln w="9525">
          <a:solidFill>
            <a:srgbClr val="000000"/>
          </a:solidFill>
          <a:round/>
          <a:headEnd/>
          <a:tailEnd type="triangle" w="med" len="med"/>
        </a:ln>
      </xdr:spPr>
    </xdr:sp>
    <xdr:clientData/>
  </xdr:twoCellAnchor>
  <xdr:twoCellAnchor>
    <xdr:from>
      <xdr:col>6</xdr:col>
      <xdr:colOff>304800</xdr:colOff>
      <xdr:row>91</xdr:row>
      <xdr:rowOff>9525</xdr:rowOff>
    </xdr:from>
    <xdr:to>
      <xdr:col>6</xdr:col>
      <xdr:colOff>304800</xdr:colOff>
      <xdr:row>92</xdr:row>
      <xdr:rowOff>85725</xdr:rowOff>
    </xdr:to>
    <xdr:sp macro="" textlink="">
      <xdr:nvSpPr>
        <xdr:cNvPr id="33801" name="Line 6"/>
        <xdr:cNvSpPr>
          <a:spLocks noChangeShapeType="1"/>
        </xdr:cNvSpPr>
      </xdr:nvSpPr>
      <xdr:spPr bwMode="auto">
        <a:xfrm>
          <a:off x="4457700" y="20745450"/>
          <a:ext cx="0" cy="238125"/>
        </a:xfrm>
        <a:prstGeom prst="line">
          <a:avLst/>
        </a:prstGeom>
        <a:noFill/>
        <a:ln w="9525">
          <a:solidFill>
            <a:srgbClr val="000000"/>
          </a:solidFill>
          <a:round/>
          <a:headEnd/>
          <a:tailEnd/>
        </a:ln>
      </xdr:spPr>
    </xdr:sp>
    <xdr:clientData/>
  </xdr:twoCellAnchor>
  <xdr:twoCellAnchor>
    <xdr:from>
      <xdr:col>6</xdr:col>
      <xdr:colOff>295275</xdr:colOff>
      <xdr:row>92</xdr:row>
      <xdr:rowOff>85725</xdr:rowOff>
    </xdr:from>
    <xdr:to>
      <xdr:col>7</xdr:col>
      <xdr:colOff>590550</xdr:colOff>
      <xdr:row>92</xdr:row>
      <xdr:rowOff>85725</xdr:rowOff>
    </xdr:to>
    <xdr:sp macro="" textlink="">
      <xdr:nvSpPr>
        <xdr:cNvPr id="33802" name="Line 7"/>
        <xdr:cNvSpPr>
          <a:spLocks noChangeShapeType="1"/>
        </xdr:cNvSpPr>
      </xdr:nvSpPr>
      <xdr:spPr bwMode="auto">
        <a:xfrm>
          <a:off x="4448175" y="20983575"/>
          <a:ext cx="971550" cy="0"/>
        </a:xfrm>
        <a:prstGeom prst="line">
          <a:avLst/>
        </a:prstGeom>
        <a:noFill/>
        <a:ln w="9525">
          <a:solidFill>
            <a:srgbClr val="000000"/>
          </a:solidFill>
          <a:round/>
          <a:headEnd/>
          <a:tailEnd type="triangle" w="med" len="med"/>
        </a:ln>
      </xdr:spPr>
    </xdr:sp>
    <xdr:clientData/>
  </xdr:twoCellAnchor>
  <xdr:twoCellAnchor>
    <xdr:from>
      <xdr:col>7</xdr:col>
      <xdr:colOff>323850</xdr:colOff>
      <xdr:row>91</xdr:row>
      <xdr:rowOff>0</xdr:rowOff>
    </xdr:from>
    <xdr:to>
      <xdr:col>7</xdr:col>
      <xdr:colOff>323850</xdr:colOff>
      <xdr:row>91</xdr:row>
      <xdr:rowOff>114300</xdr:rowOff>
    </xdr:to>
    <xdr:sp macro="" textlink="">
      <xdr:nvSpPr>
        <xdr:cNvPr id="33803" name="Line 10"/>
        <xdr:cNvSpPr>
          <a:spLocks noChangeShapeType="1"/>
        </xdr:cNvSpPr>
      </xdr:nvSpPr>
      <xdr:spPr bwMode="auto">
        <a:xfrm>
          <a:off x="5153025" y="20735925"/>
          <a:ext cx="0" cy="114300"/>
        </a:xfrm>
        <a:prstGeom prst="line">
          <a:avLst/>
        </a:prstGeom>
        <a:noFill/>
        <a:ln w="9525">
          <a:solidFill>
            <a:srgbClr val="000000"/>
          </a:solidFill>
          <a:round/>
          <a:headEnd/>
          <a:tailEnd/>
        </a:ln>
      </xdr:spPr>
    </xdr:sp>
    <xdr:clientData/>
  </xdr:twoCellAnchor>
  <xdr:twoCellAnchor>
    <xdr:from>
      <xdr:col>7</xdr:col>
      <xdr:colOff>323850</xdr:colOff>
      <xdr:row>91</xdr:row>
      <xdr:rowOff>114300</xdr:rowOff>
    </xdr:from>
    <xdr:to>
      <xdr:col>7</xdr:col>
      <xdr:colOff>581025</xdr:colOff>
      <xdr:row>91</xdr:row>
      <xdr:rowOff>114300</xdr:rowOff>
    </xdr:to>
    <xdr:sp macro="" textlink="">
      <xdr:nvSpPr>
        <xdr:cNvPr id="33804" name="Line 11"/>
        <xdr:cNvSpPr>
          <a:spLocks noChangeShapeType="1"/>
        </xdr:cNvSpPr>
      </xdr:nvSpPr>
      <xdr:spPr bwMode="auto">
        <a:xfrm>
          <a:off x="5153025" y="20850225"/>
          <a:ext cx="257175" cy="0"/>
        </a:xfrm>
        <a:prstGeom prst="line">
          <a:avLst/>
        </a:prstGeom>
        <a:noFill/>
        <a:ln w="9525">
          <a:solidFill>
            <a:srgbClr val="000000"/>
          </a:solidFill>
          <a:round/>
          <a:headEnd/>
          <a:tailEnd type="triangle" w="med" len="med"/>
        </a:ln>
      </xdr:spPr>
    </xdr:sp>
    <xdr:clientData/>
  </xdr:twoCellAnchor>
  <xdr:twoCellAnchor editAs="oneCell">
    <xdr:from>
      <xdr:col>4</xdr:col>
      <xdr:colOff>76200</xdr:colOff>
      <xdr:row>106</xdr:row>
      <xdr:rowOff>0</xdr:rowOff>
    </xdr:from>
    <xdr:to>
      <xdr:col>4</xdr:col>
      <xdr:colOff>152400</xdr:colOff>
      <xdr:row>107</xdr:row>
      <xdr:rowOff>38100</xdr:rowOff>
    </xdr:to>
    <xdr:sp macro="" textlink="">
      <xdr:nvSpPr>
        <xdr:cNvPr id="33901" name="Text Box 177"/>
        <xdr:cNvSpPr txBox="1">
          <a:spLocks noChangeArrowheads="1"/>
        </xdr:cNvSpPr>
      </xdr:nvSpPr>
      <xdr:spPr bwMode="auto">
        <a:xfrm>
          <a:off x="2819400" y="47005875"/>
          <a:ext cx="76200" cy="200025"/>
        </a:xfrm>
        <a:prstGeom prst="rect">
          <a:avLst/>
        </a:prstGeom>
        <a:noFill/>
        <a:ln w="9525">
          <a:noFill/>
          <a:miter lim="800000"/>
          <a:headEnd/>
          <a:tailEnd/>
        </a:ln>
      </xdr:spPr>
    </xdr:sp>
    <xdr:clientData/>
  </xdr:twoCellAnchor>
  <xdr:twoCellAnchor>
    <xdr:from>
      <xdr:col>5</xdr:col>
      <xdr:colOff>285750</xdr:colOff>
      <xdr:row>125</xdr:row>
      <xdr:rowOff>9525</xdr:rowOff>
    </xdr:from>
    <xdr:to>
      <xdr:col>5</xdr:col>
      <xdr:colOff>304800</xdr:colOff>
      <xdr:row>126</xdr:row>
      <xdr:rowOff>9525</xdr:rowOff>
    </xdr:to>
    <xdr:sp macro="" textlink="">
      <xdr:nvSpPr>
        <xdr:cNvPr id="159" name="Line 4"/>
        <xdr:cNvSpPr>
          <a:spLocks noChangeShapeType="1"/>
        </xdr:cNvSpPr>
      </xdr:nvSpPr>
      <xdr:spPr bwMode="auto">
        <a:xfrm>
          <a:off x="3952875" y="22059900"/>
          <a:ext cx="19050" cy="161925"/>
        </a:xfrm>
        <a:prstGeom prst="line">
          <a:avLst/>
        </a:prstGeom>
        <a:noFill/>
        <a:ln w="9525">
          <a:solidFill>
            <a:srgbClr val="000000"/>
          </a:solidFill>
          <a:round/>
          <a:headEnd/>
          <a:tailEnd/>
        </a:ln>
      </xdr:spPr>
    </xdr:sp>
    <xdr:clientData/>
  </xdr:twoCellAnchor>
  <xdr:twoCellAnchor>
    <xdr:from>
      <xdr:col>9</xdr:col>
      <xdr:colOff>123825</xdr:colOff>
      <xdr:row>141</xdr:row>
      <xdr:rowOff>28575</xdr:rowOff>
    </xdr:from>
    <xdr:to>
      <xdr:col>9</xdr:col>
      <xdr:colOff>123825</xdr:colOff>
      <xdr:row>142</xdr:row>
      <xdr:rowOff>104775</xdr:rowOff>
    </xdr:to>
    <xdr:sp macro="" textlink="">
      <xdr:nvSpPr>
        <xdr:cNvPr id="161" name="Line 6"/>
        <xdr:cNvSpPr>
          <a:spLocks noChangeShapeType="1"/>
        </xdr:cNvSpPr>
      </xdr:nvSpPr>
      <xdr:spPr bwMode="auto">
        <a:xfrm>
          <a:off x="6515100" y="24784050"/>
          <a:ext cx="0" cy="238125"/>
        </a:xfrm>
        <a:prstGeom prst="line">
          <a:avLst/>
        </a:prstGeom>
        <a:noFill/>
        <a:ln w="9525">
          <a:solidFill>
            <a:srgbClr val="000000"/>
          </a:solidFill>
          <a:round/>
          <a:headEnd/>
          <a:tailEnd/>
        </a:ln>
      </xdr:spPr>
    </xdr:sp>
    <xdr:clientData/>
  </xdr:twoCellAnchor>
  <xdr:twoCellAnchor>
    <xdr:from>
      <xdr:col>5</xdr:col>
      <xdr:colOff>285750</xdr:colOff>
      <xdr:row>126</xdr:row>
      <xdr:rowOff>66675</xdr:rowOff>
    </xdr:from>
    <xdr:to>
      <xdr:col>6</xdr:col>
      <xdr:colOff>514350</xdr:colOff>
      <xdr:row>126</xdr:row>
      <xdr:rowOff>66675</xdr:rowOff>
    </xdr:to>
    <xdr:sp macro="" textlink="">
      <xdr:nvSpPr>
        <xdr:cNvPr id="162" name="Line 7"/>
        <xdr:cNvSpPr>
          <a:spLocks noChangeShapeType="1"/>
        </xdr:cNvSpPr>
      </xdr:nvSpPr>
      <xdr:spPr bwMode="auto">
        <a:xfrm>
          <a:off x="3952875" y="22278975"/>
          <a:ext cx="971550" cy="0"/>
        </a:xfrm>
        <a:prstGeom prst="line">
          <a:avLst/>
        </a:prstGeom>
        <a:noFill/>
        <a:ln w="9525">
          <a:solidFill>
            <a:srgbClr val="000000"/>
          </a:solidFill>
          <a:round/>
          <a:headEnd/>
          <a:tailEnd type="triangle" w="med" len="med"/>
        </a:ln>
      </xdr:spPr>
    </xdr:sp>
    <xdr:clientData/>
  </xdr:twoCellAnchor>
  <xdr:twoCellAnchor>
    <xdr:from>
      <xdr:col>6</xdr:col>
      <xdr:colOff>276225</xdr:colOff>
      <xdr:row>125</xdr:row>
      <xdr:rowOff>19050</xdr:rowOff>
    </xdr:from>
    <xdr:to>
      <xdr:col>6</xdr:col>
      <xdr:colOff>276225</xdr:colOff>
      <xdr:row>125</xdr:row>
      <xdr:rowOff>133350</xdr:rowOff>
    </xdr:to>
    <xdr:sp macro="" textlink="">
      <xdr:nvSpPr>
        <xdr:cNvPr id="163" name="Line 10"/>
        <xdr:cNvSpPr>
          <a:spLocks noChangeShapeType="1"/>
        </xdr:cNvSpPr>
      </xdr:nvSpPr>
      <xdr:spPr bwMode="auto">
        <a:xfrm>
          <a:off x="4686300" y="22069425"/>
          <a:ext cx="0" cy="114300"/>
        </a:xfrm>
        <a:prstGeom prst="line">
          <a:avLst/>
        </a:prstGeom>
        <a:noFill/>
        <a:ln w="9525">
          <a:solidFill>
            <a:srgbClr val="000000"/>
          </a:solidFill>
          <a:round/>
          <a:headEnd/>
          <a:tailEnd/>
        </a:ln>
      </xdr:spPr>
    </xdr:sp>
    <xdr:clientData/>
  </xdr:twoCellAnchor>
  <xdr:twoCellAnchor>
    <xdr:from>
      <xdr:col>6</xdr:col>
      <xdr:colOff>276225</xdr:colOff>
      <xdr:row>125</xdr:row>
      <xdr:rowOff>142875</xdr:rowOff>
    </xdr:from>
    <xdr:to>
      <xdr:col>6</xdr:col>
      <xdr:colOff>533400</xdr:colOff>
      <xdr:row>125</xdr:row>
      <xdr:rowOff>142875</xdr:rowOff>
    </xdr:to>
    <xdr:sp macro="" textlink="">
      <xdr:nvSpPr>
        <xdr:cNvPr id="164" name="Line 11"/>
        <xdr:cNvSpPr>
          <a:spLocks noChangeShapeType="1"/>
        </xdr:cNvSpPr>
      </xdr:nvSpPr>
      <xdr:spPr bwMode="auto">
        <a:xfrm>
          <a:off x="4686300" y="22193250"/>
          <a:ext cx="257175" cy="0"/>
        </a:xfrm>
        <a:prstGeom prst="line">
          <a:avLst/>
        </a:prstGeom>
        <a:noFill/>
        <a:ln w="9525">
          <a:solidFill>
            <a:srgbClr val="000000"/>
          </a:solidFill>
          <a:round/>
          <a:headEnd/>
          <a:tailEnd type="triangle" w="med" len="med"/>
        </a:ln>
      </xdr:spPr>
    </xdr:sp>
    <xdr:clientData/>
  </xdr:twoCellAnchor>
  <xdr:twoCellAnchor>
    <xdr:from>
      <xdr:col>9</xdr:col>
      <xdr:colOff>104775</xdr:colOff>
      <xdr:row>141</xdr:row>
      <xdr:rowOff>114300</xdr:rowOff>
    </xdr:from>
    <xdr:to>
      <xdr:col>10</xdr:col>
      <xdr:colOff>190500</xdr:colOff>
      <xdr:row>141</xdr:row>
      <xdr:rowOff>114300</xdr:rowOff>
    </xdr:to>
    <xdr:sp macro="" textlink="">
      <xdr:nvSpPr>
        <xdr:cNvPr id="171" name="Line 11"/>
        <xdr:cNvSpPr>
          <a:spLocks noChangeShapeType="1"/>
        </xdr:cNvSpPr>
      </xdr:nvSpPr>
      <xdr:spPr bwMode="auto">
        <a:xfrm>
          <a:off x="6496050" y="24869775"/>
          <a:ext cx="257175" cy="0"/>
        </a:xfrm>
        <a:prstGeom prst="line">
          <a:avLst/>
        </a:prstGeom>
        <a:noFill/>
        <a:ln w="9525">
          <a:solidFill>
            <a:srgbClr val="000000"/>
          </a:solidFill>
          <a:round/>
          <a:headEnd/>
          <a:tailEnd type="triangle" w="med" len="me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285750</xdr:colOff>
      <xdr:row>91</xdr:row>
      <xdr:rowOff>9525</xdr:rowOff>
    </xdr:from>
    <xdr:to>
      <xdr:col>5</xdr:col>
      <xdr:colOff>285750</xdr:colOff>
      <xdr:row>93</xdr:row>
      <xdr:rowOff>85725</xdr:rowOff>
    </xdr:to>
    <xdr:sp macro="" textlink="">
      <xdr:nvSpPr>
        <xdr:cNvPr id="2" name="Line 4"/>
        <xdr:cNvSpPr>
          <a:spLocks noChangeShapeType="1"/>
        </xdr:cNvSpPr>
      </xdr:nvSpPr>
      <xdr:spPr bwMode="auto">
        <a:xfrm>
          <a:off x="3333750" y="14744700"/>
          <a:ext cx="0" cy="400050"/>
        </a:xfrm>
        <a:prstGeom prst="line">
          <a:avLst/>
        </a:prstGeom>
        <a:noFill/>
        <a:ln w="9525">
          <a:solidFill>
            <a:srgbClr val="000000"/>
          </a:solidFill>
          <a:round/>
          <a:headEnd/>
          <a:tailEnd/>
        </a:ln>
      </xdr:spPr>
    </xdr:sp>
    <xdr:clientData/>
  </xdr:twoCellAnchor>
  <xdr:twoCellAnchor>
    <xdr:from>
      <xdr:col>5</xdr:col>
      <xdr:colOff>285750</xdr:colOff>
      <xdr:row>93</xdr:row>
      <xdr:rowOff>76200</xdr:rowOff>
    </xdr:from>
    <xdr:to>
      <xdr:col>7</xdr:col>
      <xdr:colOff>590550</xdr:colOff>
      <xdr:row>93</xdr:row>
      <xdr:rowOff>76200</xdr:rowOff>
    </xdr:to>
    <xdr:sp macro="" textlink="">
      <xdr:nvSpPr>
        <xdr:cNvPr id="3" name="Line 5"/>
        <xdr:cNvSpPr>
          <a:spLocks noChangeShapeType="1"/>
        </xdr:cNvSpPr>
      </xdr:nvSpPr>
      <xdr:spPr bwMode="auto">
        <a:xfrm>
          <a:off x="3333750" y="15135225"/>
          <a:ext cx="1524000" cy="0"/>
        </a:xfrm>
        <a:prstGeom prst="line">
          <a:avLst/>
        </a:prstGeom>
        <a:noFill/>
        <a:ln w="9525">
          <a:solidFill>
            <a:srgbClr val="000000"/>
          </a:solidFill>
          <a:round/>
          <a:headEnd/>
          <a:tailEnd type="triangle" w="med" len="med"/>
        </a:ln>
      </xdr:spPr>
    </xdr:sp>
    <xdr:clientData/>
  </xdr:twoCellAnchor>
  <xdr:twoCellAnchor>
    <xdr:from>
      <xdr:col>6</xdr:col>
      <xdr:colOff>304800</xdr:colOff>
      <xdr:row>91</xdr:row>
      <xdr:rowOff>9525</xdr:rowOff>
    </xdr:from>
    <xdr:to>
      <xdr:col>6</xdr:col>
      <xdr:colOff>304800</xdr:colOff>
      <xdr:row>92</xdr:row>
      <xdr:rowOff>85725</xdr:rowOff>
    </xdr:to>
    <xdr:sp macro="" textlink="">
      <xdr:nvSpPr>
        <xdr:cNvPr id="4" name="Line 6"/>
        <xdr:cNvSpPr>
          <a:spLocks noChangeShapeType="1"/>
        </xdr:cNvSpPr>
      </xdr:nvSpPr>
      <xdr:spPr bwMode="auto">
        <a:xfrm>
          <a:off x="3962400" y="14744700"/>
          <a:ext cx="0" cy="238125"/>
        </a:xfrm>
        <a:prstGeom prst="line">
          <a:avLst/>
        </a:prstGeom>
        <a:noFill/>
        <a:ln w="9525">
          <a:solidFill>
            <a:srgbClr val="000000"/>
          </a:solidFill>
          <a:round/>
          <a:headEnd/>
          <a:tailEnd/>
        </a:ln>
      </xdr:spPr>
    </xdr:sp>
    <xdr:clientData/>
  </xdr:twoCellAnchor>
  <xdr:twoCellAnchor>
    <xdr:from>
      <xdr:col>6</xdr:col>
      <xdr:colOff>295275</xdr:colOff>
      <xdr:row>92</xdr:row>
      <xdr:rowOff>85725</xdr:rowOff>
    </xdr:from>
    <xdr:to>
      <xdr:col>7</xdr:col>
      <xdr:colOff>590550</xdr:colOff>
      <xdr:row>92</xdr:row>
      <xdr:rowOff>85725</xdr:rowOff>
    </xdr:to>
    <xdr:sp macro="" textlink="">
      <xdr:nvSpPr>
        <xdr:cNvPr id="5" name="Line 7"/>
        <xdr:cNvSpPr>
          <a:spLocks noChangeShapeType="1"/>
        </xdr:cNvSpPr>
      </xdr:nvSpPr>
      <xdr:spPr bwMode="auto">
        <a:xfrm>
          <a:off x="3952875" y="14982825"/>
          <a:ext cx="904875" cy="0"/>
        </a:xfrm>
        <a:prstGeom prst="line">
          <a:avLst/>
        </a:prstGeom>
        <a:noFill/>
        <a:ln w="9525">
          <a:solidFill>
            <a:srgbClr val="000000"/>
          </a:solidFill>
          <a:round/>
          <a:headEnd/>
          <a:tailEnd type="triangle" w="med" len="med"/>
        </a:ln>
      </xdr:spPr>
    </xdr:sp>
    <xdr:clientData/>
  </xdr:twoCellAnchor>
  <xdr:twoCellAnchor>
    <xdr:from>
      <xdr:col>7</xdr:col>
      <xdr:colOff>323850</xdr:colOff>
      <xdr:row>91</xdr:row>
      <xdr:rowOff>0</xdr:rowOff>
    </xdr:from>
    <xdr:to>
      <xdr:col>7</xdr:col>
      <xdr:colOff>323850</xdr:colOff>
      <xdr:row>91</xdr:row>
      <xdr:rowOff>114300</xdr:rowOff>
    </xdr:to>
    <xdr:sp macro="" textlink="">
      <xdr:nvSpPr>
        <xdr:cNvPr id="6" name="Line 10"/>
        <xdr:cNvSpPr>
          <a:spLocks noChangeShapeType="1"/>
        </xdr:cNvSpPr>
      </xdr:nvSpPr>
      <xdr:spPr bwMode="auto">
        <a:xfrm>
          <a:off x="4591050" y="14735175"/>
          <a:ext cx="0" cy="114300"/>
        </a:xfrm>
        <a:prstGeom prst="line">
          <a:avLst/>
        </a:prstGeom>
        <a:noFill/>
        <a:ln w="9525">
          <a:solidFill>
            <a:srgbClr val="000000"/>
          </a:solidFill>
          <a:round/>
          <a:headEnd/>
          <a:tailEnd/>
        </a:ln>
      </xdr:spPr>
    </xdr:sp>
    <xdr:clientData/>
  </xdr:twoCellAnchor>
  <xdr:twoCellAnchor>
    <xdr:from>
      <xdr:col>7</xdr:col>
      <xdr:colOff>323850</xdr:colOff>
      <xdr:row>91</xdr:row>
      <xdr:rowOff>114300</xdr:rowOff>
    </xdr:from>
    <xdr:to>
      <xdr:col>7</xdr:col>
      <xdr:colOff>581025</xdr:colOff>
      <xdr:row>91</xdr:row>
      <xdr:rowOff>114300</xdr:rowOff>
    </xdr:to>
    <xdr:sp macro="" textlink="">
      <xdr:nvSpPr>
        <xdr:cNvPr id="7" name="Line 11"/>
        <xdr:cNvSpPr>
          <a:spLocks noChangeShapeType="1"/>
        </xdr:cNvSpPr>
      </xdr:nvSpPr>
      <xdr:spPr bwMode="auto">
        <a:xfrm>
          <a:off x="4591050" y="14849475"/>
          <a:ext cx="257175" cy="0"/>
        </a:xfrm>
        <a:prstGeom prst="line">
          <a:avLst/>
        </a:prstGeom>
        <a:noFill/>
        <a:ln w="9525">
          <a:solidFill>
            <a:srgbClr val="000000"/>
          </a:solidFill>
          <a:round/>
          <a:headEnd/>
          <a:tailEnd type="triangle" w="med" len="med"/>
        </a:ln>
      </xdr:spPr>
    </xdr:sp>
    <xdr:clientData/>
  </xdr:twoCellAnchor>
  <xdr:oneCellAnchor>
    <xdr:from>
      <xdr:col>4</xdr:col>
      <xdr:colOff>76200</xdr:colOff>
      <xdr:row>106</xdr:row>
      <xdr:rowOff>0</xdr:rowOff>
    </xdr:from>
    <xdr:ext cx="76200" cy="199292"/>
    <xdr:sp macro="" textlink="">
      <xdr:nvSpPr>
        <xdr:cNvPr id="8" name="Text Box 177"/>
        <xdr:cNvSpPr txBox="1">
          <a:spLocks noChangeArrowheads="1"/>
        </xdr:cNvSpPr>
      </xdr:nvSpPr>
      <xdr:spPr bwMode="auto">
        <a:xfrm>
          <a:off x="2514600" y="17164050"/>
          <a:ext cx="76200" cy="199292"/>
        </a:xfrm>
        <a:prstGeom prst="rect">
          <a:avLst/>
        </a:prstGeom>
        <a:noFill/>
        <a:ln w="9525">
          <a:noFill/>
          <a:miter lim="800000"/>
          <a:headEnd/>
          <a:tailEnd/>
        </a:ln>
      </xdr:spPr>
    </xdr:sp>
    <xdr:clientData/>
  </xdr:oneCellAnchor>
  <xdr:twoCellAnchor>
    <xdr:from>
      <xdr:col>5</xdr:col>
      <xdr:colOff>285750</xdr:colOff>
      <xdr:row>125</xdr:row>
      <xdr:rowOff>9525</xdr:rowOff>
    </xdr:from>
    <xdr:to>
      <xdr:col>5</xdr:col>
      <xdr:colOff>304800</xdr:colOff>
      <xdr:row>126</xdr:row>
      <xdr:rowOff>9525</xdr:rowOff>
    </xdr:to>
    <xdr:sp macro="" textlink="">
      <xdr:nvSpPr>
        <xdr:cNvPr id="9" name="Line 4"/>
        <xdr:cNvSpPr>
          <a:spLocks noChangeShapeType="1"/>
        </xdr:cNvSpPr>
      </xdr:nvSpPr>
      <xdr:spPr bwMode="auto">
        <a:xfrm>
          <a:off x="3333750" y="20250150"/>
          <a:ext cx="19050" cy="161925"/>
        </a:xfrm>
        <a:prstGeom prst="line">
          <a:avLst/>
        </a:prstGeom>
        <a:noFill/>
        <a:ln w="9525">
          <a:solidFill>
            <a:srgbClr val="000000"/>
          </a:solidFill>
          <a:round/>
          <a:headEnd/>
          <a:tailEnd/>
        </a:ln>
      </xdr:spPr>
    </xdr:sp>
    <xdr:clientData/>
  </xdr:twoCellAnchor>
  <xdr:twoCellAnchor>
    <xdr:from>
      <xdr:col>9</xdr:col>
      <xdr:colOff>123825</xdr:colOff>
      <xdr:row>141</xdr:row>
      <xdr:rowOff>28575</xdr:rowOff>
    </xdr:from>
    <xdr:to>
      <xdr:col>9</xdr:col>
      <xdr:colOff>123825</xdr:colOff>
      <xdr:row>142</xdr:row>
      <xdr:rowOff>104775</xdr:rowOff>
    </xdr:to>
    <xdr:sp macro="" textlink="">
      <xdr:nvSpPr>
        <xdr:cNvPr id="10" name="Line 6"/>
        <xdr:cNvSpPr>
          <a:spLocks noChangeShapeType="1"/>
        </xdr:cNvSpPr>
      </xdr:nvSpPr>
      <xdr:spPr bwMode="auto">
        <a:xfrm>
          <a:off x="5610225" y="22860000"/>
          <a:ext cx="0" cy="238125"/>
        </a:xfrm>
        <a:prstGeom prst="line">
          <a:avLst/>
        </a:prstGeom>
        <a:noFill/>
        <a:ln w="9525">
          <a:solidFill>
            <a:srgbClr val="000000"/>
          </a:solidFill>
          <a:round/>
          <a:headEnd/>
          <a:tailEnd/>
        </a:ln>
      </xdr:spPr>
    </xdr:sp>
    <xdr:clientData/>
  </xdr:twoCellAnchor>
  <xdr:twoCellAnchor>
    <xdr:from>
      <xdr:col>5</xdr:col>
      <xdr:colOff>285750</xdr:colOff>
      <xdr:row>126</xdr:row>
      <xdr:rowOff>66675</xdr:rowOff>
    </xdr:from>
    <xdr:to>
      <xdr:col>6</xdr:col>
      <xdr:colOff>514350</xdr:colOff>
      <xdr:row>126</xdr:row>
      <xdr:rowOff>66675</xdr:rowOff>
    </xdr:to>
    <xdr:sp macro="" textlink="">
      <xdr:nvSpPr>
        <xdr:cNvPr id="11" name="Line 7"/>
        <xdr:cNvSpPr>
          <a:spLocks noChangeShapeType="1"/>
        </xdr:cNvSpPr>
      </xdr:nvSpPr>
      <xdr:spPr bwMode="auto">
        <a:xfrm>
          <a:off x="3333750" y="20469225"/>
          <a:ext cx="838200" cy="0"/>
        </a:xfrm>
        <a:prstGeom prst="line">
          <a:avLst/>
        </a:prstGeom>
        <a:noFill/>
        <a:ln w="9525">
          <a:solidFill>
            <a:srgbClr val="000000"/>
          </a:solidFill>
          <a:round/>
          <a:headEnd/>
          <a:tailEnd type="triangle" w="med" len="med"/>
        </a:ln>
      </xdr:spPr>
    </xdr:sp>
    <xdr:clientData/>
  </xdr:twoCellAnchor>
  <xdr:twoCellAnchor>
    <xdr:from>
      <xdr:col>6</xdr:col>
      <xdr:colOff>276225</xdr:colOff>
      <xdr:row>125</xdr:row>
      <xdr:rowOff>19050</xdr:rowOff>
    </xdr:from>
    <xdr:to>
      <xdr:col>6</xdr:col>
      <xdr:colOff>276225</xdr:colOff>
      <xdr:row>125</xdr:row>
      <xdr:rowOff>133350</xdr:rowOff>
    </xdr:to>
    <xdr:sp macro="" textlink="">
      <xdr:nvSpPr>
        <xdr:cNvPr id="12" name="Line 10"/>
        <xdr:cNvSpPr>
          <a:spLocks noChangeShapeType="1"/>
        </xdr:cNvSpPr>
      </xdr:nvSpPr>
      <xdr:spPr bwMode="auto">
        <a:xfrm>
          <a:off x="3933825" y="20259675"/>
          <a:ext cx="0" cy="114300"/>
        </a:xfrm>
        <a:prstGeom prst="line">
          <a:avLst/>
        </a:prstGeom>
        <a:noFill/>
        <a:ln w="9525">
          <a:solidFill>
            <a:srgbClr val="000000"/>
          </a:solidFill>
          <a:round/>
          <a:headEnd/>
          <a:tailEnd/>
        </a:ln>
      </xdr:spPr>
    </xdr:sp>
    <xdr:clientData/>
  </xdr:twoCellAnchor>
  <xdr:twoCellAnchor>
    <xdr:from>
      <xdr:col>6</xdr:col>
      <xdr:colOff>276225</xdr:colOff>
      <xdr:row>125</xdr:row>
      <xdr:rowOff>142875</xdr:rowOff>
    </xdr:from>
    <xdr:to>
      <xdr:col>6</xdr:col>
      <xdr:colOff>533400</xdr:colOff>
      <xdr:row>125</xdr:row>
      <xdr:rowOff>142875</xdr:rowOff>
    </xdr:to>
    <xdr:sp macro="" textlink="">
      <xdr:nvSpPr>
        <xdr:cNvPr id="13" name="Line 11"/>
        <xdr:cNvSpPr>
          <a:spLocks noChangeShapeType="1"/>
        </xdr:cNvSpPr>
      </xdr:nvSpPr>
      <xdr:spPr bwMode="auto">
        <a:xfrm>
          <a:off x="3933825" y="20383500"/>
          <a:ext cx="257175" cy="0"/>
        </a:xfrm>
        <a:prstGeom prst="line">
          <a:avLst/>
        </a:prstGeom>
        <a:noFill/>
        <a:ln w="9525">
          <a:solidFill>
            <a:srgbClr val="000000"/>
          </a:solidFill>
          <a:round/>
          <a:headEnd/>
          <a:tailEnd type="triangle" w="med" len="med"/>
        </a:ln>
      </xdr:spPr>
    </xdr:sp>
    <xdr:clientData/>
  </xdr:twoCellAnchor>
  <xdr:twoCellAnchor>
    <xdr:from>
      <xdr:col>9</xdr:col>
      <xdr:colOff>104775</xdr:colOff>
      <xdr:row>141</xdr:row>
      <xdr:rowOff>114300</xdr:rowOff>
    </xdr:from>
    <xdr:to>
      <xdr:col>10</xdr:col>
      <xdr:colOff>190500</xdr:colOff>
      <xdr:row>141</xdr:row>
      <xdr:rowOff>114300</xdr:rowOff>
    </xdr:to>
    <xdr:sp macro="" textlink="">
      <xdr:nvSpPr>
        <xdr:cNvPr id="14" name="Line 11"/>
        <xdr:cNvSpPr>
          <a:spLocks noChangeShapeType="1"/>
        </xdr:cNvSpPr>
      </xdr:nvSpPr>
      <xdr:spPr bwMode="auto">
        <a:xfrm>
          <a:off x="5591175" y="22945725"/>
          <a:ext cx="695325" cy="0"/>
        </a:xfrm>
        <a:prstGeom prst="line">
          <a:avLst/>
        </a:prstGeom>
        <a:noFill/>
        <a:ln w="9525">
          <a:solidFill>
            <a:srgbClr val="000000"/>
          </a:solidFill>
          <a:round/>
          <a:headEnd/>
          <a:tailEnd type="triangle" w="med" len="med"/>
        </a:ln>
      </xdr:spPr>
    </xdr:sp>
    <xdr:clientData/>
  </xdr:twoCellAnchor>
  <xdr:twoCellAnchor>
    <xdr:from>
      <xdr:col>30</xdr:col>
      <xdr:colOff>285750</xdr:colOff>
      <xdr:row>91</xdr:row>
      <xdr:rowOff>9525</xdr:rowOff>
    </xdr:from>
    <xdr:to>
      <xdr:col>30</xdr:col>
      <xdr:colOff>285750</xdr:colOff>
      <xdr:row>93</xdr:row>
      <xdr:rowOff>85725</xdr:rowOff>
    </xdr:to>
    <xdr:sp macro="" textlink="">
      <xdr:nvSpPr>
        <xdr:cNvPr id="15" name="Line 4"/>
        <xdr:cNvSpPr>
          <a:spLocks noChangeShapeType="1"/>
        </xdr:cNvSpPr>
      </xdr:nvSpPr>
      <xdr:spPr bwMode="auto">
        <a:xfrm>
          <a:off x="18573750" y="14744700"/>
          <a:ext cx="0" cy="400050"/>
        </a:xfrm>
        <a:prstGeom prst="line">
          <a:avLst/>
        </a:prstGeom>
        <a:noFill/>
        <a:ln w="9525">
          <a:solidFill>
            <a:srgbClr val="000000"/>
          </a:solidFill>
          <a:round/>
          <a:headEnd/>
          <a:tailEnd/>
        </a:ln>
      </xdr:spPr>
    </xdr:sp>
    <xdr:clientData/>
  </xdr:twoCellAnchor>
  <xdr:twoCellAnchor>
    <xdr:from>
      <xdr:col>30</xdr:col>
      <xdr:colOff>285750</xdr:colOff>
      <xdr:row>93</xdr:row>
      <xdr:rowOff>76200</xdr:rowOff>
    </xdr:from>
    <xdr:to>
      <xdr:col>32</xdr:col>
      <xdr:colOff>590550</xdr:colOff>
      <xdr:row>93</xdr:row>
      <xdr:rowOff>76200</xdr:rowOff>
    </xdr:to>
    <xdr:sp macro="" textlink="">
      <xdr:nvSpPr>
        <xdr:cNvPr id="16" name="Line 5"/>
        <xdr:cNvSpPr>
          <a:spLocks noChangeShapeType="1"/>
        </xdr:cNvSpPr>
      </xdr:nvSpPr>
      <xdr:spPr bwMode="auto">
        <a:xfrm>
          <a:off x="18573750" y="15135225"/>
          <a:ext cx="1524000" cy="0"/>
        </a:xfrm>
        <a:prstGeom prst="line">
          <a:avLst/>
        </a:prstGeom>
        <a:noFill/>
        <a:ln w="9525">
          <a:solidFill>
            <a:srgbClr val="000000"/>
          </a:solidFill>
          <a:round/>
          <a:headEnd/>
          <a:tailEnd type="triangle" w="med" len="med"/>
        </a:ln>
      </xdr:spPr>
    </xdr:sp>
    <xdr:clientData/>
  </xdr:twoCellAnchor>
  <xdr:twoCellAnchor>
    <xdr:from>
      <xdr:col>31</xdr:col>
      <xdr:colOff>304800</xdr:colOff>
      <xdr:row>91</xdr:row>
      <xdr:rowOff>9525</xdr:rowOff>
    </xdr:from>
    <xdr:to>
      <xdr:col>31</xdr:col>
      <xdr:colOff>304800</xdr:colOff>
      <xdr:row>92</xdr:row>
      <xdr:rowOff>85725</xdr:rowOff>
    </xdr:to>
    <xdr:sp macro="" textlink="">
      <xdr:nvSpPr>
        <xdr:cNvPr id="17" name="Line 6"/>
        <xdr:cNvSpPr>
          <a:spLocks noChangeShapeType="1"/>
        </xdr:cNvSpPr>
      </xdr:nvSpPr>
      <xdr:spPr bwMode="auto">
        <a:xfrm>
          <a:off x="19202400" y="14744700"/>
          <a:ext cx="0" cy="238125"/>
        </a:xfrm>
        <a:prstGeom prst="line">
          <a:avLst/>
        </a:prstGeom>
        <a:noFill/>
        <a:ln w="9525">
          <a:solidFill>
            <a:srgbClr val="000000"/>
          </a:solidFill>
          <a:round/>
          <a:headEnd/>
          <a:tailEnd/>
        </a:ln>
      </xdr:spPr>
    </xdr:sp>
    <xdr:clientData/>
  </xdr:twoCellAnchor>
  <xdr:twoCellAnchor>
    <xdr:from>
      <xdr:col>31</xdr:col>
      <xdr:colOff>295275</xdr:colOff>
      <xdr:row>92</xdr:row>
      <xdr:rowOff>85725</xdr:rowOff>
    </xdr:from>
    <xdr:to>
      <xdr:col>32</xdr:col>
      <xdr:colOff>590550</xdr:colOff>
      <xdr:row>92</xdr:row>
      <xdr:rowOff>85725</xdr:rowOff>
    </xdr:to>
    <xdr:sp macro="" textlink="">
      <xdr:nvSpPr>
        <xdr:cNvPr id="18" name="Line 7"/>
        <xdr:cNvSpPr>
          <a:spLocks noChangeShapeType="1"/>
        </xdr:cNvSpPr>
      </xdr:nvSpPr>
      <xdr:spPr bwMode="auto">
        <a:xfrm>
          <a:off x="19192875" y="14982825"/>
          <a:ext cx="904875" cy="0"/>
        </a:xfrm>
        <a:prstGeom prst="line">
          <a:avLst/>
        </a:prstGeom>
        <a:noFill/>
        <a:ln w="9525">
          <a:solidFill>
            <a:srgbClr val="000000"/>
          </a:solidFill>
          <a:round/>
          <a:headEnd/>
          <a:tailEnd type="triangle" w="med" len="med"/>
        </a:ln>
      </xdr:spPr>
    </xdr:sp>
    <xdr:clientData/>
  </xdr:twoCellAnchor>
  <xdr:twoCellAnchor>
    <xdr:from>
      <xdr:col>32</xdr:col>
      <xdr:colOff>323850</xdr:colOff>
      <xdr:row>91</xdr:row>
      <xdr:rowOff>0</xdr:rowOff>
    </xdr:from>
    <xdr:to>
      <xdr:col>32</xdr:col>
      <xdr:colOff>323850</xdr:colOff>
      <xdr:row>91</xdr:row>
      <xdr:rowOff>114300</xdr:rowOff>
    </xdr:to>
    <xdr:sp macro="" textlink="">
      <xdr:nvSpPr>
        <xdr:cNvPr id="19" name="Line 10"/>
        <xdr:cNvSpPr>
          <a:spLocks noChangeShapeType="1"/>
        </xdr:cNvSpPr>
      </xdr:nvSpPr>
      <xdr:spPr bwMode="auto">
        <a:xfrm>
          <a:off x="19831050" y="14735175"/>
          <a:ext cx="0" cy="114300"/>
        </a:xfrm>
        <a:prstGeom prst="line">
          <a:avLst/>
        </a:prstGeom>
        <a:noFill/>
        <a:ln w="9525">
          <a:solidFill>
            <a:srgbClr val="000000"/>
          </a:solidFill>
          <a:round/>
          <a:headEnd/>
          <a:tailEnd/>
        </a:ln>
      </xdr:spPr>
    </xdr:sp>
    <xdr:clientData/>
  </xdr:twoCellAnchor>
  <xdr:twoCellAnchor>
    <xdr:from>
      <xdr:col>32</xdr:col>
      <xdr:colOff>323850</xdr:colOff>
      <xdr:row>91</xdr:row>
      <xdr:rowOff>114300</xdr:rowOff>
    </xdr:from>
    <xdr:to>
      <xdr:col>32</xdr:col>
      <xdr:colOff>581025</xdr:colOff>
      <xdr:row>91</xdr:row>
      <xdr:rowOff>114300</xdr:rowOff>
    </xdr:to>
    <xdr:sp macro="" textlink="">
      <xdr:nvSpPr>
        <xdr:cNvPr id="20" name="Line 11"/>
        <xdr:cNvSpPr>
          <a:spLocks noChangeShapeType="1"/>
        </xdr:cNvSpPr>
      </xdr:nvSpPr>
      <xdr:spPr bwMode="auto">
        <a:xfrm>
          <a:off x="19831050" y="14849475"/>
          <a:ext cx="257175" cy="0"/>
        </a:xfrm>
        <a:prstGeom prst="line">
          <a:avLst/>
        </a:prstGeom>
        <a:noFill/>
        <a:ln w="9525">
          <a:solidFill>
            <a:srgbClr val="000000"/>
          </a:solidFill>
          <a:round/>
          <a:headEnd/>
          <a:tailEnd type="triangle" w="med" len="med"/>
        </a:ln>
      </xdr:spPr>
    </xdr:sp>
    <xdr:clientData/>
  </xdr:twoCellAnchor>
  <xdr:oneCellAnchor>
    <xdr:from>
      <xdr:col>29</xdr:col>
      <xdr:colOff>76200</xdr:colOff>
      <xdr:row>106</xdr:row>
      <xdr:rowOff>0</xdr:rowOff>
    </xdr:from>
    <xdr:ext cx="76200" cy="200025"/>
    <xdr:sp macro="" textlink="">
      <xdr:nvSpPr>
        <xdr:cNvPr id="21" name="Text Box 177"/>
        <xdr:cNvSpPr txBox="1">
          <a:spLocks noChangeArrowheads="1"/>
        </xdr:cNvSpPr>
      </xdr:nvSpPr>
      <xdr:spPr bwMode="auto">
        <a:xfrm>
          <a:off x="17754600" y="17164050"/>
          <a:ext cx="76200" cy="200025"/>
        </a:xfrm>
        <a:prstGeom prst="rect">
          <a:avLst/>
        </a:prstGeom>
        <a:noFill/>
        <a:ln w="9525">
          <a:noFill/>
          <a:miter lim="800000"/>
          <a:headEnd/>
          <a:tailEnd/>
        </a:ln>
      </xdr:spPr>
    </xdr:sp>
    <xdr:clientData/>
  </xdr:oneCellAnchor>
  <xdr:twoCellAnchor>
    <xdr:from>
      <xdr:col>30</xdr:col>
      <xdr:colOff>285750</xdr:colOff>
      <xdr:row>125</xdr:row>
      <xdr:rowOff>9525</xdr:rowOff>
    </xdr:from>
    <xdr:to>
      <xdr:col>30</xdr:col>
      <xdr:colOff>304800</xdr:colOff>
      <xdr:row>126</xdr:row>
      <xdr:rowOff>9525</xdr:rowOff>
    </xdr:to>
    <xdr:sp macro="" textlink="">
      <xdr:nvSpPr>
        <xdr:cNvPr id="22" name="Line 4"/>
        <xdr:cNvSpPr>
          <a:spLocks noChangeShapeType="1"/>
        </xdr:cNvSpPr>
      </xdr:nvSpPr>
      <xdr:spPr bwMode="auto">
        <a:xfrm>
          <a:off x="18573750" y="20250150"/>
          <a:ext cx="19050" cy="161925"/>
        </a:xfrm>
        <a:prstGeom prst="line">
          <a:avLst/>
        </a:prstGeom>
        <a:noFill/>
        <a:ln w="9525">
          <a:solidFill>
            <a:srgbClr val="000000"/>
          </a:solidFill>
          <a:round/>
          <a:headEnd/>
          <a:tailEnd/>
        </a:ln>
      </xdr:spPr>
    </xdr:sp>
    <xdr:clientData/>
  </xdr:twoCellAnchor>
  <xdr:twoCellAnchor>
    <xdr:from>
      <xdr:col>34</xdr:col>
      <xdr:colOff>123825</xdr:colOff>
      <xdr:row>141</xdr:row>
      <xdr:rowOff>28575</xdr:rowOff>
    </xdr:from>
    <xdr:to>
      <xdr:col>34</xdr:col>
      <xdr:colOff>123825</xdr:colOff>
      <xdr:row>142</xdr:row>
      <xdr:rowOff>104775</xdr:rowOff>
    </xdr:to>
    <xdr:sp macro="" textlink="">
      <xdr:nvSpPr>
        <xdr:cNvPr id="23" name="Line 6"/>
        <xdr:cNvSpPr>
          <a:spLocks noChangeShapeType="1"/>
        </xdr:cNvSpPr>
      </xdr:nvSpPr>
      <xdr:spPr bwMode="auto">
        <a:xfrm>
          <a:off x="20850225" y="22860000"/>
          <a:ext cx="0" cy="238125"/>
        </a:xfrm>
        <a:prstGeom prst="line">
          <a:avLst/>
        </a:prstGeom>
        <a:noFill/>
        <a:ln w="9525">
          <a:solidFill>
            <a:srgbClr val="000000"/>
          </a:solidFill>
          <a:round/>
          <a:headEnd/>
          <a:tailEnd/>
        </a:ln>
      </xdr:spPr>
    </xdr:sp>
    <xdr:clientData/>
  </xdr:twoCellAnchor>
  <xdr:twoCellAnchor>
    <xdr:from>
      <xdr:col>30</xdr:col>
      <xdr:colOff>285750</xdr:colOff>
      <xdr:row>126</xdr:row>
      <xdr:rowOff>66675</xdr:rowOff>
    </xdr:from>
    <xdr:to>
      <xdr:col>31</xdr:col>
      <xdr:colOff>514350</xdr:colOff>
      <xdr:row>126</xdr:row>
      <xdr:rowOff>66675</xdr:rowOff>
    </xdr:to>
    <xdr:sp macro="" textlink="">
      <xdr:nvSpPr>
        <xdr:cNvPr id="24" name="Line 7"/>
        <xdr:cNvSpPr>
          <a:spLocks noChangeShapeType="1"/>
        </xdr:cNvSpPr>
      </xdr:nvSpPr>
      <xdr:spPr bwMode="auto">
        <a:xfrm>
          <a:off x="18573750" y="20469225"/>
          <a:ext cx="838200" cy="0"/>
        </a:xfrm>
        <a:prstGeom prst="line">
          <a:avLst/>
        </a:prstGeom>
        <a:noFill/>
        <a:ln w="9525">
          <a:solidFill>
            <a:srgbClr val="000000"/>
          </a:solidFill>
          <a:round/>
          <a:headEnd/>
          <a:tailEnd type="triangle" w="med" len="med"/>
        </a:ln>
      </xdr:spPr>
    </xdr:sp>
    <xdr:clientData/>
  </xdr:twoCellAnchor>
  <xdr:twoCellAnchor>
    <xdr:from>
      <xdr:col>31</xdr:col>
      <xdr:colOff>276225</xdr:colOff>
      <xdr:row>125</xdr:row>
      <xdr:rowOff>19050</xdr:rowOff>
    </xdr:from>
    <xdr:to>
      <xdr:col>31</xdr:col>
      <xdr:colOff>276225</xdr:colOff>
      <xdr:row>125</xdr:row>
      <xdr:rowOff>133350</xdr:rowOff>
    </xdr:to>
    <xdr:sp macro="" textlink="">
      <xdr:nvSpPr>
        <xdr:cNvPr id="25" name="Line 10"/>
        <xdr:cNvSpPr>
          <a:spLocks noChangeShapeType="1"/>
        </xdr:cNvSpPr>
      </xdr:nvSpPr>
      <xdr:spPr bwMode="auto">
        <a:xfrm>
          <a:off x="19173825" y="20259675"/>
          <a:ext cx="0" cy="114300"/>
        </a:xfrm>
        <a:prstGeom prst="line">
          <a:avLst/>
        </a:prstGeom>
        <a:noFill/>
        <a:ln w="9525">
          <a:solidFill>
            <a:srgbClr val="000000"/>
          </a:solidFill>
          <a:round/>
          <a:headEnd/>
          <a:tailEnd/>
        </a:ln>
      </xdr:spPr>
    </xdr:sp>
    <xdr:clientData/>
  </xdr:twoCellAnchor>
  <xdr:twoCellAnchor>
    <xdr:from>
      <xdr:col>31</xdr:col>
      <xdr:colOff>276225</xdr:colOff>
      <xdr:row>125</xdr:row>
      <xdr:rowOff>142875</xdr:rowOff>
    </xdr:from>
    <xdr:to>
      <xdr:col>31</xdr:col>
      <xdr:colOff>533400</xdr:colOff>
      <xdr:row>125</xdr:row>
      <xdr:rowOff>142875</xdr:rowOff>
    </xdr:to>
    <xdr:sp macro="" textlink="">
      <xdr:nvSpPr>
        <xdr:cNvPr id="26" name="Line 11"/>
        <xdr:cNvSpPr>
          <a:spLocks noChangeShapeType="1"/>
        </xdr:cNvSpPr>
      </xdr:nvSpPr>
      <xdr:spPr bwMode="auto">
        <a:xfrm>
          <a:off x="19173825" y="20383500"/>
          <a:ext cx="257175" cy="0"/>
        </a:xfrm>
        <a:prstGeom prst="line">
          <a:avLst/>
        </a:prstGeom>
        <a:noFill/>
        <a:ln w="9525">
          <a:solidFill>
            <a:srgbClr val="000000"/>
          </a:solidFill>
          <a:round/>
          <a:headEnd/>
          <a:tailEnd type="triangle" w="med" len="med"/>
        </a:ln>
      </xdr:spPr>
    </xdr:sp>
    <xdr:clientData/>
  </xdr:twoCellAnchor>
  <xdr:twoCellAnchor>
    <xdr:from>
      <xdr:col>34</xdr:col>
      <xdr:colOff>104775</xdr:colOff>
      <xdr:row>141</xdr:row>
      <xdr:rowOff>114300</xdr:rowOff>
    </xdr:from>
    <xdr:to>
      <xdr:col>35</xdr:col>
      <xdr:colOff>190500</xdr:colOff>
      <xdr:row>141</xdr:row>
      <xdr:rowOff>114300</xdr:rowOff>
    </xdr:to>
    <xdr:sp macro="" textlink="">
      <xdr:nvSpPr>
        <xdr:cNvPr id="27" name="Line 11"/>
        <xdr:cNvSpPr>
          <a:spLocks noChangeShapeType="1"/>
        </xdr:cNvSpPr>
      </xdr:nvSpPr>
      <xdr:spPr bwMode="auto">
        <a:xfrm>
          <a:off x="20831175" y="22945725"/>
          <a:ext cx="695325" cy="0"/>
        </a:xfrm>
        <a:prstGeom prst="line">
          <a:avLst/>
        </a:prstGeom>
        <a:noFill/>
        <a:ln w="9525">
          <a:solidFill>
            <a:srgbClr val="000000"/>
          </a:solidFill>
          <a:round/>
          <a:headEnd/>
          <a:tailEnd type="triangle" w="med" len="me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57"/>
  <sheetViews>
    <sheetView topLeftCell="A7" zoomScale="89" zoomScaleNormal="89" zoomScaleSheetLayoutView="100" workbookViewId="0">
      <selection activeCell="D8" sqref="D8:D19"/>
    </sheetView>
  </sheetViews>
  <sheetFormatPr defaultRowHeight="12.75" x14ac:dyDescent="0.2"/>
  <cols>
    <col min="1" max="1" width="11.7109375" customWidth="1"/>
    <col min="2" max="2" width="10.28515625" customWidth="1"/>
    <col min="3" max="3" width="12.28515625" customWidth="1"/>
    <col min="4" max="4" width="10.7109375" customWidth="1"/>
    <col min="5" max="5" width="10" customWidth="1"/>
    <col min="6" max="6" width="11.140625" customWidth="1"/>
    <col min="7" max="7" width="10.140625" customWidth="1"/>
    <col min="8" max="8" width="11.140625" customWidth="1"/>
    <col min="9" max="9" width="10.140625" bestFit="1" customWidth="1"/>
    <col min="10" max="10" width="2.5703125" customWidth="1"/>
    <col min="11" max="12" width="12.28515625" bestFit="1" customWidth="1"/>
  </cols>
  <sheetData>
    <row r="1" spans="1:11" x14ac:dyDescent="0.2">
      <c r="A1" s="2"/>
      <c r="B1" s="2"/>
      <c r="C1" s="2"/>
      <c r="D1" s="2"/>
      <c r="E1" s="2"/>
      <c r="F1" s="2"/>
      <c r="G1" s="2"/>
      <c r="H1" s="3"/>
      <c r="I1" s="4"/>
      <c r="J1" s="2"/>
      <c r="K1" s="2"/>
    </row>
    <row r="2" spans="1:11" x14ac:dyDescent="0.2">
      <c r="A2" s="2"/>
      <c r="B2" s="2"/>
      <c r="C2" s="2"/>
      <c r="D2" s="2"/>
      <c r="E2" s="2"/>
      <c r="F2" s="2"/>
      <c r="G2" s="2"/>
      <c r="H2" s="2"/>
      <c r="I2" s="2"/>
      <c r="J2" s="2"/>
      <c r="K2" s="2"/>
    </row>
    <row r="3" spans="1:11" ht="15.75" x14ac:dyDescent="0.25">
      <c r="A3" s="2"/>
      <c r="B3" s="2"/>
      <c r="C3" s="2"/>
      <c r="D3" s="5" t="s">
        <v>65</v>
      </c>
      <c r="E3" s="6"/>
      <c r="F3" s="2"/>
      <c r="G3" s="2"/>
      <c r="H3" s="2"/>
      <c r="I3" s="2"/>
      <c r="J3" s="2"/>
      <c r="K3" s="2"/>
    </row>
    <row r="4" spans="1:11" x14ac:dyDescent="0.2">
      <c r="A4" s="2"/>
      <c r="B4" s="2"/>
      <c r="C4" s="2"/>
      <c r="D4" s="2"/>
      <c r="E4" s="2"/>
      <c r="F4" s="2"/>
      <c r="G4" s="2"/>
      <c r="H4" s="2"/>
      <c r="I4" s="2"/>
      <c r="J4" s="2"/>
      <c r="K4" s="2"/>
    </row>
    <row r="5" spans="1:11" x14ac:dyDescent="0.2">
      <c r="A5" s="7" t="s">
        <v>0</v>
      </c>
      <c r="B5" s="2"/>
      <c r="C5" s="2"/>
      <c r="D5" s="2"/>
      <c r="E5" s="2"/>
      <c r="F5" s="2"/>
      <c r="G5" s="2"/>
      <c r="H5" s="2"/>
      <c r="I5" s="2"/>
      <c r="J5" s="2"/>
      <c r="K5" s="2"/>
    </row>
    <row r="6" spans="1:11" x14ac:dyDescent="0.2">
      <c r="A6" s="8" t="s">
        <v>1</v>
      </c>
      <c r="B6" s="2"/>
      <c r="C6" s="2"/>
      <c r="D6" s="2"/>
      <c r="E6" s="2"/>
      <c r="F6" s="3"/>
      <c r="G6" s="3"/>
      <c r="H6" s="3"/>
      <c r="I6" s="3"/>
      <c r="J6" s="3"/>
      <c r="K6" s="2"/>
    </row>
    <row r="7" spans="1:11" x14ac:dyDescent="0.2">
      <c r="A7" s="8"/>
      <c r="B7" s="2"/>
      <c r="C7" s="2"/>
      <c r="D7" s="2"/>
      <c r="E7" s="2"/>
      <c r="F7" s="2"/>
      <c r="G7" s="3"/>
      <c r="H7" s="3"/>
      <c r="I7" s="3"/>
      <c r="J7" s="3"/>
      <c r="K7" s="2"/>
    </row>
    <row r="8" spans="1:11" x14ac:dyDescent="0.2">
      <c r="A8" s="2" t="s">
        <v>36</v>
      </c>
      <c r="B8" s="2"/>
      <c r="C8" s="3"/>
      <c r="D8" s="1"/>
      <c r="E8" s="2"/>
      <c r="F8" s="9" t="s">
        <v>45</v>
      </c>
      <c r="G8" s="10"/>
      <c r="H8" s="11">
        <f>C86</f>
        <v>0</v>
      </c>
      <c r="I8" s="3"/>
      <c r="J8" s="3"/>
      <c r="K8" s="2"/>
    </row>
    <row r="9" spans="1:11" x14ac:dyDescent="0.2">
      <c r="A9" s="2" t="s">
        <v>50</v>
      </c>
      <c r="B9" s="2"/>
      <c r="C9" s="3"/>
      <c r="D9" s="1"/>
      <c r="E9" s="2"/>
      <c r="F9" s="2"/>
      <c r="G9" s="3"/>
      <c r="H9" s="3"/>
      <c r="I9" s="3"/>
      <c r="J9" s="3"/>
      <c r="K9" s="2"/>
    </row>
    <row r="10" spans="1:11" x14ac:dyDescent="0.2">
      <c r="A10" s="2"/>
      <c r="B10" s="2"/>
      <c r="C10" s="3"/>
      <c r="D10" s="1"/>
      <c r="E10" s="2"/>
      <c r="F10" s="2"/>
      <c r="G10" s="3"/>
      <c r="H10" s="3"/>
      <c r="I10" s="3"/>
      <c r="J10" s="3"/>
      <c r="K10" s="2"/>
    </row>
    <row r="11" spans="1:11" x14ac:dyDescent="0.2">
      <c r="A11" s="2" t="s">
        <v>2</v>
      </c>
      <c r="B11" s="2"/>
      <c r="C11" s="2"/>
      <c r="D11" s="12"/>
      <c r="E11" s="2"/>
      <c r="F11" s="2"/>
      <c r="G11" s="3"/>
      <c r="H11" s="3"/>
      <c r="I11" s="3"/>
      <c r="J11" s="3"/>
      <c r="K11" s="2"/>
    </row>
    <row r="12" spans="1:11" x14ac:dyDescent="0.2">
      <c r="A12" s="2" t="s">
        <v>3</v>
      </c>
      <c r="B12" s="2"/>
      <c r="C12" s="2"/>
      <c r="D12" s="13"/>
      <c r="E12" s="2"/>
      <c r="F12" s="14"/>
      <c r="G12" s="15"/>
      <c r="H12" s="15"/>
      <c r="I12" s="16"/>
      <c r="J12" s="3"/>
      <c r="K12" s="2"/>
    </row>
    <row r="13" spans="1:11" x14ac:dyDescent="0.2">
      <c r="A13" s="2" t="s">
        <v>4</v>
      </c>
      <c r="B13" s="2"/>
      <c r="C13" s="2"/>
      <c r="D13" s="17"/>
      <c r="E13" s="2"/>
      <c r="F13" s="15"/>
      <c r="G13" s="15"/>
      <c r="H13" s="18"/>
      <c r="I13" s="16"/>
      <c r="J13" s="3"/>
      <c r="K13" s="2"/>
    </row>
    <row r="14" spans="1:11" x14ac:dyDescent="0.2">
      <c r="A14" s="2" t="s">
        <v>5</v>
      </c>
      <c r="B14" s="2"/>
      <c r="C14" s="2"/>
      <c r="D14" s="17"/>
      <c r="E14" s="2"/>
      <c r="F14" s="19"/>
      <c r="G14" s="15"/>
      <c r="H14" s="18"/>
      <c r="I14" s="16"/>
      <c r="J14" s="3"/>
      <c r="K14" s="2"/>
    </row>
    <row r="15" spans="1:11" x14ac:dyDescent="0.2">
      <c r="A15" s="2" t="s">
        <v>24</v>
      </c>
      <c r="B15" s="2"/>
      <c r="C15" s="2"/>
      <c r="D15" s="20"/>
      <c r="E15" s="2"/>
      <c r="F15" s="15"/>
      <c r="G15" s="15"/>
      <c r="H15" s="18"/>
      <c r="I15" s="16"/>
      <c r="J15" s="2"/>
      <c r="K15" s="2"/>
    </row>
    <row r="16" spans="1:11" x14ac:dyDescent="0.2">
      <c r="A16" s="2" t="s">
        <v>33</v>
      </c>
      <c r="B16" s="2"/>
      <c r="C16" s="2"/>
      <c r="D16" s="76"/>
      <c r="E16" s="2"/>
      <c r="F16" s="15"/>
      <c r="G16" s="15"/>
      <c r="H16" s="18"/>
      <c r="I16" s="16"/>
      <c r="J16" s="2"/>
      <c r="K16" s="2"/>
    </row>
    <row r="17" spans="1:11" x14ac:dyDescent="0.2">
      <c r="A17" s="2" t="s">
        <v>34</v>
      </c>
      <c r="B17" s="2"/>
      <c r="C17" s="2"/>
      <c r="D17" s="75"/>
      <c r="E17" s="2"/>
      <c r="F17" s="15"/>
      <c r="G17" s="15"/>
      <c r="H17" s="15"/>
      <c r="I17" s="15"/>
      <c r="J17" s="2"/>
      <c r="K17" s="2"/>
    </row>
    <row r="18" spans="1:11" x14ac:dyDescent="0.2">
      <c r="A18" s="2" t="s">
        <v>51</v>
      </c>
      <c r="B18" s="2"/>
      <c r="C18" s="2"/>
      <c r="D18" s="74"/>
      <c r="E18" s="2"/>
      <c r="F18" s="15"/>
      <c r="G18" s="15"/>
      <c r="H18" s="15"/>
      <c r="I18" s="15"/>
      <c r="J18" s="2"/>
      <c r="K18" s="2"/>
    </row>
    <row r="19" spans="1:11" x14ac:dyDescent="0.2">
      <c r="A19" s="2" t="s">
        <v>52</v>
      </c>
      <c r="B19" s="3"/>
      <c r="C19" s="3"/>
      <c r="D19" s="74"/>
      <c r="E19" s="2"/>
      <c r="F19" s="15"/>
      <c r="G19" s="15"/>
      <c r="H19" s="15"/>
      <c r="I19" s="21"/>
      <c r="J19" s="2"/>
      <c r="K19" s="2"/>
    </row>
    <row r="20" spans="1:11" x14ac:dyDescent="0.2">
      <c r="A20" s="3"/>
      <c r="B20" s="3"/>
      <c r="C20" s="3"/>
      <c r="D20" s="3"/>
      <c r="E20" s="2"/>
      <c r="F20" s="15"/>
      <c r="G20" s="15"/>
      <c r="H20" s="15"/>
      <c r="I20" s="21"/>
      <c r="J20" s="2"/>
      <c r="K20" s="2"/>
    </row>
    <row r="21" spans="1:11" x14ac:dyDescent="0.2">
      <c r="A21" s="3"/>
      <c r="B21" s="3"/>
      <c r="C21" s="3"/>
      <c r="D21" s="3"/>
      <c r="E21" s="2"/>
      <c r="F21" s="15"/>
      <c r="G21" s="15"/>
      <c r="H21" s="15"/>
      <c r="I21" s="21"/>
      <c r="J21" s="2"/>
      <c r="K21" s="2"/>
    </row>
    <row r="22" spans="1:11" x14ac:dyDescent="0.2">
      <c r="A22" s="3"/>
      <c r="B22" s="3"/>
      <c r="C22" s="3"/>
      <c r="D22" s="3"/>
      <c r="E22" s="2"/>
      <c r="F22" s="15"/>
      <c r="G22" s="15"/>
      <c r="H22" s="15"/>
      <c r="I22" s="21"/>
      <c r="J22" s="2"/>
      <c r="K22" s="2"/>
    </row>
    <row r="23" spans="1:11" x14ac:dyDescent="0.2">
      <c r="A23" s="8" t="s">
        <v>68</v>
      </c>
      <c r="B23" s="2"/>
      <c r="C23" s="2"/>
      <c r="D23" s="2"/>
      <c r="E23" s="2"/>
      <c r="F23" s="15"/>
      <c r="G23" s="15"/>
      <c r="H23" s="15"/>
      <c r="I23" s="21"/>
      <c r="J23" s="2"/>
      <c r="K23" s="2"/>
    </row>
    <row r="24" spans="1:11" ht="38.25" x14ac:dyDescent="0.2">
      <c r="A24" s="2"/>
      <c r="B24" s="2"/>
      <c r="C24" s="2"/>
      <c r="D24" s="38" t="s">
        <v>41</v>
      </c>
      <c r="E24" s="2"/>
      <c r="F24" s="15"/>
      <c r="G24" s="15"/>
      <c r="H24" s="15"/>
      <c r="I24" s="21"/>
      <c r="J24" s="2"/>
      <c r="K24" s="2"/>
    </row>
    <row r="25" spans="1:11" x14ac:dyDescent="0.2">
      <c r="A25" s="2" t="s">
        <v>69</v>
      </c>
      <c r="B25" s="2"/>
      <c r="C25" s="2"/>
      <c r="D25" s="40"/>
      <c r="E25" s="2"/>
      <c r="F25" s="15"/>
      <c r="G25" s="15"/>
      <c r="H25" s="15"/>
      <c r="I25" s="21"/>
      <c r="J25" s="2"/>
      <c r="K25" s="2"/>
    </row>
    <row r="26" spans="1:11" x14ac:dyDescent="0.2">
      <c r="A26" s="78" t="s">
        <v>70</v>
      </c>
      <c r="B26" s="3"/>
      <c r="C26" s="3"/>
      <c r="D26" s="41"/>
      <c r="E26" s="2"/>
      <c r="F26" s="15"/>
      <c r="G26" s="15"/>
      <c r="H26" s="15"/>
      <c r="I26" s="21"/>
      <c r="J26" s="2"/>
      <c r="K26" s="2"/>
    </row>
    <row r="27" spans="1:11" x14ac:dyDescent="0.2">
      <c r="A27" s="78" t="s">
        <v>71</v>
      </c>
      <c r="B27" s="3"/>
      <c r="C27" s="3"/>
      <c r="D27" s="40"/>
      <c r="E27" s="2"/>
      <c r="F27" s="15"/>
      <c r="G27" s="15"/>
      <c r="H27" s="15"/>
      <c r="I27" s="21"/>
      <c r="J27" s="2"/>
      <c r="K27" s="2"/>
    </row>
    <row r="28" spans="1:11" x14ac:dyDescent="0.2">
      <c r="A28" s="78"/>
      <c r="B28" s="2"/>
      <c r="C28" s="2"/>
      <c r="D28" s="42"/>
      <c r="E28" s="2"/>
      <c r="F28" s="15"/>
      <c r="G28" s="15"/>
      <c r="H28" s="15"/>
      <c r="I28" s="21"/>
      <c r="J28" s="2"/>
      <c r="K28" s="2"/>
    </row>
    <row r="29" spans="1:11" x14ac:dyDescent="0.2">
      <c r="A29" s="78"/>
      <c r="B29" s="2"/>
      <c r="C29" s="2"/>
      <c r="D29" s="42"/>
      <c r="E29" s="2"/>
      <c r="F29" s="15"/>
      <c r="G29" s="15"/>
      <c r="H29" s="15"/>
      <c r="I29" s="21"/>
      <c r="J29" s="2"/>
      <c r="K29" s="2"/>
    </row>
    <row r="30" spans="1:11" ht="13.5" thickBot="1" x14ac:dyDescent="0.25">
      <c r="A30" s="78" t="s">
        <v>72</v>
      </c>
      <c r="B30" s="2"/>
      <c r="C30" s="2"/>
      <c r="D30" s="43">
        <f>SUM(D25:D29)</f>
        <v>0</v>
      </c>
      <c r="E30" s="2"/>
      <c r="F30" s="15"/>
      <c r="G30" s="15"/>
      <c r="H30" s="15"/>
      <c r="I30" s="21"/>
      <c r="J30" s="2"/>
      <c r="K30" s="2"/>
    </row>
    <row r="31" spans="1:11" ht="13.5" thickTop="1" x14ac:dyDescent="0.2">
      <c r="A31" s="8" t="s">
        <v>6</v>
      </c>
      <c r="B31" s="2"/>
      <c r="C31" s="2"/>
      <c r="D31" s="2"/>
      <c r="E31" s="2"/>
      <c r="F31" s="2"/>
      <c r="G31" s="2"/>
      <c r="H31" s="2"/>
      <c r="I31" s="2"/>
      <c r="J31" s="2"/>
      <c r="K31" s="2"/>
    </row>
    <row r="32" spans="1:11" x14ac:dyDescent="0.2">
      <c r="A32" s="8"/>
      <c r="B32" s="2"/>
      <c r="C32" s="2"/>
      <c r="D32" s="2"/>
      <c r="E32" s="2"/>
      <c r="F32" s="2"/>
      <c r="G32" s="2"/>
      <c r="H32" s="2"/>
      <c r="I32" s="2"/>
      <c r="J32" s="2"/>
      <c r="K32" s="2"/>
    </row>
    <row r="33" spans="1:11" x14ac:dyDescent="0.2">
      <c r="A33" s="2" t="s">
        <v>46</v>
      </c>
      <c r="B33" s="2"/>
      <c r="C33" s="2"/>
      <c r="D33" s="2"/>
      <c r="E33" s="2"/>
      <c r="F33" s="2"/>
      <c r="G33" s="2"/>
      <c r="H33" s="2"/>
      <c r="I33" s="2"/>
      <c r="J33" s="2"/>
      <c r="K33" s="2"/>
    </row>
    <row r="34" spans="1:11" x14ac:dyDescent="0.2">
      <c r="A34" s="2" t="s">
        <v>35</v>
      </c>
      <c r="B34" s="2"/>
      <c r="C34" s="13">
        <f>D8+D9+D10</f>
        <v>0</v>
      </c>
      <c r="D34" s="3"/>
      <c r="E34" s="2"/>
      <c r="F34" s="2"/>
      <c r="G34" s="2"/>
      <c r="H34" s="2"/>
      <c r="I34" s="2"/>
      <c r="J34" s="2"/>
      <c r="K34" s="2"/>
    </row>
    <row r="35" spans="1:11" x14ac:dyDescent="0.2">
      <c r="A35" s="8"/>
      <c r="B35" s="2"/>
      <c r="C35" s="2"/>
      <c r="D35" s="2"/>
      <c r="E35" s="2"/>
      <c r="F35" s="2"/>
      <c r="G35" s="2"/>
      <c r="H35" s="2"/>
      <c r="I35" s="2"/>
      <c r="J35" s="2"/>
      <c r="K35" s="2"/>
    </row>
    <row r="36" spans="1:11" ht="38.25" customHeight="1" thickBot="1" x14ac:dyDescent="0.25">
      <c r="A36" s="2"/>
      <c r="B36" s="22" t="s">
        <v>7</v>
      </c>
      <c r="C36" s="22" t="s">
        <v>8</v>
      </c>
      <c r="D36" s="22" t="s">
        <v>9</v>
      </c>
      <c r="E36" s="22" t="s">
        <v>10</v>
      </c>
      <c r="F36" s="22" t="s">
        <v>12</v>
      </c>
      <c r="G36" s="22" t="s">
        <v>11</v>
      </c>
      <c r="H36" s="77" t="s">
        <v>43</v>
      </c>
      <c r="I36" s="2"/>
      <c r="J36" s="2"/>
      <c r="K36" s="2"/>
    </row>
    <row r="37" spans="1:11" x14ac:dyDescent="0.2">
      <c r="A37" s="2"/>
      <c r="B37" s="23">
        <v>1</v>
      </c>
      <c r="C37" s="23">
        <v>0.33</v>
      </c>
      <c r="D37" s="23"/>
      <c r="E37" s="24"/>
      <c r="F37" s="23"/>
      <c r="G37" s="24">
        <f>C37*E37</f>
        <v>0</v>
      </c>
      <c r="H37" s="24">
        <f>C34-G37</f>
        <v>0</v>
      </c>
      <c r="I37" s="2"/>
      <c r="J37" s="2"/>
      <c r="K37" s="2"/>
    </row>
    <row r="38" spans="1:11" x14ac:dyDescent="0.2">
      <c r="A38" s="2"/>
      <c r="B38" s="23">
        <v>2</v>
      </c>
      <c r="C38" s="23">
        <v>0.45</v>
      </c>
      <c r="D38" s="23"/>
      <c r="E38" s="25"/>
      <c r="F38" s="23"/>
      <c r="G38" s="26">
        <f>C38*E38</f>
        <v>0</v>
      </c>
      <c r="H38" s="25">
        <f>H37-G38</f>
        <v>0</v>
      </c>
      <c r="I38" s="2"/>
      <c r="J38" s="2"/>
      <c r="K38" s="2"/>
    </row>
    <row r="39" spans="1:11" x14ac:dyDescent="0.2">
      <c r="A39" s="2"/>
      <c r="B39" s="23">
        <v>3</v>
      </c>
      <c r="C39" s="23">
        <v>0.15</v>
      </c>
      <c r="D39" s="23"/>
      <c r="E39" s="25"/>
      <c r="F39" s="23"/>
      <c r="G39" s="26">
        <f>C39*E39</f>
        <v>0</v>
      </c>
      <c r="H39" s="25">
        <f>H38-G39</f>
        <v>0</v>
      </c>
      <c r="I39" s="2"/>
      <c r="J39" s="2"/>
      <c r="K39" s="2"/>
    </row>
    <row r="40" spans="1:11" x14ac:dyDescent="0.2">
      <c r="A40" s="2"/>
      <c r="B40" s="23">
        <v>4</v>
      </c>
      <c r="C40" s="23">
        <v>7.0000000000000007E-2</v>
      </c>
      <c r="D40" s="23"/>
      <c r="E40" s="25"/>
      <c r="F40" s="23"/>
      <c r="G40" s="26">
        <f>C40*E40</f>
        <v>0</v>
      </c>
      <c r="H40" s="25">
        <f>H39-G40</f>
        <v>0</v>
      </c>
      <c r="I40" s="2"/>
      <c r="J40" s="2"/>
      <c r="K40" s="2"/>
    </row>
    <row r="41" spans="1:11" x14ac:dyDescent="0.2">
      <c r="A41" s="2"/>
      <c r="B41" s="2"/>
      <c r="C41" s="2"/>
      <c r="D41" s="2"/>
      <c r="E41" s="27"/>
      <c r="F41" s="2"/>
      <c r="G41" s="2"/>
      <c r="H41" s="2"/>
      <c r="I41" s="2"/>
      <c r="J41" s="2"/>
      <c r="K41" s="2"/>
    </row>
    <row r="42" spans="1:11" x14ac:dyDescent="0.2">
      <c r="A42" s="100"/>
      <c r="B42" s="100"/>
      <c r="C42" s="100"/>
      <c r="D42" s="100"/>
      <c r="E42" s="100"/>
      <c r="F42" s="100"/>
      <c r="G42" s="100"/>
      <c r="H42" s="100"/>
      <c r="I42" s="100"/>
      <c r="J42" s="2"/>
      <c r="K42" s="2"/>
    </row>
    <row r="43" spans="1:11" x14ac:dyDescent="0.2">
      <c r="A43" s="100"/>
      <c r="B43" s="100"/>
      <c r="C43" s="100"/>
      <c r="D43" s="100"/>
      <c r="E43" s="100"/>
      <c r="F43" s="100"/>
      <c r="G43" s="100"/>
      <c r="H43" s="100"/>
      <c r="I43" s="100"/>
      <c r="J43" s="2"/>
      <c r="K43" s="3"/>
    </row>
    <row r="44" spans="1:11" x14ac:dyDescent="0.2">
      <c r="A44" s="2"/>
      <c r="B44" s="2"/>
      <c r="C44" s="2"/>
      <c r="D44" s="2"/>
      <c r="E44" s="2"/>
      <c r="F44" s="2"/>
      <c r="G44" s="2"/>
      <c r="H44" s="2"/>
      <c r="I44" s="2"/>
      <c r="J44" s="2"/>
      <c r="K44" s="2"/>
    </row>
    <row r="45" spans="1:11" x14ac:dyDescent="0.2">
      <c r="A45" s="100" t="s">
        <v>40</v>
      </c>
      <c r="B45" s="100"/>
      <c r="C45" s="100"/>
      <c r="D45" s="100"/>
      <c r="E45" s="100"/>
      <c r="F45" s="100"/>
      <c r="G45" s="100"/>
      <c r="H45" s="100"/>
      <c r="I45" s="100"/>
      <c r="J45" s="2"/>
      <c r="K45" s="2"/>
    </row>
    <row r="46" spans="1:11" x14ac:dyDescent="0.2">
      <c r="A46" s="2"/>
      <c r="B46" s="2"/>
      <c r="C46" s="2"/>
      <c r="D46" s="2"/>
      <c r="E46" s="2"/>
      <c r="F46" s="2"/>
      <c r="G46" s="2"/>
      <c r="H46" s="2"/>
      <c r="I46" s="2"/>
      <c r="J46" s="2"/>
      <c r="K46" s="2"/>
    </row>
    <row r="47" spans="1:11" x14ac:dyDescent="0.2">
      <c r="A47" s="8" t="s">
        <v>37</v>
      </c>
      <c r="B47" s="2"/>
      <c r="C47" s="2"/>
      <c r="D47" s="2"/>
      <c r="E47" s="2"/>
      <c r="F47" s="2"/>
      <c r="G47" s="2"/>
      <c r="H47" s="2"/>
      <c r="I47" s="2"/>
      <c r="J47" s="2"/>
      <c r="K47" s="2"/>
    </row>
    <row r="48" spans="1:11" ht="13.5" thickBot="1" x14ac:dyDescent="0.25">
      <c r="A48" s="2"/>
      <c r="B48" s="2"/>
      <c r="C48" s="3"/>
      <c r="D48" s="3"/>
      <c r="E48" s="28" t="s">
        <v>14</v>
      </c>
      <c r="F48" s="28" t="s">
        <v>25</v>
      </c>
      <c r="G48" s="28" t="s">
        <v>26</v>
      </c>
      <c r="H48" s="28" t="s">
        <v>15</v>
      </c>
      <c r="I48" s="2"/>
      <c r="J48" s="2"/>
      <c r="K48" s="2"/>
    </row>
    <row r="49" spans="1:11" x14ac:dyDescent="0.2">
      <c r="A49" s="2" t="s">
        <v>77</v>
      </c>
      <c r="B49" s="2"/>
      <c r="C49" s="3"/>
      <c r="D49" s="3"/>
      <c r="E49" s="29"/>
      <c r="F49" s="29"/>
      <c r="G49" s="29"/>
      <c r="H49" s="29"/>
      <c r="I49" s="2"/>
      <c r="J49" s="2"/>
      <c r="K49" s="2"/>
    </row>
    <row r="50" spans="1:11" x14ac:dyDescent="0.2">
      <c r="A50" s="2" t="s">
        <v>78</v>
      </c>
      <c r="B50" s="2"/>
      <c r="C50" s="3"/>
      <c r="D50" s="3"/>
      <c r="E50" s="30"/>
      <c r="F50" s="30"/>
      <c r="G50" s="30"/>
      <c r="H50" s="30"/>
      <c r="I50" s="2"/>
      <c r="J50" s="2"/>
      <c r="K50" s="2"/>
    </row>
    <row r="51" spans="1:11" x14ac:dyDescent="0.2">
      <c r="A51" s="2" t="s">
        <v>79</v>
      </c>
      <c r="B51" s="2"/>
      <c r="C51" s="3"/>
      <c r="D51" s="3"/>
      <c r="E51" s="30"/>
      <c r="F51" s="30"/>
      <c r="G51" s="30"/>
      <c r="H51" s="30"/>
      <c r="I51" s="2"/>
      <c r="J51" s="2"/>
      <c r="K51" s="2"/>
    </row>
    <row r="52" spans="1:11" x14ac:dyDescent="0.2">
      <c r="A52" s="2"/>
      <c r="B52" s="2"/>
      <c r="C52" s="3"/>
      <c r="D52" s="3"/>
      <c r="E52" s="30"/>
      <c r="F52" s="30"/>
      <c r="G52" s="30"/>
      <c r="H52" s="30"/>
      <c r="I52" s="2"/>
      <c r="J52" s="2"/>
      <c r="K52" s="2"/>
    </row>
    <row r="53" spans="1:11" x14ac:dyDescent="0.2">
      <c r="A53" s="2" t="s">
        <v>27</v>
      </c>
      <c r="B53" s="2" t="s">
        <v>80</v>
      </c>
      <c r="C53" s="3"/>
      <c r="D53" s="3"/>
      <c r="E53" s="31">
        <f>E49*E50</f>
        <v>0</v>
      </c>
      <c r="F53" s="31">
        <f>F49*F50</f>
        <v>0</v>
      </c>
      <c r="G53" s="31">
        <f>G49*G50</f>
        <v>0</v>
      </c>
      <c r="H53" s="31">
        <f>H49*H50</f>
        <v>0</v>
      </c>
      <c r="I53" s="2"/>
      <c r="J53" s="2"/>
      <c r="K53" s="2"/>
    </row>
    <row r="54" spans="1:11" x14ac:dyDescent="0.2">
      <c r="A54" s="78" t="s">
        <v>53</v>
      </c>
      <c r="B54" s="78" t="s">
        <v>81</v>
      </c>
      <c r="C54" s="3"/>
      <c r="D54" s="3"/>
      <c r="E54" s="32">
        <f>E49*E51</f>
        <v>0</v>
      </c>
      <c r="F54" s="32">
        <f>F49*F51</f>
        <v>0</v>
      </c>
      <c r="G54" s="32">
        <f>G49*G51</f>
        <v>0</v>
      </c>
      <c r="H54" s="32">
        <f>H49*H51</f>
        <v>0</v>
      </c>
      <c r="I54" s="2"/>
      <c r="J54" s="2"/>
      <c r="K54" s="2"/>
    </row>
    <row r="55" spans="1:11" x14ac:dyDescent="0.2">
      <c r="A55" s="78" t="s">
        <v>54</v>
      </c>
      <c r="B55" s="2"/>
      <c r="C55" s="3"/>
      <c r="D55" s="3"/>
      <c r="E55" s="33">
        <f>G37</f>
        <v>0</v>
      </c>
      <c r="F55" s="33">
        <f>G38</f>
        <v>0</v>
      </c>
      <c r="G55" s="33">
        <f>G39</f>
        <v>0</v>
      </c>
      <c r="H55" s="33">
        <f>G40</f>
        <v>0</v>
      </c>
      <c r="I55" s="2"/>
      <c r="J55" s="2"/>
      <c r="K55" s="2"/>
    </row>
    <row r="56" spans="1:11" x14ac:dyDescent="0.2">
      <c r="A56" s="78" t="s">
        <v>55</v>
      </c>
      <c r="B56" s="2"/>
      <c r="C56" s="3"/>
      <c r="D56" s="3"/>
      <c r="E56" s="31">
        <f>E53-E54-E55</f>
        <v>0</v>
      </c>
      <c r="F56" s="31">
        <f>F53-F54-F55</f>
        <v>0</v>
      </c>
      <c r="G56" s="31">
        <f>G53-G54-G55</f>
        <v>0</v>
      </c>
      <c r="H56" s="31">
        <f>H53-H54-H55</f>
        <v>0</v>
      </c>
      <c r="I56" s="2"/>
      <c r="J56" s="2"/>
      <c r="K56" s="2"/>
    </row>
    <row r="57" spans="1:11" x14ac:dyDescent="0.2">
      <c r="A57" s="78" t="s">
        <v>56</v>
      </c>
      <c r="B57" s="2"/>
      <c r="C57" s="3"/>
      <c r="D57" s="3"/>
      <c r="E57" s="33">
        <f>E56*$D$13</f>
        <v>0</v>
      </c>
      <c r="F57" s="33">
        <f>F56*$D$13</f>
        <v>0</v>
      </c>
      <c r="G57" s="33">
        <f>G56*$D$13</f>
        <v>0</v>
      </c>
      <c r="H57" s="33">
        <f>H56*D13</f>
        <v>0</v>
      </c>
      <c r="I57" s="2"/>
      <c r="J57" s="2"/>
      <c r="K57" s="2"/>
    </row>
    <row r="58" spans="1:11" x14ac:dyDescent="0.2">
      <c r="A58" s="78" t="s">
        <v>57</v>
      </c>
      <c r="B58" s="2"/>
      <c r="C58" s="3"/>
      <c r="D58" s="3"/>
      <c r="E58" s="31">
        <f>E56-E57</f>
        <v>0</v>
      </c>
      <c r="F58" s="31">
        <f>F56-F57</f>
        <v>0</v>
      </c>
      <c r="G58" s="31">
        <f>G56-G57</f>
        <v>0</v>
      </c>
      <c r="H58" s="31">
        <f>H56-H57</f>
        <v>0</v>
      </c>
      <c r="I58" s="2"/>
      <c r="J58" s="2"/>
      <c r="K58" s="2"/>
    </row>
    <row r="59" spans="1:11" x14ac:dyDescent="0.2">
      <c r="A59" s="78" t="s">
        <v>58</v>
      </c>
      <c r="B59" s="2"/>
      <c r="C59" s="3"/>
      <c r="D59" s="3"/>
      <c r="E59" s="33">
        <f>E55</f>
        <v>0</v>
      </c>
      <c r="F59" s="33">
        <f>F55</f>
        <v>0</v>
      </c>
      <c r="G59" s="33">
        <f>G55</f>
        <v>0</v>
      </c>
      <c r="H59" s="33">
        <f>H55</f>
        <v>0</v>
      </c>
      <c r="I59" s="2"/>
      <c r="J59" s="2"/>
      <c r="K59" s="2"/>
    </row>
    <row r="60" spans="1:11" ht="13.5" thickBot="1" x14ac:dyDescent="0.25">
      <c r="A60" s="78" t="s">
        <v>59</v>
      </c>
      <c r="B60" s="2"/>
      <c r="C60" s="3"/>
      <c r="D60" s="3"/>
      <c r="E60" s="34">
        <f>E58+E59</f>
        <v>0</v>
      </c>
      <c r="F60" s="34">
        <f>F58+F59</f>
        <v>0</v>
      </c>
      <c r="G60" s="34">
        <f>G58+G59</f>
        <v>0</v>
      </c>
      <c r="H60" s="34">
        <f>H58+H59</f>
        <v>0</v>
      </c>
      <c r="I60" s="2"/>
      <c r="J60" s="2"/>
      <c r="K60" s="2"/>
    </row>
    <row r="61" spans="1:11" ht="13.5" thickTop="1" x14ac:dyDescent="0.2">
      <c r="A61" s="2"/>
      <c r="B61" s="2"/>
      <c r="C61" s="2"/>
      <c r="D61" s="2"/>
      <c r="E61" s="2"/>
      <c r="F61" s="2"/>
      <c r="G61" s="2"/>
      <c r="H61" s="2"/>
      <c r="I61" s="2"/>
      <c r="J61" s="2"/>
      <c r="K61" s="2"/>
    </row>
    <row r="62" spans="1:11" ht="13.5" thickBot="1" x14ac:dyDescent="0.25">
      <c r="A62" s="2"/>
      <c r="B62" s="2"/>
      <c r="C62" s="3"/>
      <c r="D62" s="35"/>
      <c r="E62" s="28"/>
      <c r="F62" s="28"/>
      <c r="G62" s="28"/>
      <c r="H62" s="28"/>
      <c r="I62" s="2"/>
      <c r="J62" s="2"/>
      <c r="K62" s="2"/>
    </row>
    <row r="63" spans="1:11" x14ac:dyDescent="0.2">
      <c r="A63" s="2"/>
      <c r="B63" s="2"/>
      <c r="C63" s="3"/>
      <c r="D63" s="2"/>
      <c r="E63" s="36"/>
      <c r="F63" s="36"/>
      <c r="G63" s="36"/>
      <c r="H63" s="36"/>
      <c r="I63" s="2"/>
      <c r="J63" s="2"/>
      <c r="K63" s="2"/>
    </row>
    <row r="64" spans="1:11" x14ac:dyDescent="0.2">
      <c r="A64" s="8" t="s">
        <v>60</v>
      </c>
      <c r="B64" s="2"/>
      <c r="C64" s="2"/>
      <c r="D64" s="2"/>
      <c r="E64" s="2"/>
      <c r="F64" s="2"/>
      <c r="G64" s="2"/>
      <c r="H64" s="2"/>
      <c r="I64" s="2"/>
      <c r="J64" s="2"/>
      <c r="K64" s="2"/>
    </row>
    <row r="65" spans="1:12" ht="24.75" customHeight="1" thickBot="1" x14ac:dyDescent="0.25">
      <c r="A65" s="8" t="s">
        <v>39</v>
      </c>
      <c r="B65" s="2"/>
      <c r="C65" s="2"/>
      <c r="D65" s="2"/>
      <c r="E65" s="2"/>
      <c r="F65" s="101" t="s">
        <v>42</v>
      </c>
      <c r="G65" s="101"/>
      <c r="H65" s="2"/>
      <c r="I65" s="2"/>
      <c r="J65" s="2"/>
      <c r="K65" s="2"/>
    </row>
    <row r="66" spans="1:12" ht="38.25" x14ac:dyDescent="0.2">
      <c r="A66" s="2"/>
      <c r="B66" s="2"/>
      <c r="C66" s="2"/>
      <c r="D66" s="38" t="s">
        <v>41</v>
      </c>
      <c r="E66" s="2"/>
      <c r="H66" s="2"/>
      <c r="I66" s="2"/>
      <c r="J66" s="2"/>
      <c r="K66" s="39">
        <v>25000</v>
      </c>
      <c r="L66" s="39">
        <v>10000</v>
      </c>
    </row>
    <row r="67" spans="1:12" x14ac:dyDescent="0.2">
      <c r="A67" s="2" t="s">
        <v>61</v>
      </c>
      <c r="B67" s="2"/>
      <c r="C67" s="2"/>
      <c r="D67" s="40"/>
      <c r="E67" s="2"/>
      <c r="F67" s="40"/>
      <c r="G67" s="40"/>
      <c r="H67" s="2"/>
      <c r="I67" s="2"/>
      <c r="J67" s="2"/>
      <c r="K67" s="2"/>
    </row>
    <row r="68" spans="1:12" x14ac:dyDescent="0.2">
      <c r="A68" s="78" t="s">
        <v>62</v>
      </c>
      <c r="B68" s="3"/>
      <c r="C68" s="3"/>
      <c r="D68" s="41"/>
      <c r="E68" s="2"/>
      <c r="F68" s="41"/>
      <c r="G68" s="41"/>
      <c r="H68" s="2"/>
      <c r="I68" s="2"/>
      <c r="J68" s="2"/>
      <c r="K68" s="2"/>
    </row>
    <row r="69" spans="1:12" x14ac:dyDescent="0.2">
      <c r="A69" s="78" t="s">
        <v>63</v>
      </c>
      <c r="B69" s="3"/>
      <c r="C69" s="3"/>
      <c r="D69" s="40">
        <f>D67-D68</f>
        <v>0</v>
      </c>
      <c r="E69" s="2"/>
      <c r="F69" s="40">
        <f>F67-F68</f>
        <v>0</v>
      </c>
      <c r="G69" s="40">
        <f>G67-G68</f>
        <v>0</v>
      </c>
      <c r="H69" s="2"/>
      <c r="I69" s="2"/>
      <c r="J69" s="2"/>
      <c r="K69" s="2"/>
    </row>
    <row r="70" spans="1:12" x14ac:dyDescent="0.2">
      <c r="A70" s="78" t="s">
        <v>64</v>
      </c>
      <c r="B70" s="2"/>
      <c r="C70" s="2"/>
      <c r="D70" s="42">
        <f>$D$13*D69</f>
        <v>0</v>
      </c>
      <c r="E70" s="2"/>
      <c r="F70" s="42">
        <f>$D$13*F69</f>
        <v>0</v>
      </c>
      <c r="G70" s="42">
        <f>$D$13*G69</f>
        <v>0</v>
      </c>
      <c r="H70" s="2"/>
      <c r="I70" s="2"/>
      <c r="J70" s="2"/>
      <c r="K70" s="2"/>
    </row>
    <row r="71" spans="1:12" x14ac:dyDescent="0.2">
      <c r="A71" s="78" t="s">
        <v>66</v>
      </c>
      <c r="B71" s="2"/>
      <c r="C71" s="2"/>
      <c r="D71" s="42">
        <f>-$D$27</f>
        <v>0</v>
      </c>
      <c r="E71" s="2"/>
      <c r="F71" s="42">
        <f t="shared" ref="F71:G71" si="0">-$D$27</f>
        <v>0</v>
      </c>
      <c r="G71" s="42">
        <f t="shared" si="0"/>
        <v>0</v>
      </c>
      <c r="H71" s="2"/>
      <c r="I71" s="2"/>
      <c r="J71" s="2"/>
      <c r="K71" s="2"/>
    </row>
    <row r="72" spans="1:12" ht="13.5" thickBot="1" x14ac:dyDescent="0.25">
      <c r="A72" s="78" t="s">
        <v>67</v>
      </c>
      <c r="B72" s="2"/>
      <c r="C72" s="2"/>
      <c r="D72" s="43">
        <f>D67-D70+D71</f>
        <v>0</v>
      </c>
      <c r="E72" s="2"/>
      <c r="F72" s="43">
        <f t="shared" ref="F72:G72" si="1">F67-F70+F71</f>
        <v>0</v>
      </c>
      <c r="G72" s="43">
        <f t="shared" si="1"/>
        <v>0</v>
      </c>
      <c r="H72" s="2"/>
      <c r="I72" s="2"/>
      <c r="J72" s="2"/>
      <c r="K72" s="2"/>
    </row>
    <row r="73" spans="1:12" ht="13.5" thickTop="1" x14ac:dyDescent="0.2">
      <c r="A73" s="2"/>
      <c r="B73" s="2"/>
      <c r="C73" s="44"/>
      <c r="D73" s="44"/>
      <c r="E73" s="44"/>
      <c r="F73" s="44"/>
      <c r="G73" s="44"/>
      <c r="H73" s="2"/>
      <c r="I73" s="2"/>
      <c r="J73" s="2"/>
      <c r="K73" s="2"/>
    </row>
    <row r="74" spans="1:12" x14ac:dyDescent="0.2">
      <c r="A74" s="100" t="s">
        <v>49</v>
      </c>
      <c r="B74" s="102"/>
      <c r="C74" s="102"/>
      <c r="D74" s="102"/>
      <c r="E74" s="102"/>
      <c r="F74" s="102"/>
      <c r="G74" s="102"/>
      <c r="H74" s="102"/>
      <c r="I74" s="102"/>
      <c r="J74" s="2"/>
      <c r="K74" s="2"/>
    </row>
    <row r="75" spans="1:12" x14ac:dyDescent="0.2">
      <c r="A75" s="102"/>
      <c r="B75" s="102"/>
      <c r="C75" s="102"/>
      <c r="D75" s="102"/>
      <c r="E75" s="102"/>
      <c r="F75" s="102"/>
      <c r="G75" s="102"/>
      <c r="H75" s="102"/>
      <c r="I75" s="102"/>
      <c r="J75" s="2"/>
      <c r="K75" s="2"/>
    </row>
    <row r="76" spans="1:12" x14ac:dyDescent="0.2">
      <c r="A76" s="2"/>
      <c r="B76" s="2"/>
      <c r="C76" s="44"/>
      <c r="D76" s="44"/>
      <c r="E76" s="44"/>
      <c r="F76" s="44"/>
      <c r="G76" s="44"/>
      <c r="H76" s="2"/>
      <c r="I76" s="2"/>
      <c r="J76" s="2"/>
      <c r="K76" s="2"/>
    </row>
    <row r="77" spans="1:12" ht="15.75" x14ac:dyDescent="0.25">
      <c r="A77" s="45" t="s">
        <v>16</v>
      </c>
      <c r="B77" s="2"/>
      <c r="C77" s="46"/>
      <c r="D77" s="46"/>
      <c r="E77" s="2"/>
      <c r="F77" s="2"/>
      <c r="G77" s="2"/>
      <c r="H77" s="2"/>
      <c r="I77" s="2"/>
      <c r="J77" s="2"/>
      <c r="K77" s="2"/>
    </row>
    <row r="78" spans="1:12" ht="13.5" thickBot="1" x14ac:dyDescent="0.25">
      <c r="A78" s="2"/>
      <c r="B78" s="2"/>
      <c r="C78" s="47"/>
      <c r="D78" s="3"/>
      <c r="E78" s="28" t="s">
        <v>38</v>
      </c>
      <c r="F78" s="28" t="s">
        <v>14</v>
      </c>
      <c r="G78" s="28" t="s">
        <v>25</v>
      </c>
      <c r="H78" s="28" t="s">
        <v>26</v>
      </c>
      <c r="I78" s="28" t="s">
        <v>15</v>
      </c>
      <c r="J78" s="2"/>
      <c r="K78" s="2"/>
    </row>
    <row r="79" spans="1:12" x14ac:dyDescent="0.2">
      <c r="A79" s="48"/>
      <c r="B79" s="48"/>
      <c r="C79" s="48"/>
      <c r="D79" s="3"/>
      <c r="E79" s="48"/>
      <c r="F79" s="2"/>
      <c r="G79" s="2"/>
      <c r="H79" s="2"/>
      <c r="I79" s="2"/>
      <c r="J79" s="2"/>
      <c r="K79" s="2"/>
    </row>
    <row r="80" spans="1:12" x14ac:dyDescent="0.2">
      <c r="A80" s="49" t="s">
        <v>75</v>
      </c>
      <c r="B80" s="2"/>
      <c r="C80" s="2"/>
      <c r="D80" s="3"/>
      <c r="E80" s="36">
        <f>D30</f>
        <v>0</v>
      </c>
      <c r="F80" s="50"/>
      <c r="G80" s="37"/>
      <c r="H80" s="37"/>
      <c r="I80" s="37"/>
      <c r="J80" s="2"/>
      <c r="K80" s="2"/>
    </row>
    <row r="81" spans="1:11" x14ac:dyDescent="0.2">
      <c r="A81" s="49" t="s">
        <v>13</v>
      </c>
      <c r="B81" s="49"/>
      <c r="C81" s="49"/>
      <c r="D81" s="3"/>
      <c r="E81" s="51"/>
      <c r="F81" s="36">
        <f>E60</f>
        <v>0</v>
      </c>
      <c r="G81" s="36">
        <f>F60</f>
        <v>0</v>
      </c>
      <c r="H81" s="36">
        <f>G60</f>
        <v>0</v>
      </c>
      <c r="I81" s="36">
        <f>H60</f>
        <v>0</v>
      </c>
      <c r="J81" s="2"/>
      <c r="K81" s="2"/>
    </row>
    <row r="82" spans="1:11" x14ac:dyDescent="0.2">
      <c r="A82" s="49"/>
      <c r="B82" s="49"/>
      <c r="C82" s="49"/>
      <c r="D82" s="3"/>
      <c r="E82" s="37"/>
      <c r="F82" s="37"/>
      <c r="G82" s="37"/>
      <c r="H82" s="37"/>
      <c r="I82" s="37"/>
      <c r="J82" s="2"/>
      <c r="K82" s="2"/>
    </row>
    <row r="83" spans="1:11" ht="13.5" thickBot="1" x14ac:dyDescent="0.25">
      <c r="A83" s="49" t="s">
        <v>74</v>
      </c>
      <c r="B83" s="49"/>
      <c r="C83" s="2"/>
      <c r="D83" s="2"/>
      <c r="E83" s="52"/>
      <c r="F83" s="52"/>
      <c r="G83" s="52"/>
      <c r="H83" s="52"/>
      <c r="I83" s="52">
        <f>D72</f>
        <v>0</v>
      </c>
      <c r="J83" s="2"/>
      <c r="K83" s="2"/>
    </row>
    <row r="84" spans="1:11" ht="13.5" thickBot="1" x14ac:dyDescent="0.25">
      <c r="A84" s="2" t="s">
        <v>18</v>
      </c>
      <c r="B84" s="2"/>
      <c r="C84" s="2"/>
      <c r="D84" s="2"/>
      <c r="E84" s="53">
        <f>SUM(E80:E83)</f>
        <v>0</v>
      </c>
      <c r="F84" s="53">
        <f>SUM(F80:F83)</f>
        <v>0</v>
      </c>
      <c r="G84" s="53">
        <f>SUM(G80:G83)</f>
        <v>0</v>
      </c>
      <c r="H84" s="53">
        <f>SUM(H80:H83)</f>
        <v>0</v>
      </c>
      <c r="I84" s="53">
        <f>SUM(I80:I83)</f>
        <v>0</v>
      </c>
      <c r="J84" s="2"/>
      <c r="K84" s="2"/>
    </row>
    <row r="85" spans="1:11" ht="14.25" thickTop="1" thickBot="1" x14ac:dyDescent="0.25">
      <c r="A85" s="2"/>
      <c r="B85" s="2"/>
      <c r="C85" s="2"/>
      <c r="D85" s="2"/>
      <c r="E85" s="2"/>
      <c r="F85" s="2"/>
      <c r="G85" s="54"/>
      <c r="H85" s="2"/>
      <c r="I85" s="2"/>
      <c r="J85" s="2"/>
      <c r="K85" s="2"/>
    </row>
    <row r="86" spans="1:11" x14ac:dyDescent="0.2">
      <c r="A86" s="55" t="s">
        <v>19</v>
      </c>
      <c r="B86" s="56"/>
      <c r="C86" s="57">
        <f>NPV(D14,F84:I84)+E84</f>
        <v>0</v>
      </c>
      <c r="D86" s="2"/>
      <c r="E86" s="2"/>
      <c r="F86" s="2"/>
      <c r="G86" s="2"/>
      <c r="H86" s="2"/>
      <c r="I86" s="2"/>
      <c r="J86" s="2"/>
      <c r="K86" s="2"/>
    </row>
    <row r="87" spans="1:11" ht="13.5" thickBot="1" x14ac:dyDescent="0.25">
      <c r="A87" s="58" t="s">
        <v>20</v>
      </c>
      <c r="B87" s="59"/>
      <c r="C87" s="60" t="e">
        <f>IRR(E84:I84)</f>
        <v>#NUM!</v>
      </c>
      <c r="D87" s="2"/>
      <c r="E87" s="61" t="s">
        <v>47</v>
      </c>
      <c r="F87" s="61" t="s">
        <v>48</v>
      </c>
      <c r="G87" s="2"/>
      <c r="H87" s="2"/>
      <c r="I87" s="2"/>
      <c r="J87" s="2"/>
      <c r="K87" s="2"/>
    </row>
    <row r="88" spans="1:11" x14ac:dyDescent="0.2">
      <c r="A88" s="2"/>
      <c r="B88" s="2"/>
      <c r="C88" s="2"/>
      <c r="D88" s="2"/>
      <c r="E88" s="36">
        <f>NPV(D14,F91:I91)</f>
        <v>0</v>
      </c>
      <c r="F88" s="36">
        <f>E88*(1.1)^4</f>
        <v>0</v>
      </c>
      <c r="G88" s="2"/>
      <c r="H88" s="2"/>
      <c r="I88" s="2"/>
      <c r="J88" s="2"/>
      <c r="K88" s="2"/>
    </row>
    <row r="89" spans="1:11" ht="13.5" thickBot="1" x14ac:dyDescent="0.25">
      <c r="A89" s="2"/>
      <c r="B89" s="2"/>
      <c r="C89" s="2"/>
      <c r="D89" s="2"/>
      <c r="E89" s="97" t="s">
        <v>17</v>
      </c>
      <c r="F89" s="97"/>
      <c r="G89" s="97"/>
      <c r="H89" s="97"/>
      <c r="I89" s="97"/>
      <c r="J89" s="2"/>
      <c r="K89" s="2"/>
    </row>
    <row r="90" spans="1:11" ht="15.75" x14ac:dyDescent="0.25">
      <c r="A90" s="45" t="s">
        <v>28</v>
      </c>
      <c r="B90" s="2"/>
      <c r="C90" s="2"/>
      <c r="D90" s="2"/>
      <c r="E90" s="62">
        <v>0</v>
      </c>
      <c r="F90" s="62">
        <v>1</v>
      </c>
      <c r="G90" s="62">
        <v>2</v>
      </c>
      <c r="H90" s="62">
        <v>3</v>
      </c>
      <c r="I90" s="62">
        <v>4</v>
      </c>
      <c r="J90" s="2"/>
      <c r="K90" s="2"/>
    </row>
    <row r="91" spans="1:11" x14ac:dyDescent="0.2">
      <c r="A91" s="2" t="s">
        <v>18</v>
      </c>
      <c r="B91" s="2"/>
      <c r="C91" s="2"/>
      <c r="D91" s="2"/>
      <c r="E91" s="36">
        <f>E84</f>
        <v>0</v>
      </c>
      <c r="F91" s="36">
        <f>F84</f>
        <v>0</v>
      </c>
      <c r="G91" s="36">
        <f>G84</f>
        <v>0</v>
      </c>
      <c r="H91" s="36">
        <f>H84</f>
        <v>0</v>
      </c>
      <c r="I91" s="36">
        <f>I84</f>
        <v>0</v>
      </c>
      <c r="J91" s="2"/>
      <c r="K91" s="73">
        <f>NPV(10%,F91:I91)</f>
        <v>0</v>
      </c>
    </row>
    <row r="92" spans="1:11" x14ac:dyDescent="0.2">
      <c r="A92" s="2"/>
      <c r="B92" s="2"/>
      <c r="C92" s="2"/>
      <c r="D92" s="2"/>
      <c r="E92" s="2"/>
      <c r="F92" s="2"/>
      <c r="G92" s="2"/>
      <c r="H92" s="2"/>
      <c r="I92" s="37">
        <f>H91*(1+D14)</f>
        <v>0</v>
      </c>
      <c r="J92" s="2"/>
      <c r="K92" s="73">
        <f>FV(0.1,4,0,K91)</f>
        <v>0</v>
      </c>
    </row>
    <row r="93" spans="1:11" x14ac:dyDescent="0.2">
      <c r="A93" s="2"/>
      <c r="B93" s="2"/>
      <c r="C93" s="2"/>
      <c r="D93" s="2"/>
      <c r="E93" s="2"/>
      <c r="F93" s="2"/>
      <c r="G93" s="2"/>
      <c r="H93" s="2"/>
      <c r="I93" s="37">
        <f>G91*(1+D14)^2</f>
        <v>0</v>
      </c>
      <c r="J93" s="2"/>
      <c r="K93" s="2"/>
    </row>
    <row r="94" spans="1:11" ht="15" x14ac:dyDescent="0.35">
      <c r="A94" s="2"/>
      <c r="B94" s="2"/>
      <c r="C94" s="2"/>
      <c r="D94" s="2"/>
      <c r="E94" s="2"/>
      <c r="F94" s="2"/>
      <c r="G94" s="2"/>
      <c r="H94" s="2"/>
      <c r="I94" s="63">
        <f>F91*(1+D14)^3</f>
        <v>0</v>
      </c>
      <c r="J94" s="2"/>
      <c r="K94" s="64"/>
    </row>
    <row r="95" spans="1:11" x14ac:dyDescent="0.2">
      <c r="A95" s="2"/>
      <c r="B95" s="2"/>
      <c r="C95" s="2"/>
      <c r="D95" s="65" t="s">
        <v>29</v>
      </c>
      <c r="E95" s="36">
        <f>E91</f>
        <v>0</v>
      </c>
      <c r="F95" s="2"/>
      <c r="G95" s="2"/>
      <c r="H95" s="65" t="s">
        <v>21</v>
      </c>
      <c r="I95" s="36">
        <f>SUM(I91:I94)</f>
        <v>0</v>
      </c>
      <c r="J95" s="2"/>
      <c r="K95" s="2"/>
    </row>
    <row r="96" spans="1:11" x14ac:dyDescent="0.2">
      <c r="A96" s="2"/>
      <c r="B96" s="2"/>
      <c r="C96" s="2"/>
      <c r="D96" s="3"/>
      <c r="E96" s="3"/>
      <c r="F96" s="3"/>
      <c r="G96" s="3"/>
      <c r="H96" s="3"/>
      <c r="I96" s="3"/>
      <c r="J96" s="2"/>
      <c r="K96" s="2"/>
    </row>
    <row r="97" spans="1:11" ht="26.25" customHeight="1" thickBot="1" x14ac:dyDescent="0.25">
      <c r="A97" s="98" t="s">
        <v>30</v>
      </c>
      <c r="B97" s="99"/>
      <c r="C97" s="99"/>
      <c r="D97" s="99"/>
      <c r="E97" s="99"/>
      <c r="F97" s="99"/>
      <c r="G97" s="99"/>
      <c r="H97" s="99"/>
      <c r="I97" s="99"/>
      <c r="J97" s="66"/>
      <c r="K97" s="2"/>
    </row>
    <row r="98" spans="1:11" ht="13.5" thickBot="1" x14ac:dyDescent="0.25">
      <c r="A98" s="67" t="s">
        <v>31</v>
      </c>
      <c r="B98" s="68" t="e">
        <f>MIRR(E91:I91,D14,D14)</f>
        <v>#DIV/0!</v>
      </c>
      <c r="C98" s="3"/>
      <c r="D98" s="2"/>
      <c r="E98" s="2"/>
      <c r="F98" s="2"/>
      <c r="G98" s="2"/>
      <c r="H98" s="2"/>
      <c r="I98" s="2"/>
      <c r="J98" s="2"/>
      <c r="K98" s="2"/>
    </row>
    <row r="99" spans="1:11" x14ac:dyDescent="0.2">
      <c r="A99" s="2"/>
      <c r="B99" s="2"/>
      <c r="C99" s="2"/>
      <c r="D99" s="2"/>
      <c r="E99" s="2"/>
      <c r="F99" s="2"/>
      <c r="G99" s="2"/>
      <c r="H99" s="2"/>
      <c r="I99" s="2"/>
      <c r="J99" s="2"/>
      <c r="K99" s="2"/>
    </row>
    <row r="100" spans="1:11" ht="16.5" thickBot="1" x14ac:dyDescent="0.3">
      <c r="A100" s="45" t="s">
        <v>32</v>
      </c>
      <c r="B100" s="2"/>
      <c r="C100" s="2"/>
      <c r="D100" s="2"/>
      <c r="E100" s="97" t="s">
        <v>17</v>
      </c>
      <c r="F100" s="97"/>
      <c r="G100" s="97"/>
      <c r="H100" s="97"/>
      <c r="I100" s="97"/>
      <c r="J100" s="2"/>
      <c r="K100" s="2"/>
    </row>
    <row r="101" spans="1:11" x14ac:dyDescent="0.2">
      <c r="A101" s="2"/>
      <c r="B101" s="2"/>
      <c r="C101" s="2"/>
      <c r="D101" s="2"/>
      <c r="E101" s="62">
        <v>0</v>
      </c>
      <c r="F101" s="62">
        <v>1</v>
      </c>
      <c r="G101" s="62">
        <v>2</v>
      </c>
      <c r="H101" s="62">
        <v>3</v>
      </c>
      <c r="I101" s="62">
        <v>4</v>
      </c>
      <c r="J101" s="2"/>
      <c r="K101" s="2"/>
    </row>
    <row r="102" spans="1:11" x14ac:dyDescent="0.2">
      <c r="A102" s="2" t="s">
        <v>44</v>
      </c>
      <c r="B102" s="2"/>
      <c r="C102" s="2"/>
      <c r="D102" s="2"/>
      <c r="E102" s="69">
        <f>E84</f>
        <v>0</v>
      </c>
      <c r="F102" s="69">
        <f>F84</f>
        <v>0</v>
      </c>
      <c r="G102" s="69">
        <f>G84</f>
        <v>0</v>
      </c>
      <c r="H102" s="69">
        <f>H84</f>
        <v>0</v>
      </c>
      <c r="I102" s="69">
        <f>I84</f>
        <v>0</v>
      </c>
      <c r="J102" s="2"/>
      <c r="K102" s="2"/>
    </row>
    <row r="103" spans="1:11" ht="12.75" customHeight="1" x14ac:dyDescent="0.2">
      <c r="A103" s="2" t="s">
        <v>22</v>
      </c>
      <c r="B103" s="2"/>
      <c r="C103" s="2"/>
      <c r="D103" s="2"/>
      <c r="E103" s="69">
        <f>E102</f>
        <v>0</v>
      </c>
      <c r="F103" s="69">
        <f>E103+F102</f>
        <v>0</v>
      </c>
      <c r="G103" s="69">
        <f>F103+G102</f>
        <v>0</v>
      </c>
      <c r="H103" s="69">
        <f>G103+H102</f>
        <v>0</v>
      </c>
      <c r="I103" s="69">
        <f>H103+I102</f>
        <v>0</v>
      </c>
      <c r="J103" s="2"/>
      <c r="K103" s="2"/>
    </row>
    <row r="104" spans="1:11" ht="13.5" thickBot="1" x14ac:dyDescent="0.25">
      <c r="A104" s="70"/>
      <c r="B104" s="71"/>
      <c r="C104" s="71"/>
      <c r="D104" s="2"/>
      <c r="E104" s="2"/>
      <c r="F104" s="2"/>
      <c r="G104" s="2"/>
      <c r="H104" s="2"/>
      <c r="I104" s="2"/>
      <c r="J104" s="2"/>
      <c r="K104" s="2"/>
    </row>
    <row r="105" spans="1:11" ht="13.5" thickBot="1" x14ac:dyDescent="0.25">
      <c r="A105" s="2"/>
      <c r="B105" s="2" t="s">
        <v>23</v>
      </c>
      <c r="C105" s="72">
        <f>PERCENTRANK(E103:I103,0,6)*I101</f>
        <v>0</v>
      </c>
      <c r="D105" s="2"/>
      <c r="E105" s="2"/>
      <c r="F105" s="2"/>
      <c r="G105" s="2"/>
      <c r="H105" s="2"/>
      <c r="I105" s="2"/>
      <c r="J105" s="2"/>
      <c r="K105" s="2"/>
    </row>
    <row r="106" spans="1:11" x14ac:dyDescent="0.2">
      <c r="A106" s="2"/>
      <c r="B106" s="2"/>
      <c r="C106" s="2"/>
      <c r="D106" s="2"/>
      <c r="E106" s="2"/>
      <c r="F106" s="2"/>
      <c r="G106" s="2"/>
      <c r="H106" s="2"/>
      <c r="I106" s="2"/>
      <c r="J106" s="2"/>
      <c r="K106" s="2"/>
    </row>
    <row r="107" spans="1:11" x14ac:dyDescent="0.2">
      <c r="A107" s="3"/>
      <c r="B107" s="3"/>
      <c r="C107" s="3"/>
      <c r="D107" s="3"/>
      <c r="E107" s="3"/>
      <c r="F107" s="3"/>
      <c r="G107" s="3"/>
      <c r="H107" s="3"/>
      <c r="I107" s="3"/>
      <c r="J107" s="3"/>
      <c r="K107" s="3"/>
    </row>
    <row r="108" spans="1:11" x14ac:dyDescent="0.2">
      <c r="A108" s="3"/>
      <c r="B108" s="3"/>
      <c r="C108" s="3"/>
      <c r="D108" s="3"/>
      <c r="E108" s="3"/>
      <c r="F108" s="3"/>
      <c r="G108" s="3"/>
      <c r="H108" s="3"/>
      <c r="I108" s="3"/>
      <c r="J108" s="3"/>
      <c r="K108" s="3"/>
    </row>
    <row r="109" spans="1:11" x14ac:dyDescent="0.2">
      <c r="A109" s="3"/>
      <c r="B109" s="3"/>
      <c r="C109" s="3"/>
      <c r="D109" s="3"/>
      <c r="E109" s="3"/>
      <c r="F109" s="3"/>
      <c r="G109" s="3"/>
      <c r="H109" s="3"/>
      <c r="I109" s="3"/>
      <c r="J109" s="3"/>
      <c r="K109" s="3"/>
    </row>
    <row r="110" spans="1:11" x14ac:dyDescent="0.2">
      <c r="A110" s="3"/>
      <c r="B110" s="3"/>
      <c r="C110" s="3"/>
      <c r="D110" s="3"/>
      <c r="E110" s="3"/>
      <c r="F110" s="3"/>
      <c r="G110" s="3"/>
      <c r="H110" s="3"/>
      <c r="I110" s="3"/>
      <c r="J110" s="3"/>
      <c r="K110" s="3"/>
    </row>
    <row r="111" spans="1:11" ht="16.5" customHeight="1" x14ac:dyDescent="0.25">
      <c r="A111" s="45" t="s">
        <v>16</v>
      </c>
      <c r="B111" s="2"/>
      <c r="C111" s="46"/>
      <c r="D111" s="46"/>
      <c r="E111" s="2" t="s">
        <v>73</v>
      </c>
      <c r="F111" s="2"/>
      <c r="G111" s="2"/>
      <c r="H111" s="2"/>
      <c r="I111" s="2"/>
      <c r="J111" s="2"/>
      <c r="K111" s="2"/>
    </row>
    <row r="112" spans="1:11" ht="13.5" thickBot="1" x14ac:dyDescent="0.25">
      <c r="A112" s="2"/>
      <c r="B112" s="2"/>
      <c r="C112" s="47"/>
      <c r="D112" s="3"/>
      <c r="E112" s="28" t="s">
        <v>38</v>
      </c>
      <c r="F112" s="28" t="s">
        <v>14</v>
      </c>
      <c r="G112" s="28" t="s">
        <v>25</v>
      </c>
      <c r="H112" s="28" t="s">
        <v>26</v>
      </c>
      <c r="I112" s="28"/>
      <c r="J112" s="2"/>
      <c r="K112" s="2"/>
    </row>
    <row r="113" spans="1:12" x14ac:dyDescent="0.2">
      <c r="A113" s="48"/>
      <c r="B113" s="48"/>
      <c r="C113" s="48"/>
      <c r="D113" s="3"/>
      <c r="E113" s="48"/>
      <c r="F113" s="2"/>
      <c r="G113" s="2"/>
      <c r="H113" s="2"/>
      <c r="I113" s="2"/>
      <c r="J113" s="2"/>
      <c r="K113" s="2"/>
    </row>
    <row r="114" spans="1:12" x14ac:dyDescent="0.2">
      <c r="A114" s="49" t="s">
        <v>75</v>
      </c>
      <c r="B114" s="2"/>
      <c r="C114" s="2"/>
      <c r="D114" s="3"/>
      <c r="E114" s="36">
        <f>E84</f>
        <v>0</v>
      </c>
      <c r="F114" s="50"/>
      <c r="G114" s="37"/>
      <c r="H114" s="37"/>
      <c r="I114" s="37"/>
      <c r="J114" s="2"/>
      <c r="K114" s="2"/>
    </row>
    <row r="115" spans="1:12" x14ac:dyDescent="0.2">
      <c r="A115" s="49" t="s">
        <v>13</v>
      </c>
      <c r="B115" s="49"/>
      <c r="C115" s="49"/>
      <c r="D115" s="3"/>
      <c r="E115" s="51"/>
      <c r="F115" s="36">
        <f>F84</f>
        <v>0</v>
      </c>
      <c r="G115" s="36">
        <f t="shared" ref="G115:H115" si="2">G84</f>
        <v>0</v>
      </c>
      <c r="H115" s="36">
        <f t="shared" si="2"/>
        <v>0</v>
      </c>
      <c r="I115" s="36"/>
      <c r="J115" s="2"/>
      <c r="K115" s="2"/>
    </row>
    <row r="116" spans="1:12" x14ac:dyDescent="0.2">
      <c r="A116" s="49"/>
      <c r="B116" s="49"/>
      <c r="C116" s="49"/>
      <c r="D116" s="3"/>
      <c r="E116" s="37"/>
      <c r="F116" s="37"/>
      <c r="G116" s="37"/>
      <c r="H116" s="37"/>
      <c r="I116" s="37"/>
      <c r="J116" s="2"/>
      <c r="K116" s="2"/>
    </row>
    <row r="117" spans="1:12" ht="13.5" thickBot="1" x14ac:dyDescent="0.25">
      <c r="A117" s="49" t="s">
        <v>74</v>
      </c>
      <c r="B117" s="49"/>
      <c r="C117" s="2"/>
      <c r="D117" s="2"/>
      <c r="E117" s="52"/>
      <c r="F117" s="52"/>
      <c r="G117" s="52"/>
      <c r="H117" s="52">
        <f>F72</f>
        <v>0</v>
      </c>
      <c r="I117" s="52"/>
      <c r="J117" s="2"/>
      <c r="K117" s="2"/>
    </row>
    <row r="118" spans="1:12" ht="13.5" thickBot="1" x14ac:dyDescent="0.25">
      <c r="A118" s="2" t="s">
        <v>18</v>
      </c>
      <c r="B118" s="2"/>
      <c r="C118" s="2"/>
      <c r="D118" s="2"/>
      <c r="E118" s="53">
        <f>SUM(E114:E117)</f>
        <v>0</v>
      </c>
      <c r="F118" s="53">
        <f>SUM(F114:F117)</f>
        <v>0</v>
      </c>
      <c r="G118" s="53">
        <f>SUM(G114:G117)</f>
        <v>0</v>
      </c>
      <c r="H118" s="53">
        <f>SUM(H114:H117)</f>
        <v>0</v>
      </c>
      <c r="I118" s="53"/>
      <c r="J118" s="2"/>
      <c r="K118" s="2"/>
    </row>
    <row r="119" spans="1:12" ht="14.25" thickTop="1" thickBot="1" x14ac:dyDescent="0.25">
      <c r="A119" s="2"/>
      <c r="B119" s="2"/>
      <c r="C119" s="2"/>
      <c r="D119" s="2"/>
      <c r="E119" s="2"/>
      <c r="F119" s="2"/>
      <c r="G119" s="54"/>
      <c r="H119" s="2"/>
      <c r="I119" s="2"/>
      <c r="J119" s="2"/>
      <c r="K119" s="2"/>
    </row>
    <row r="120" spans="1:12" x14ac:dyDescent="0.2">
      <c r="A120" s="55" t="s">
        <v>19</v>
      </c>
      <c r="B120" s="56"/>
      <c r="C120" s="79">
        <f>NPV(D14,F118:I118)+E118</f>
        <v>0</v>
      </c>
      <c r="D120" s="2"/>
      <c r="E120" s="2"/>
      <c r="F120" s="2"/>
      <c r="G120" s="2"/>
      <c r="H120" s="2"/>
      <c r="I120" s="2"/>
      <c r="J120" s="2"/>
      <c r="K120" s="2"/>
    </row>
    <row r="121" spans="1:12" ht="13.5" thickBot="1" x14ac:dyDescent="0.25">
      <c r="A121" s="58" t="s">
        <v>20</v>
      </c>
      <c r="B121" s="59"/>
      <c r="C121" s="60" t="e">
        <f>IRR(E118:H118)</f>
        <v>#NUM!</v>
      </c>
      <c r="F121" s="61"/>
      <c r="G121" s="2"/>
      <c r="H121" s="2"/>
      <c r="I121" s="2"/>
      <c r="J121" s="2"/>
      <c r="K121" s="2"/>
    </row>
    <row r="122" spans="1:12" x14ac:dyDescent="0.2">
      <c r="A122" s="2"/>
      <c r="B122" s="2"/>
      <c r="C122" s="2"/>
      <c r="D122" s="2"/>
      <c r="E122" s="36"/>
      <c r="F122" s="36"/>
      <c r="G122" s="2"/>
      <c r="H122" s="2"/>
      <c r="I122" s="2"/>
      <c r="J122" s="2"/>
      <c r="K122" s="2"/>
    </row>
    <row r="123" spans="1:12" ht="13.5" thickBot="1" x14ac:dyDescent="0.25">
      <c r="A123" s="2"/>
      <c r="B123" s="2"/>
      <c r="C123" s="61" t="s">
        <v>76</v>
      </c>
      <c r="D123" s="2"/>
      <c r="E123" s="97" t="s">
        <v>17</v>
      </c>
      <c r="F123" s="97"/>
      <c r="G123" s="97"/>
      <c r="H123" s="97"/>
      <c r="I123" s="97"/>
      <c r="J123" s="2"/>
      <c r="K123" s="2"/>
    </row>
    <row r="124" spans="1:12" ht="15.75" x14ac:dyDescent="0.25">
      <c r="A124" s="45" t="s">
        <v>28</v>
      </c>
      <c r="B124" s="2"/>
      <c r="C124" s="2"/>
      <c r="D124" s="2"/>
      <c r="E124" s="62">
        <v>0</v>
      </c>
      <c r="F124" s="62">
        <v>1</v>
      </c>
      <c r="G124" s="62">
        <v>2</v>
      </c>
      <c r="H124" s="62">
        <v>3</v>
      </c>
      <c r="I124" s="62"/>
      <c r="J124" s="2"/>
      <c r="K124" s="2"/>
    </row>
    <row r="125" spans="1:12" x14ac:dyDescent="0.2">
      <c r="A125" s="2" t="s">
        <v>18</v>
      </c>
      <c r="B125" s="2"/>
      <c r="C125" s="2"/>
      <c r="D125" s="2"/>
      <c r="E125" s="36">
        <f>E118</f>
        <v>0</v>
      </c>
      <c r="F125" s="36">
        <f>F118</f>
        <v>0</v>
      </c>
      <c r="G125" s="36">
        <f>G118</f>
        <v>0</v>
      </c>
      <c r="H125" s="36">
        <f>H118</f>
        <v>0</v>
      </c>
      <c r="I125" s="36"/>
      <c r="J125" s="2"/>
      <c r="K125" s="73"/>
    </row>
    <row r="126" spans="1:12" x14ac:dyDescent="0.2">
      <c r="A126" s="2"/>
      <c r="B126" s="2"/>
      <c r="C126" s="2"/>
      <c r="D126" s="2"/>
      <c r="E126" s="2"/>
      <c r="F126" s="2"/>
      <c r="G126" s="2"/>
      <c r="H126" s="80">
        <f>FV(D14,H124-G124,,-G125)</f>
        <v>0</v>
      </c>
      <c r="I126" s="37"/>
      <c r="J126" s="2"/>
      <c r="K126" s="73"/>
    </row>
    <row r="127" spans="1:12" x14ac:dyDescent="0.2">
      <c r="A127" s="2"/>
      <c r="B127" s="2"/>
      <c r="C127" s="2"/>
      <c r="D127" s="2"/>
      <c r="E127" s="2"/>
      <c r="F127" s="2"/>
      <c r="G127" s="2"/>
      <c r="H127" s="80">
        <f>FV(D14,H124-F124,,-F125)</f>
        <v>0</v>
      </c>
      <c r="I127" s="37"/>
      <c r="J127" s="2"/>
      <c r="K127" s="73"/>
    </row>
    <row r="128" spans="1:12" ht="15" x14ac:dyDescent="0.35">
      <c r="A128" s="2"/>
      <c r="B128" s="2"/>
      <c r="C128" s="2"/>
      <c r="D128" s="2"/>
      <c r="E128" s="2"/>
      <c r="F128" s="2"/>
      <c r="G128" s="2"/>
      <c r="H128" s="80"/>
      <c r="I128" s="63"/>
      <c r="J128" s="2"/>
      <c r="K128" s="64"/>
      <c r="L128" s="81"/>
    </row>
    <row r="129" spans="1:11" x14ac:dyDescent="0.2">
      <c r="A129" s="2"/>
      <c r="B129" s="2"/>
      <c r="C129" s="2"/>
      <c r="D129" s="65" t="s">
        <v>29</v>
      </c>
      <c r="E129" s="36">
        <f>E125</f>
        <v>0</v>
      </c>
      <c r="F129" s="2"/>
      <c r="G129" s="65" t="s">
        <v>21</v>
      </c>
      <c r="H129" s="36">
        <f>SUM(H125:H128)</f>
        <v>0</v>
      </c>
      <c r="J129" s="2"/>
      <c r="K129" s="2"/>
    </row>
    <row r="130" spans="1:11" x14ac:dyDescent="0.2">
      <c r="A130" s="2"/>
      <c r="B130" s="2"/>
      <c r="C130" s="2"/>
      <c r="D130" s="3"/>
      <c r="E130" s="3"/>
      <c r="F130" s="3"/>
      <c r="G130" s="3"/>
      <c r="H130" s="3"/>
      <c r="I130" s="3"/>
      <c r="J130" s="2"/>
      <c r="K130" s="2"/>
    </row>
    <row r="131" spans="1:11" ht="13.5" customHeight="1" thickBot="1" x14ac:dyDescent="0.25">
      <c r="A131" s="98" t="s">
        <v>30</v>
      </c>
      <c r="B131" s="99"/>
      <c r="C131" s="99"/>
      <c r="D131" s="99"/>
      <c r="E131" s="99"/>
      <c r="F131" s="99"/>
      <c r="G131" s="99"/>
      <c r="H131" s="99"/>
      <c r="I131" s="99"/>
      <c r="J131" s="66"/>
      <c r="K131" s="82"/>
    </row>
    <row r="132" spans="1:11" ht="13.5" thickBot="1" x14ac:dyDescent="0.25">
      <c r="A132" s="67" t="s">
        <v>31</v>
      </c>
      <c r="B132" s="84" t="e">
        <f>MIRR(E125:I125,D14,D14)</f>
        <v>#DIV/0!</v>
      </c>
      <c r="C132" s="83"/>
      <c r="D132" s="2"/>
      <c r="E132" s="2"/>
      <c r="F132" s="2"/>
      <c r="G132" s="2"/>
      <c r="H132" s="2"/>
      <c r="I132" s="2"/>
      <c r="J132" s="2"/>
      <c r="K132" s="2"/>
    </row>
    <row r="133" spans="1:11" x14ac:dyDescent="0.2">
      <c r="A133" s="2"/>
      <c r="B133" s="2"/>
      <c r="C133" s="2"/>
      <c r="D133" s="2"/>
      <c r="E133" s="2"/>
      <c r="F133" s="2"/>
      <c r="G133" s="2"/>
      <c r="H133" s="2"/>
      <c r="I133" s="2"/>
      <c r="J133" s="2"/>
      <c r="K133" s="2"/>
    </row>
    <row r="134" spans="1:11" ht="16.5" thickBot="1" x14ac:dyDescent="0.3">
      <c r="A134" s="45" t="s">
        <v>32</v>
      </c>
      <c r="B134" s="2"/>
      <c r="C134" s="2"/>
      <c r="D134" s="2"/>
      <c r="E134" s="97" t="s">
        <v>17</v>
      </c>
      <c r="F134" s="97"/>
      <c r="G134" s="97"/>
      <c r="H134" s="97"/>
      <c r="I134" s="97"/>
      <c r="J134" s="2"/>
      <c r="K134" s="2"/>
    </row>
    <row r="135" spans="1:11" x14ac:dyDescent="0.2">
      <c r="A135" s="2"/>
      <c r="B135" s="2"/>
      <c r="C135" s="2"/>
      <c r="D135" s="2"/>
      <c r="E135" s="62">
        <v>0</v>
      </c>
      <c r="F135" s="62">
        <v>1</v>
      </c>
      <c r="G135" s="62">
        <v>2</v>
      </c>
      <c r="H135" s="62">
        <v>3</v>
      </c>
      <c r="I135" s="62"/>
      <c r="J135" s="2"/>
      <c r="K135" s="2"/>
    </row>
    <row r="136" spans="1:11" x14ac:dyDescent="0.2">
      <c r="A136" s="2" t="s">
        <v>44</v>
      </c>
      <c r="B136" s="2"/>
      <c r="C136" s="2"/>
      <c r="D136" s="2"/>
      <c r="E136" s="69">
        <f>E118</f>
        <v>0</v>
      </c>
      <c r="F136" s="69">
        <f>F118</f>
        <v>0</v>
      </c>
      <c r="G136" s="69">
        <f>G118</f>
        <v>0</v>
      </c>
      <c r="H136" s="69">
        <f>H118</f>
        <v>0</v>
      </c>
      <c r="I136" s="69"/>
      <c r="J136" s="2"/>
      <c r="K136" s="2"/>
    </row>
    <row r="137" spans="1:11" x14ac:dyDescent="0.2">
      <c r="A137" s="2" t="s">
        <v>22</v>
      </c>
      <c r="B137" s="2"/>
      <c r="C137" s="2"/>
      <c r="D137" s="2"/>
      <c r="E137" s="69">
        <f>E136</f>
        <v>0</v>
      </c>
      <c r="F137" s="69">
        <f>E137+F136</f>
        <v>0</v>
      </c>
      <c r="G137" s="69">
        <f>F137+G136</f>
        <v>0</v>
      </c>
      <c r="H137" s="69">
        <f>G137+H136</f>
        <v>0</v>
      </c>
      <c r="I137" s="69"/>
      <c r="J137" s="2"/>
      <c r="K137" s="2"/>
    </row>
    <row r="138" spans="1:11" ht="13.5" thickBot="1" x14ac:dyDescent="0.25">
      <c r="A138" s="70"/>
      <c r="B138" s="71"/>
      <c r="C138" s="71"/>
      <c r="D138" s="2"/>
      <c r="E138" s="2"/>
      <c r="F138" s="2"/>
      <c r="G138" s="2"/>
      <c r="H138" s="2"/>
      <c r="I138" s="2"/>
      <c r="J138" s="2"/>
      <c r="K138" s="2"/>
    </row>
    <row r="139" spans="1:11" ht="13.5" thickBot="1" x14ac:dyDescent="0.25">
      <c r="A139" s="2"/>
      <c r="B139" s="2" t="s">
        <v>23</v>
      </c>
      <c r="C139" s="72">
        <f>PERCENTRANK(E137:H137,0,6)*H135</f>
        <v>0</v>
      </c>
      <c r="D139" s="2"/>
      <c r="E139" s="2"/>
      <c r="F139" s="2"/>
      <c r="G139" s="2"/>
      <c r="H139" s="2"/>
      <c r="I139" s="2"/>
      <c r="J139" s="2"/>
      <c r="K139" s="2"/>
    </row>
    <row r="140" spans="1:11" x14ac:dyDescent="0.2">
      <c r="A140" s="3"/>
      <c r="B140" s="3"/>
      <c r="C140" s="3"/>
      <c r="D140" s="3"/>
      <c r="E140" s="3"/>
      <c r="F140" s="3"/>
      <c r="G140" s="3"/>
      <c r="H140" s="3"/>
      <c r="I140" s="3"/>
      <c r="J140" s="3"/>
      <c r="K140" s="3"/>
    </row>
    <row r="141" spans="1:11" x14ac:dyDescent="0.2">
      <c r="A141" s="3"/>
      <c r="B141" s="3"/>
      <c r="C141" s="3"/>
      <c r="D141" s="3"/>
      <c r="E141" s="3"/>
      <c r="F141" s="3"/>
      <c r="G141" s="3"/>
      <c r="H141" s="3"/>
      <c r="I141" s="3"/>
      <c r="J141" s="3"/>
      <c r="K141" s="3"/>
    </row>
    <row r="142" spans="1:11" x14ac:dyDescent="0.2">
      <c r="A142" s="3"/>
      <c r="B142" s="3"/>
      <c r="C142" s="3"/>
      <c r="D142" s="3"/>
      <c r="E142" s="3"/>
      <c r="F142" s="3"/>
      <c r="G142" s="3"/>
      <c r="H142" s="3"/>
      <c r="I142" s="3"/>
      <c r="J142" s="3"/>
      <c r="K142" s="3"/>
    </row>
    <row r="143" spans="1:11" x14ac:dyDescent="0.2">
      <c r="A143" s="3"/>
      <c r="B143" s="3"/>
      <c r="C143" s="3"/>
      <c r="D143" s="3"/>
      <c r="E143" s="3"/>
      <c r="F143" s="3"/>
      <c r="G143" s="3"/>
      <c r="H143" s="3"/>
      <c r="I143" s="3"/>
      <c r="J143" s="3"/>
      <c r="K143" s="3"/>
    </row>
    <row r="144" spans="1:11" x14ac:dyDescent="0.2">
      <c r="A144" s="3"/>
      <c r="B144" s="3"/>
      <c r="C144" s="3"/>
      <c r="D144" s="3"/>
      <c r="E144" s="3"/>
      <c r="F144" s="3"/>
      <c r="G144" s="3"/>
      <c r="H144" s="3"/>
      <c r="I144" s="3"/>
      <c r="J144" s="3"/>
      <c r="K144" s="3"/>
    </row>
    <row r="145" spans="1:11" x14ac:dyDescent="0.2">
      <c r="A145" s="3"/>
      <c r="B145" s="3"/>
      <c r="C145" s="3"/>
      <c r="D145" s="3"/>
      <c r="E145" s="3"/>
      <c r="F145" s="3"/>
      <c r="G145" s="3"/>
      <c r="H145" s="3"/>
      <c r="I145" s="3"/>
      <c r="J145" s="3"/>
      <c r="K145" s="3"/>
    </row>
    <row r="146" spans="1:11" x14ac:dyDescent="0.2">
      <c r="A146" s="3"/>
      <c r="B146" s="3"/>
      <c r="C146" s="3"/>
      <c r="D146" s="3"/>
      <c r="E146" s="3"/>
      <c r="F146" s="3"/>
      <c r="G146" s="3"/>
      <c r="H146" s="3"/>
      <c r="I146" s="3"/>
      <c r="J146" s="3"/>
      <c r="K146" s="3"/>
    </row>
    <row r="147" spans="1:11" x14ac:dyDescent="0.2">
      <c r="A147" s="3"/>
      <c r="B147" s="3"/>
      <c r="C147" s="3"/>
      <c r="D147" s="3"/>
      <c r="E147" s="3"/>
      <c r="F147" s="3"/>
      <c r="G147" s="3"/>
      <c r="H147" s="3"/>
      <c r="I147" s="3"/>
      <c r="J147" s="3"/>
      <c r="K147" s="3"/>
    </row>
    <row r="148" spans="1:11" x14ac:dyDescent="0.2">
      <c r="A148" s="3"/>
      <c r="B148" s="3"/>
      <c r="C148" s="3"/>
      <c r="D148" s="3"/>
      <c r="E148" s="3"/>
      <c r="F148" s="3"/>
      <c r="G148" s="3"/>
      <c r="H148" s="3"/>
      <c r="I148" s="3"/>
      <c r="J148" s="3"/>
      <c r="K148" s="3"/>
    </row>
    <row r="149" spans="1:11" x14ac:dyDescent="0.2">
      <c r="A149" s="3"/>
      <c r="B149" s="3"/>
      <c r="C149" s="3"/>
      <c r="D149" s="3"/>
      <c r="E149" s="3"/>
      <c r="F149" s="3"/>
      <c r="G149" s="3"/>
      <c r="H149" s="3"/>
      <c r="I149" s="3"/>
      <c r="J149" s="3"/>
      <c r="K149" s="3"/>
    </row>
    <row r="150" spans="1:11" x14ac:dyDescent="0.2">
      <c r="A150" s="3"/>
      <c r="B150" s="3"/>
      <c r="C150" s="3"/>
      <c r="D150" s="3"/>
      <c r="E150" s="3"/>
      <c r="F150" s="3"/>
      <c r="G150" s="3"/>
      <c r="H150" s="3"/>
      <c r="I150" s="3"/>
      <c r="J150" s="3"/>
      <c r="K150" s="3"/>
    </row>
    <row r="151" spans="1:11" x14ac:dyDescent="0.2">
      <c r="A151" s="3"/>
      <c r="B151" s="3"/>
      <c r="C151" s="3"/>
      <c r="D151" s="3"/>
      <c r="E151" s="3"/>
      <c r="F151" s="3"/>
      <c r="G151" s="3"/>
      <c r="H151" s="3"/>
      <c r="I151" s="3"/>
      <c r="J151" s="3"/>
      <c r="K151" s="3"/>
    </row>
    <row r="152" spans="1:11" x14ac:dyDescent="0.2">
      <c r="A152" s="3"/>
      <c r="B152" s="3"/>
      <c r="C152" s="3"/>
      <c r="D152" s="3"/>
      <c r="E152" s="3"/>
      <c r="F152" s="3"/>
      <c r="G152" s="3"/>
      <c r="H152" s="3"/>
      <c r="I152" s="3"/>
      <c r="J152" s="3"/>
      <c r="K152" s="3"/>
    </row>
    <row r="153" spans="1:11" x14ac:dyDescent="0.2">
      <c r="A153" s="3"/>
      <c r="B153" s="3"/>
      <c r="C153" s="3"/>
      <c r="D153" s="3"/>
      <c r="E153" s="3"/>
      <c r="F153" s="3"/>
      <c r="G153" s="3"/>
      <c r="H153" s="3"/>
      <c r="I153" s="3"/>
      <c r="J153" s="3"/>
      <c r="K153" s="3"/>
    </row>
    <row r="154" spans="1:11" x14ac:dyDescent="0.2">
      <c r="A154" s="3"/>
      <c r="B154" s="3"/>
      <c r="C154" s="3"/>
      <c r="D154" s="3"/>
      <c r="E154" s="3"/>
      <c r="F154" s="3"/>
      <c r="G154" s="3"/>
      <c r="H154" s="3"/>
      <c r="I154" s="3"/>
      <c r="J154" s="3"/>
      <c r="K154" s="3"/>
    </row>
    <row r="155" spans="1:11" x14ac:dyDescent="0.2">
      <c r="A155" s="3"/>
      <c r="B155" s="3"/>
      <c r="C155" s="3"/>
      <c r="D155" s="3"/>
      <c r="E155" s="3"/>
      <c r="F155" s="3"/>
      <c r="G155" s="3"/>
      <c r="H155" s="3"/>
      <c r="I155" s="3"/>
      <c r="J155" s="3"/>
      <c r="K155" s="3"/>
    </row>
    <row r="156" spans="1:11" x14ac:dyDescent="0.2">
      <c r="A156" s="3"/>
      <c r="B156" s="3"/>
      <c r="C156" s="3"/>
      <c r="D156" s="3"/>
      <c r="E156" s="3"/>
      <c r="F156" s="3"/>
      <c r="G156" s="3"/>
      <c r="H156" s="3"/>
      <c r="I156" s="3"/>
      <c r="J156" s="3"/>
      <c r="K156" s="3"/>
    </row>
    <row r="157" spans="1:11" x14ac:dyDescent="0.2">
      <c r="A157" s="3"/>
      <c r="B157" s="3"/>
      <c r="C157" s="3"/>
      <c r="D157" s="3"/>
      <c r="E157" s="3"/>
      <c r="F157" s="3"/>
      <c r="G157" s="3"/>
      <c r="H157" s="3"/>
      <c r="I157" s="3"/>
      <c r="J157" s="3"/>
      <c r="K157" s="3"/>
    </row>
  </sheetData>
  <scenarios current="0" show="0" sqref="C113:C114">
    <scenario name="Base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250"/>
      <inputCells r="D16" val="200" numFmtId="6"/>
      <inputCells r="D17" val="100" numFmtId="6"/>
      <inputCells r="D18" val="0.12" numFmtId="9"/>
      <inputCells r="D19" val="0.03" numFmtId="9"/>
    </scenario>
    <scenario name="Best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600"/>
      <inputCells r="D16" val="240" numFmtId="6"/>
      <inputCells r="D17" val="100" numFmtId="6"/>
      <inputCells r="D18" val="0.12" numFmtId="9"/>
      <inputCells r="D19" val="0.03" numFmtId="9"/>
    </scenario>
    <scenario name="Worst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900"/>
      <inputCells r="D16" val="160" numFmtId="6"/>
      <inputCells r="D17" val="100" numFmtId="6"/>
      <inputCells r="D18" val="0.12" numFmtId="9"/>
      <inputCells r="D19" val="0.03" numFmtId="9"/>
    </scenario>
    <scenario name="Base-but forget inflation" locked="1" count="12" user="Mike Ehrhardt" comment="Creat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250" numFmtId="3"/>
      <inputCells r="D16" val="200" numFmtId="6"/>
      <inputCells r="D17" val="100" numFmtId="6"/>
      <inputCells r="D18" val="0.12" numFmtId="9"/>
      <inputCells r="D19" val="0" numFmtId="9"/>
    </scenario>
  </scenarios>
  <mergeCells count="10">
    <mergeCell ref="E100:I100"/>
    <mergeCell ref="E123:I123"/>
    <mergeCell ref="A131:I131"/>
    <mergeCell ref="E134:I134"/>
    <mergeCell ref="A42:I43"/>
    <mergeCell ref="A45:I45"/>
    <mergeCell ref="F65:G65"/>
    <mergeCell ref="A74:I75"/>
    <mergeCell ref="E89:I89"/>
    <mergeCell ref="A97:I97"/>
  </mergeCells>
  <pageMargins left="0.75" right="0.75" top="1" bottom="1" header="0.5" footer="0.5"/>
  <pageSetup orientation="portrait" horizontalDpi="200" verticalDpi="200" r:id="rId1"/>
  <headerFooter alignWithMargins="0"/>
  <rowBreaks count="1" manualBreakCount="1">
    <brk id="63" max="8"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57"/>
  <sheetViews>
    <sheetView zoomScale="89" zoomScaleNormal="89" zoomScaleSheetLayoutView="100" workbookViewId="0">
      <selection activeCell="I1" sqref="I1"/>
    </sheetView>
  </sheetViews>
  <sheetFormatPr defaultRowHeight="12.75" x14ac:dyDescent="0.2"/>
  <cols>
    <col min="1" max="1" width="11.7109375" customWidth="1"/>
    <col min="2" max="2" width="10.28515625" customWidth="1"/>
    <col min="3" max="3" width="12.28515625" customWidth="1"/>
    <col min="4" max="4" width="10.7109375" customWidth="1"/>
    <col min="5" max="5" width="10" customWidth="1"/>
    <col min="6" max="6" width="11.140625" customWidth="1"/>
    <col min="7" max="7" width="10.140625" customWidth="1"/>
    <col min="8" max="8" width="11.140625" customWidth="1"/>
    <col min="9" max="9" width="10.140625" bestFit="1" customWidth="1"/>
    <col min="10" max="10" width="2.5703125" customWidth="1"/>
    <col min="11" max="12" width="12.28515625" bestFit="1" customWidth="1"/>
  </cols>
  <sheetData>
    <row r="1" spans="1:11" x14ac:dyDescent="0.2">
      <c r="A1" s="2"/>
      <c r="B1" s="2"/>
      <c r="C1" s="2"/>
      <c r="D1" s="2"/>
      <c r="E1" s="2"/>
      <c r="F1" s="2"/>
      <c r="G1" s="2"/>
      <c r="H1" s="3"/>
      <c r="I1" s="4"/>
      <c r="J1" s="2"/>
      <c r="K1" s="2"/>
    </row>
    <row r="2" spans="1:11" x14ac:dyDescent="0.2">
      <c r="A2" s="2"/>
      <c r="B2" s="2"/>
      <c r="C2" s="2"/>
      <c r="D2" s="2"/>
      <c r="E2" s="2"/>
      <c r="F2" s="2"/>
      <c r="G2" s="2"/>
      <c r="H2" s="2"/>
      <c r="I2" s="2"/>
      <c r="J2" s="2"/>
      <c r="K2" s="2"/>
    </row>
    <row r="3" spans="1:11" ht="15.75" x14ac:dyDescent="0.25">
      <c r="A3" s="2"/>
      <c r="B3" s="2"/>
      <c r="C3" s="2"/>
      <c r="D3" s="5" t="s">
        <v>65</v>
      </c>
      <c r="E3" s="6"/>
      <c r="F3" s="2"/>
      <c r="G3" s="2"/>
      <c r="H3" s="2"/>
      <c r="I3" s="2"/>
      <c r="J3" s="2"/>
      <c r="K3" s="2"/>
    </row>
    <row r="4" spans="1:11" x14ac:dyDescent="0.2">
      <c r="A4" s="2"/>
      <c r="B4" s="2"/>
      <c r="C4" s="2"/>
      <c r="D4" s="2"/>
      <c r="E4" s="2"/>
      <c r="F4" s="2"/>
      <c r="G4" s="2"/>
      <c r="H4" s="2"/>
      <c r="I4" s="2"/>
      <c r="J4" s="2"/>
      <c r="K4" s="2"/>
    </row>
    <row r="5" spans="1:11" x14ac:dyDescent="0.2">
      <c r="A5" s="7" t="s">
        <v>0</v>
      </c>
      <c r="B5" s="2"/>
      <c r="C5" s="2"/>
      <c r="D5" s="2"/>
      <c r="E5" s="2"/>
      <c r="F5" s="2"/>
      <c r="G5" s="2"/>
      <c r="H5" s="2"/>
      <c r="I5" s="2"/>
      <c r="J5" s="2"/>
      <c r="K5" s="2"/>
    </row>
    <row r="6" spans="1:11" x14ac:dyDescent="0.2">
      <c r="A6" s="8" t="s">
        <v>1</v>
      </c>
      <c r="B6" s="2"/>
      <c r="C6" s="2"/>
      <c r="D6" s="2"/>
      <c r="E6" s="2"/>
      <c r="F6" s="3"/>
      <c r="G6" s="3"/>
      <c r="H6" s="3"/>
      <c r="I6" s="3"/>
      <c r="J6" s="3"/>
      <c r="K6" s="2"/>
    </row>
    <row r="7" spans="1:11" x14ac:dyDescent="0.2">
      <c r="A7" s="8"/>
      <c r="B7" s="2"/>
      <c r="C7" s="2"/>
      <c r="D7" s="2"/>
      <c r="E7" s="2"/>
      <c r="F7" s="2"/>
      <c r="G7" s="3"/>
      <c r="H7" s="3"/>
      <c r="I7" s="3"/>
      <c r="J7" s="3"/>
      <c r="K7" s="2"/>
    </row>
    <row r="8" spans="1:11" x14ac:dyDescent="0.2">
      <c r="A8" s="2" t="s">
        <v>36</v>
      </c>
      <c r="B8" s="2"/>
      <c r="C8" s="3"/>
      <c r="D8" s="1">
        <v>200000</v>
      </c>
      <c r="E8" s="2"/>
      <c r="F8" s="9" t="s">
        <v>45</v>
      </c>
      <c r="G8" s="10"/>
      <c r="H8" s="11">
        <f>C86</f>
        <v>0</v>
      </c>
      <c r="I8" s="3"/>
      <c r="J8" s="3"/>
      <c r="K8" s="2"/>
    </row>
    <row r="9" spans="1:11" x14ac:dyDescent="0.2">
      <c r="A9" s="2" t="s">
        <v>50</v>
      </c>
      <c r="B9" s="2"/>
      <c r="C9" s="3"/>
      <c r="D9" s="1">
        <v>40000</v>
      </c>
      <c r="E9" s="2"/>
      <c r="F9" s="2"/>
      <c r="G9" s="3"/>
      <c r="H9" s="3"/>
      <c r="I9" s="3"/>
      <c r="J9" s="3"/>
      <c r="K9" s="2"/>
    </row>
    <row r="10" spans="1:11" x14ac:dyDescent="0.2">
      <c r="A10" s="2"/>
      <c r="B10" s="2"/>
      <c r="C10" s="3"/>
      <c r="D10" s="1"/>
      <c r="E10" s="2"/>
      <c r="F10" s="2"/>
      <c r="G10" s="3"/>
      <c r="H10" s="3"/>
      <c r="I10" s="3"/>
      <c r="J10" s="3"/>
      <c r="K10" s="2"/>
    </row>
    <row r="11" spans="1:11" x14ac:dyDescent="0.2">
      <c r="A11" s="2" t="s">
        <v>2</v>
      </c>
      <c r="B11" s="2"/>
      <c r="C11" s="2"/>
      <c r="D11" s="12">
        <v>4</v>
      </c>
      <c r="E11" s="2"/>
      <c r="F11" s="2"/>
      <c r="G11" s="3"/>
      <c r="H11" s="3"/>
      <c r="I11" s="3"/>
      <c r="J11" s="3"/>
      <c r="K11" s="2"/>
    </row>
    <row r="12" spans="1:11" x14ac:dyDescent="0.2">
      <c r="A12" s="2" t="s">
        <v>3</v>
      </c>
      <c r="B12" s="2"/>
      <c r="C12" s="2"/>
      <c r="D12" s="13">
        <v>25000</v>
      </c>
      <c r="E12" s="2"/>
      <c r="F12" s="14"/>
      <c r="G12" s="15"/>
      <c r="H12" s="15"/>
      <c r="I12" s="16"/>
      <c r="J12" s="3"/>
      <c r="K12" s="2"/>
    </row>
    <row r="13" spans="1:11" x14ac:dyDescent="0.2">
      <c r="A13" s="2" t="s">
        <v>4</v>
      </c>
      <c r="B13" s="2"/>
      <c r="C13" s="2"/>
      <c r="D13" s="17">
        <v>0.4</v>
      </c>
      <c r="E13" s="2"/>
      <c r="F13" s="15"/>
      <c r="G13" s="15"/>
      <c r="H13" s="18"/>
      <c r="I13" s="16"/>
      <c r="J13" s="3"/>
      <c r="K13" s="2"/>
    </row>
    <row r="14" spans="1:11" x14ac:dyDescent="0.2">
      <c r="A14" s="2" t="s">
        <v>5</v>
      </c>
      <c r="B14" s="2"/>
      <c r="C14" s="2"/>
      <c r="D14" s="17">
        <v>0.1</v>
      </c>
      <c r="E14" s="2"/>
      <c r="F14" s="19"/>
      <c r="G14" s="15"/>
      <c r="H14" s="18"/>
      <c r="I14" s="16"/>
      <c r="J14" s="3"/>
      <c r="K14" s="2"/>
    </row>
    <row r="15" spans="1:11" x14ac:dyDescent="0.2">
      <c r="A15" s="2" t="s">
        <v>24</v>
      </c>
      <c r="B15" s="2"/>
      <c r="C15" s="2"/>
      <c r="D15" s="20">
        <v>100000</v>
      </c>
      <c r="E15" s="2"/>
      <c r="F15" s="15"/>
      <c r="G15" s="15"/>
      <c r="H15" s="18"/>
      <c r="I15" s="16"/>
      <c r="J15" s="2"/>
      <c r="K15" s="2"/>
    </row>
    <row r="16" spans="1:11" x14ac:dyDescent="0.2">
      <c r="A16" s="2" t="s">
        <v>33</v>
      </c>
      <c r="B16" s="2"/>
      <c r="C16" s="2"/>
      <c r="D16" s="76">
        <v>2</v>
      </c>
      <c r="E16" s="2"/>
      <c r="F16" s="15"/>
      <c r="G16" s="15"/>
      <c r="H16" s="18"/>
      <c r="I16" s="16"/>
      <c r="J16" s="2"/>
      <c r="K16" s="2"/>
    </row>
    <row r="17" spans="1:11" x14ac:dyDescent="0.2">
      <c r="A17" s="2" t="s">
        <v>34</v>
      </c>
      <c r="B17" s="2"/>
      <c r="C17" s="2"/>
      <c r="D17" s="75">
        <v>0.6</v>
      </c>
      <c r="E17" s="2"/>
      <c r="F17" s="15"/>
      <c r="G17" s="15"/>
      <c r="H17" s="15"/>
      <c r="I17" s="15"/>
      <c r="J17" s="2"/>
      <c r="K17" s="2"/>
    </row>
    <row r="18" spans="1:11" x14ac:dyDescent="0.2">
      <c r="A18" s="2" t="s">
        <v>51</v>
      </c>
      <c r="B18" s="2"/>
      <c r="C18" s="2"/>
      <c r="D18" s="74">
        <v>-25000</v>
      </c>
      <c r="E18" s="2"/>
      <c r="F18" s="15"/>
      <c r="G18" s="15"/>
      <c r="H18" s="15"/>
      <c r="I18" s="15"/>
      <c r="J18" s="2"/>
      <c r="K18" s="2"/>
    </row>
    <row r="19" spans="1:11" x14ac:dyDescent="0.2">
      <c r="A19" s="2" t="s">
        <v>52</v>
      </c>
      <c r="B19" s="3"/>
      <c r="C19" s="3"/>
      <c r="D19" s="74">
        <v>5000</v>
      </c>
      <c r="E19" s="2"/>
      <c r="F19" s="15"/>
      <c r="G19" s="15"/>
      <c r="H19" s="15"/>
      <c r="I19" s="21"/>
      <c r="J19" s="2"/>
      <c r="K19" s="2"/>
    </row>
    <row r="20" spans="1:11" x14ac:dyDescent="0.2">
      <c r="A20" s="3"/>
      <c r="B20" s="3"/>
      <c r="C20" s="3"/>
      <c r="D20" s="3"/>
      <c r="E20" s="2"/>
      <c r="F20" s="15"/>
      <c r="G20" s="15"/>
      <c r="H20" s="15"/>
      <c r="I20" s="21"/>
      <c r="J20" s="2"/>
      <c r="K20" s="2"/>
    </row>
    <row r="21" spans="1:11" x14ac:dyDescent="0.2">
      <c r="A21" s="3"/>
      <c r="B21" s="3"/>
      <c r="C21" s="3"/>
      <c r="D21" s="3"/>
      <c r="E21" s="2"/>
      <c r="F21" s="15"/>
      <c r="G21" s="15"/>
      <c r="H21" s="15"/>
      <c r="I21" s="21"/>
      <c r="J21" s="2"/>
      <c r="K21" s="2"/>
    </row>
    <row r="22" spans="1:11" x14ac:dyDescent="0.2">
      <c r="A22" s="3"/>
      <c r="B22" s="3"/>
      <c r="C22" s="3"/>
      <c r="D22" s="3"/>
      <c r="E22" s="2"/>
      <c r="F22" s="15"/>
      <c r="G22" s="15"/>
      <c r="H22" s="15"/>
      <c r="I22" s="21"/>
      <c r="J22" s="2"/>
      <c r="K22" s="2"/>
    </row>
    <row r="23" spans="1:11" x14ac:dyDescent="0.2">
      <c r="A23" s="8" t="s">
        <v>68</v>
      </c>
      <c r="B23" s="2"/>
      <c r="C23" s="2"/>
      <c r="D23" s="2"/>
      <c r="E23" s="2"/>
      <c r="F23" s="15"/>
      <c r="G23" s="15"/>
      <c r="H23" s="15"/>
      <c r="I23" s="21"/>
      <c r="J23" s="2"/>
      <c r="K23" s="2"/>
    </row>
    <row r="24" spans="1:11" ht="38.25" x14ac:dyDescent="0.2">
      <c r="A24" s="2"/>
      <c r="B24" s="2"/>
      <c r="C24" s="2"/>
      <c r="D24" s="38" t="s">
        <v>41</v>
      </c>
      <c r="E24" s="2"/>
      <c r="F24" s="15"/>
      <c r="G24" s="15"/>
      <c r="H24" s="15"/>
      <c r="I24" s="21"/>
      <c r="J24" s="2"/>
      <c r="K24" s="2"/>
    </row>
    <row r="25" spans="1:11" x14ac:dyDescent="0.2">
      <c r="A25" s="2" t="s">
        <v>69</v>
      </c>
      <c r="B25" s="2"/>
      <c r="C25" s="2"/>
      <c r="D25" s="40"/>
      <c r="E25" s="2"/>
      <c r="F25" s="15"/>
      <c r="G25" s="15"/>
      <c r="H25" s="15"/>
      <c r="I25" s="21"/>
      <c r="J25" s="2"/>
      <c r="K25" s="2"/>
    </row>
    <row r="26" spans="1:11" x14ac:dyDescent="0.2">
      <c r="A26" s="78" t="s">
        <v>70</v>
      </c>
      <c r="B26" s="3"/>
      <c r="C26" s="3"/>
      <c r="D26" s="41"/>
      <c r="E26" s="2"/>
      <c r="F26" s="15"/>
      <c r="G26" s="15"/>
      <c r="H26" s="15"/>
      <c r="I26" s="21"/>
      <c r="J26" s="2"/>
      <c r="K26" s="2"/>
    </row>
    <row r="27" spans="1:11" x14ac:dyDescent="0.2">
      <c r="A27" s="78" t="s">
        <v>71</v>
      </c>
      <c r="B27" s="3"/>
      <c r="C27" s="3"/>
      <c r="D27" s="40"/>
      <c r="E27" s="2"/>
      <c r="F27" s="15"/>
      <c r="G27" s="15"/>
      <c r="H27" s="15"/>
      <c r="I27" s="21"/>
      <c r="J27" s="2"/>
      <c r="K27" s="2"/>
    </row>
    <row r="28" spans="1:11" x14ac:dyDescent="0.2">
      <c r="A28" s="78"/>
      <c r="B28" s="2"/>
      <c r="C28" s="2"/>
      <c r="D28" s="42"/>
      <c r="E28" s="2"/>
      <c r="F28" s="15"/>
      <c r="G28" s="15"/>
      <c r="H28" s="15"/>
      <c r="I28" s="21"/>
      <c r="J28" s="2"/>
      <c r="K28" s="2"/>
    </row>
    <row r="29" spans="1:11" x14ac:dyDescent="0.2">
      <c r="A29" s="78"/>
      <c r="B29" s="2"/>
      <c r="C29" s="2"/>
      <c r="D29" s="42"/>
      <c r="E29" s="2"/>
      <c r="F29" s="15"/>
      <c r="G29" s="15"/>
      <c r="H29" s="15"/>
      <c r="I29" s="21"/>
      <c r="J29" s="2"/>
      <c r="K29" s="2"/>
    </row>
    <row r="30" spans="1:11" ht="13.5" thickBot="1" x14ac:dyDescent="0.25">
      <c r="A30" s="78" t="s">
        <v>72</v>
      </c>
      <c r="B30" s="2"/>
      <c r="C30" s="2"/>
      <c r="D30" s="43">
        <f>SUM(D25:D29)</f>
        <v>0</v>
      </c>
      <c r="E30" s="2"/>
      <c r="F30" s="15"/>
      <c r="G30" s="15"/>
      <c r="H30" s="15"/>
      <c r="I30" s="21"/>
      <c r="J30" s="2"/>
      <c r="K30" s="2"/>
    </row>
    <row r="31" spans="1:11" ht="13.5" thickTop="1" x14ac:dyDescent="0.2">
      <c r="A31" s="8" t="s">
        <v>6</v>
      </c>
      <c r="B31" s="2"/>
      <c r="C31" s="2"/>
      <c r="D31" s="2"/>
      <c r="E31" s="2"/>
      <c r="F31" s="2"/>
      <c r="G31" s="2"/>
      <c r="H31" s="2"/>
      <c r="I31" s="2"/>
      <c r="J31" s="2"/>
      <c r="K31" s="2"/>
    </row>
    <row r="32" spans="1:11" x14ac:dyDescent="0.2">
      <c r="A32" s="8"/>
      <c r="B32" s="2"/>
      <c r="C32" s="2"/>
      <c r="D32" s="2"/>
      <c r="E32" s="2"/>
      <c r="F32" s="2"/>
      <c r="G32" s="2"/>
      <c r="H32" s="2"/>
      <c r="I32" s="2"/>
      <c r="J32" s="2"/>
      <c r="K32" s="2"/>
    </row>
    <row r="33" spans="1:11" x14ac:dyDescent="0.2">
      <c r="A33" s="2" t="s">
        <v>46</v>
      </c>
      <c r="B33" s="2"/>
      <c r="C33" s="2"/>
      <c r="D33" s="2"/>
      <c r="E33" s="2"/>
      <c r="F33" s="2"/>
      <c r="G33" s="2"/>
      <c r="H33" s="2"/>
      <c r="I33" s="2"/>
      <c r="J33" s="2"/>
      <c r="K33" s="2"/>
    </row>
    <row r="34" spans="1:11" x14ac:dyDescent="0.2">
      <c r="A34" s="2" t="s">
        <v>35</v>
      </c>
      <c r="B34" s="2"/>
      <c r="C34" s="13">
        <f>D8+D9+D10</f>
        <v>240000</v>
      </c>
      <c r="D34" s="3"/>
      <c r="E34" s="2"/>
      <c r="F34" s="2"/>
      <c r="G34" s="2"/>
      <c r="H34" s="2"/>
      <c r="I34" s="2"/>
      <c r="J34" s="2"/>
      <c r="K34" s="2"/>
    </row>
    <row r="35" spans="1:11" x14ac:dyDescent="0.2">
      <c r="A35" s="8"/>
      <c r="B35" s="2"/>
      <c r="C35" s="2"/>
      <c r="D35" s="2"/>
      <c r="E35" s="2"/>
      <c r="F35" s="2"/>
      <c r="G35" s="2"/>
      <c r="H35" s="2"/>
      <c r="I35" s="2"/>
      <c r="J35" s="2"/>
      <c r="K35" s="2"/>
    </row>
    <row r="36" spans="1:11" ht="38.25" customHeight="1" thickBot="1" x14ac:dyDescent="0.25">
      <c r="A36" s="2"/>
      <c r="B36" s="22" t="s">
        <v>7</v>
      </c>
      <c r="C36" s="22" t="s">
        <v>8</v>
      </c>
      <c r="D36" s="22" t="s">
        <v>9</v>
      </c>
      <c r="E36" s="22" t="s">
        <v>10</v>
      </c>
      <c r="F36" s="22" t="s">
        <v>12</v>
      </c>
      <c r="G36" s="22" t="s">
        <v>11</v>
      </c>
      <c r="H36" s="77" t="s">
        <v>43</v>
      </c>
      <c r="I36" s="2"/>
      <c r="J36" s="2"/>
      <c r="K36" s="2"/>
    </row>
    <row r="37" spans="1:11" x14ac:dyDescent="0.2">
      <c r="A37" s="2"/>
      <c r="B37" s="23">
        <v>1</v>
      </c>
      <c r="C37" s="23">
        <v>0.33</v>
      </c>
      <c r="D37" s="23"/>
      <c r="E37" s="24"/>
      <c r="F37" s="23"/>
      <c r="G37" s="24">
        <f>C37*E37</f>
        <v>0</v>
      </c>
      <c r="H37" s="24">
        <f>C34-G37</f>
        <v>240000</v>
      </c>
      <c r="I37" s="2"/>
      <c r="J37" s="2"/>
      <c r="K37" s="2"/>
    </row>
    <row r="38" spans="1:11" x14ac:dyDescent="0.2">
      <c r="A38" s="2"/>
      <c r="B38" s="23">
        <v>2</v>
      </c>
      <c r="C38" s="23">
        <v>0.45</v>
      </c>
      <c r="D38" s="23"/>
      <c r="E38" s="25"/>
      <c r="F38" s="23"/>
      <c r="G38" s="26">
        <f>C38*E38</f>
        <v>0</v>
      </c>
      <c r="H38" s="25">
        <f>H37-G38</f>
        <v>240000</v>
      </c>
      <c r="I38" s="2"/>
      <c r="J38" s="2"/>
      <c r="K38" s="2"/>
    </row>
    <row r="39" spans="1:11" x14ac:dyDescent="0.2">
      <c r="A39" s="2"/>
      <c r="B39" s="23">
        <v>3</v>
      </c>
      <c r="C39" s="23">
        <v>0.15</v>
      </c>
      <c r="D39" s="23"/>
      <c r="E39" s="25"/>
      <c r="F39" s="23"/>
      <c r="G39" s="26">
        <f>C39*E39</f>
        <v>0</v>
      </c>
      <c r="H39" s="25">
        <f>H38-G39</f>
        <v>240000</v>
      </c>
      <c r="I39" s="2"/>
      <c r="J39" s="2"/>
      <c r="K39" s="2"/>
    </row>
    <row r="40" spans="1:11" x14ac:dyDescent="0.2">
      <c r="A40" s="2"/>
      <c r="B40" s="23">
        <v>4</v>
      </c>
      <c r="C40" s="23">
        <v>7.0000000000000007E-2</v>
      </c>
      <c r="D40" s="23"/>
      <c r="E40" s="25"/>
      <c r="F40" s="23"/>
      <c r="G40" s="26">
        <f>C40*E40</f>
        <v>0</v>
      </c>
      <c r="H40" s="25">
        <f>H39-G40</f>
        <v>240000</v>
      </c>
      <c r="I40" s="2"/>
      <c r="J40" s="2"/>
      <c r="K40" s="2"/>
    </row>
    <row r="41" spans="1:11" x14ac:dyDescent="0.2">
      <c r="A41" s="2"/>
      <c r="B41" s="2"/>
      <c r="C41" s="2"/>
      <c r="D41" s="2"/>
      <c r="E41" s="27"/>
      <c r="F41" s="2"/>
      <c r="G41" s="2"/>
      <c r="H41" s="2"/>
      <c r="I41" s="2"/>
      <c r="J41" s="2"/>
      <c r="K41" s="2"/>
    </row>
    <row r="42" spans="1:11" x14ac:dyDescent="0.2">
      <c r="A42" s="100"/>
      <c r="B42" s="100"/>
      <c r="C42" s="100"/>
      <c r="D42" s="100"/>
      <c r="E42" s="100"/>
      <c r="F42" s="100"/>
      <c r="G42" s="100"/>
      <c r="H42" s="100"/>
      <c r="I42" s="100"/>
      <c r="J42" s="2"/>
      <c r="K42" s="2"/>
    </row>
    <row r="43" spans="1:11" x14ac:dyDescent="0.2">
      <c r="A43" s="100"/>
      <c r="B43" s="100"/>
      <c r="C43" s="100"/>
      <c r="D43" s="100"/>
      <c r="E43" s="100"/>
      <c r="F43" s="100"/>
      <c r="G43" s="100"/>
      <c r="H43" s="100"/>
      <c r="I43" s="100"/>
      <c r="J43" s="2"/>
      <c r="K43" s="3"/>
    </row>
    <row r="44" spans="1:11" x14ac:dyDescent="0.2">
      <c r="A44" s="2"/>
      <c r="B44" s="2"/>
      <c r="C44" s="2"/>
      <c r="D44" s="2"/>
      <c r="E44" s="2"/>
      <c r="F44" s="2"/>
      <c r="G44" s="2"/>
      <c r="H44" s="2"/>
      <c r="I44" s="2"/>
      <c r="J44" s="2"/>
      <c r="K44" s="2"/>
    </row>
    <row r="45" spans="1:11" x14ac:dyDescent="0.2">
      <c r="A45" s="100" t="s">
        <v>40</v>
      </c>
      <c r="B45" s="100"/>
      <c r="C45" s="100"/>
      <c r="D45" s="100"/>
      <c r="E45" s="100"/>
      <c r="F45" s="100"/>
      <c r="G45" s="100"/>
      <c r="H45" s="100"/>
      <c r="I45" s="100"/>
      <c r="J45" s="2"/>
      <c r="K45" s="2"/>
    </row>
    <row r="46" spans="1:11" x14ac:dyDescent="0.2">
      <c r="A46" s="2"/>
      <c r="B46" s="2"/>
      <c r="C46" s="2"/>
      <c r="D46" s="2"/>
      <c r="E46" s="2"/>
      <c r="F46" s="2"/>
      <c r="G46" s="2"/>
      <c r="H46" s="2"/>
      <c r="I46" s="2"/>
      <c r="J46" s="2"/>
      <c r="K46" s="2"/>
    </row>
    <row r="47" spans="1:11" x14ac:dyDescent="0.2">
      <c r="A47" s="8" t="s">
        <v>37</v>
      </c>
      <c r="B47" s="2"/>
      <c r="C47" s="2"/>
      <c r="D47" s="2"/>
      <c r="E47" s="2"/>
      <c r="F47" s="2"/>
      <c r="G47" s="2"/>
      <c r="H47" s="2"/>
      <c r="I47" s="2"/>
      <c r="J47" s="2"/>
      <c r="K47" s="2"/>
    </row>
    <row r="48" spans="1:11" ht="13.5" thickBot="1" x14ac:dyDescent="0.25">
      <c r="A48" s="2"/>
      <c r="B48" s="2"/>
      <c r="C48" s="3"/>
      <c r="D48" s="3"/>
      <c r="E48" s="28" t="s">
        <v>14</v>
      </c>
      <c r="F48" s="28" t="s">
        <v>25</v>
      </c>
      <c r="G48" s="28" t="s">
        <v>26</v>
      </c>
      <c r="H48" s="28" t="s">
        <v>15</v>
      </c>
      <c r="I48" s="2"/>
      <c r="J48" s="2"/>
      <c r="K48" s="2"/>
    </row>
    <row r="49" spans="1:11" x14ac:dyDescent="0.2">
      <c r="A49" s="2" t="s">
        <v>77</v>
      </c>
      <c r="B49" s="2"/>
      <c r="C49" s="3"/>
      <c r="D49" s="3"/>
      <c r="E49" s="29"/>
      <c r="F49" s="29"/>
      <c r="G49" s="29"/>
      <c r="H49" s="29"/>
      <c r="I49" s="2"/>
      <c r="J49" s="2"/>
      <c r="K49" s="2"/>
    </row>
    <row r="50" spans="1:11" x14ac:dyDescent="0.2">
      <c r="A50" s="2" t="s">
        <v>78</v>
      </c>
      <c r="B50" s="2"/>
      <c r="C50" s="3"/>
      <c r="D50" s="3"/>
      <c r="E50" s="30"/>
      <c r="F50" s="30"/>
      <c r="G50" s="30"/>
      <c r="H50" s="30"/>
      <c r="I50" s="2"/>
      <c r="J50" s="2"/>
      <c r="K50" s="2"/>
    </row>
    <row r="51" spans="1:11" x14ac:dyDescent="0.2">
      <c r="A51" s="2" t="s">
        <v>79</v>
      </c>
      <c r="B51" s="2"/>
      <c r="C51" s="3"/>
      <c r="D51" s="3"/>
      <c r="E51" s="30"/>
      <c r="F51" s="30"/>
      <c r="G51" s="30"/>
      <c r="H51" s="30"/>
      <c r="I51" s="2"/>
      <c r="J51" s="2"/>
      <c r="K51" s="2"/>
    </row>
    <row r="52" spans="1:11" x14ac:dyDescent="0.2">
      <c r="A52" s="2"/>
      <c r="B52" s="2"/>
      <c r="C52" s="3"/>
      <c r="D52" s="3"/>
      <c r="E52" s="30"/>
      <c r="F52" s="30"/>
      <c r="G52" s="30"/>
      <c r="H52" s="30"/>
      <c r="I52" s="2"/>
      <c r="J52" s="2"/>
      <c r="K52" s="2"/>
    </row>
    <row r="53" spans="1:11" x14ac:dyDescent="0.2">
      <c r="A53" s="2" t="s">
        <v>27</v>
      </c>
      <c r="B53" s="2" t="s">
        <v>80</v>
      </c>
      <c r="C53" s="3"/>
      <c r="D53" s="3"/>
      <c r="E53" s="31">
        <f>E49*E50</f>
        <v>0</v>
      </c>
      <c r="F53" s="31">
        <f>F49*F50</f>
        <v>0</v>
      </c>
      <c r="G53" s="31">
        <f>G49*G50</f>
        <v>0</v>
      </c>
      <c r="H53" s="31">
        <f>H49*H50</f>
        <v>0</v>
      </c>
      <c r="I53" s="2"/>
      <c r="J53" s="2"/>
      <c r="K53" s="2"/>
    </row>
    <row r="54" spans="1:11" x14ac:dyDescent="0.2">
      <c r="A54" s="78" t="s">
        <v>53</v>
      </c>
      <c r="B54" s="78" t="s">
        <v>81</v>
      </c>
      <c r="C54" s="3"/>
      <c r="D54" s="3"/>
      <c r="E54" s="32">
        <f>E49*E51</f>
        <v>0</v>
      </c>
      <c r="F54" s="32">
        <f>F49*F51</f>
        <v>0</v>
      </c>
      <c r="G54" s="32">
        <f>G49*G51</f>
        <v>0</v>
      </c>
      <c r="H54" s="32">
        <f>H49*H51</f>
        <v>0</v>
      </c>
      <c r="I54" s="2"/>
      <c r="J54" s="2"/>
      <c r="K54" s="2"/>
    </row>
    <row r="55" spans="1:11" x14ac:dyDescent="0.2">
      <c r="A55" s="78" t="s">
        <v>54</v>
      </c>
      <c r="B55" s="2"/>
      <c r="C55" s="3"/>
      <c r="D55" s="3"/>
      <c r="E55" s="33">
        <f>G37</f>
        <v>0</v>
      </c>
      <c r="F55" s="33">
        <f>G38</f>
        <v>0</v>
      </c>
      <c r="G55" s="33">
        <f>G39</f>
        <v>0</v>
      </c>
      <c r="H55" s="33">
        <f>G40</f>
        <v>0</v>
      </c>
      <c r="I55" s="2"/>
      <c r="J55" s="2"/>
      <c r="K55" s="2"/>
    </row>
    <row r="56" spans="1:11" x14ac:dyDescent="0.2">
      <c r="A56" s="78" t="s">
        <v>55</v>
      </c>
      <c r="B56" s="2"/>
      <c r="C56" s="3"/>
      <c r="D56" s="3"/>
      <c r="E56" s="31">
        <f>E53-E54-E55</f>
        <v>0</v>
      </c>
      <c r="F56" s="31">
        <f>F53-F54-F55</f>
        <v>0</v>
      </c>
      <c r="G56" s="31">
        <f>G53-G54-G55</f>
        <v>0</v>
      </c>
      <c r="H56" s="31">
        <f>H53-H54-H55</f>
        <v>0</v>
      </c>
      <c r="I56" s="2"/>
      <c r="J56" s="2"/>
      <c r="K56" s="2"/>
    </row>
    <row r="57" spans="1:11" x14ac:dyDescent="0.2">
      <c r="A57" s="78" t="s">
        <v>56</v>
      </c>
      <c r="B57" s="2"/>
      <c r="C57" s="3"/>
      <c r="D57" s="3"/>
      <c r="E57" s="33">
        <f>E56*$D$13</f>
        <v>0</v>
      </c>
      <c r="F57" s="33">
        <f>F56*$D$13</f>
        <v>0</v>
      </c>
      <c r="G57" s="33">
        <f>G56*$D$13</f>
        <v>0</v>
      </c>
      <c r="H57" s="33">
        <f>H56*D13</f>
        <v>0</v>
      </c>
      <c r="I57" s="2"/>
      <c r="J57" s="2"/>
      <c r="K57" s="2"/>
    </row>
    <row r="58" spans="1:11" x14ac:dyDescent="0.2">
      <c r="A58" s="78" t="s">
        <v>57</v>
      </c>
      <c r="B58" s="2"/>
      <c r="C58" s="3"/>
      <c r="D58" s="3"/>
      <c r="E58" s="31">
        <f>E56-E57</f>
        <v>0</v>
      </c>
      <c r="F58" s="31">
        <f>F56-F57</f>
        <v>0</v>
      </c>
      <c r="G58" s="31">
        <f>G56-G57</f>
        <v>0</v>
      </c>
      <c r="H58" s="31">
        <f>H56-H57</f>
        <v>0</v>
      </c>
      <c r="I58" s="2"/>
      <c r="J58" s="2"/>
      <c r="K58" s="2"/>
    </row>
    <row r="59" spans="1:11" x14ac:dyDescent="0.2">
      <c r="A59" s="78" t="s">
        <v>58</v>
      </c>
      <c r="B59" s="2"/>
      <c r="C59" s="3"/>
      <c r="D59" s="3"/>
      <c r="E59" s="33">
        <f>E55</f>
        <v>0</v>
      </c>
      <c r="F59" s="33">
        <f>F55</f>
        <v>0</v>
      </c>
      <c r="G59" s="33">
        <f>G55</f>
        <v>0</v>
      </c>
      <c r="H59" s="33">
        <f>H55</f>
        <v>0</v>
      </c>
      <c r="I59" s="2"/>
      <c r="J59" s="2"/>
      <c r="K59" s="2"/>
    </row>
    <row r="60" spans="1:11" ht="13.5" thickBot="1" x14ac:dyDescent="0.25">
      <c r="A60" s="78" t="s">
        <v>59</v>
      </c>
      <c r="B60" s="2"/>
      <c r="C60" s="3"/>
      <c r="D60" s="3"/>
      <c r="E60" s="34">
        <f>E58+E59</f>
        <v>0</v>
      </c>
      <c r="F60" s="34">
        <f>F58+F59</f>
        <v>0</v>
      </c>
      <c r="G60" s="34">
        <f>G58+G59</f>
        <v>0</v>
      </c>
      <c r="H60" s="34">
        <f>H58+H59</f>
        <v>0</v>
      </c>
      <c r="I60" s="2"/>
      <c r="J60" s="2"/>
      <c r="K60" s="2"/>
    </row>
    <row r="61" spans="1:11" ht="13.5" thickTop="1" x14ac:dyDescent="0.2">
      <c r="A61" s="2"/>
      <c r="B61" s="2"/>
      <c r="C61" s="2"/>
      <c r="D61" s="2"/>
      <c r="E61" s="2"/>
      <c r="F61" s="2"/>
      <c r="G61" s="2"/>
      <c r="H61" s="2"/>
      <c r="I61" s="2"/>
      <c r="J61" s="2"/>
      <c r="K61" s="2"/>
    </row>
    <row r="62" spans="1:11" ht="13.5" thickBot="1" x14ac:dyDescent="0.25">
      <c r="A62" s="2"/>
      <c r="B62" s="2"/>
      <c r="C62" s="3"/>
      <c r="D62" s="35"/>
      <c r="E62" s="28"/>
      <c r="F62" s="28"/>
      <c r="G62" s="28"/>
      <c r="H62" s="28"/>
      <c r="I62" s="2"/>
      <c r="J62" s="2"/>
      <c r="K62" s="2"/>
    </row>
    <row r="63" spans="1:11" x14ac:dyDescent="0.2">
      <c r="A63" s="2"/>
      <c r="B63" s="2"/>
      <c r="C63" s="3"/>
      <c r="D63" s="2"/>
      <c r="E63" s="36"/>
      <c r="F63" s="36"/>
      <c r="G63" s="36"/>
      <c r="H63" s="36"/>
      <c r="I63" s="2"/>
      <c r="J63" s="2"/>
      <c r="K63" s="2"/>
    </row>
    <row r="64" spans="1:11" x14ac:dyDescent="0.2">
      <c r="A64" s="8" t="s">
        <v>60</v>
      </c>
      <c r="B64" s="2"/>
      <c r="C64" s="2"/>
      <c r="D64" s="2"/>
      <c r="E64" s="2"/>
      <c r="F64" s="2"/>
      <c r="G64" s="2"/>
      <c r="H64" s="2"/>
      <c r="I64" s="2"/>
      <c r="J64" s="2"/>
      <c r="K64" s="2"/>
    </row>
    <row r="65" spans="1:12" ht="24.75" customHeight="1" thickBot="1" x14ac:dyDescent="0.25">
      <c r="A65" s="8" t="s">
        <v>39</v>
      </c>
      <c r="B65" s="2"/>
      <c r="C65" s="2"/>
      <c r="D65" s="2"/>
      <c r="E65" s="2"/>
      <c r="F65" s="101" t="s">
        <v>42</v>
      </c>
      <c r="G65" s="101"/>
      <c r="H65" s="2"/>
      <c r="I65" s="2"/>
      <c r="J65" s="2"/>
      <c r="K65" s="2"/>
    </row>
    <row r="66" spans="1:12" ht="38.25" x14ac:dyDescent="0.2">
      <c r="A66" s="2"/>
      <c r="B66" s="2"/>
      <c r="C66" s="2"/>
      <c r="D66" s="38" t="s">
        <v>41</v>
      </c>
      <c r="E66" s="2"/>
      <c r="H66" s="2"/>
      <c r="I66" s="2"/>
      <c r="J66" s="2"/>
      <c r="K66" s="39">
        <v>25000</v>
      </c>
      <c r="L66" s="39">
        <v>10000</v>
      </c>
    </row>
    <row r="67" spans="1:12" x14ac:dyDescent="0.2">
      <c r="A67" s="2" t="s">
        <v>61</v>
      </c>
      <c r="B67" s="2"/>
      <c r="C67" s="2"/>
      <c r="D67" s="40"/>
      <c r="E67" s="2"/>
      <c r="F67" s="40"/>
      <c r="G67" s="40"/>
      <c r="H67" s="2"/>
      <c r="I67" s="2"/>
      <c r="J67" s="2"/>
      <c r="K67" s="2"/>
    </row>
    <row r="68" spans="1:12" x14ac:dyDescent="0.2">
      <c r="A68" s="78" t="s">
        <v>62</v>
      </c>
      <c r="B68" s="3"/>
      <c r="C68" s="3"/>
      <c r="D68" s="41"/>
      <c r="E68" s="2"/>
      <c r="F68" s="41"/>
      <c r="G68" s="41"/>
      <c r="H68" s="2"/>
      <c r="I68" s="2"/>
      <c r="J68" s="2"/>
      <c r="K68" s="2"/>
    </row>
    <row r="69" spans="1:12" x14ac:dyDescent="0.2">
      <c r="A69" s="78" t="s">
        <v>63</v>
      </c>
      <c r="B69" s="3"/>
      <c r="C69" s="3"/>
      <c r="D69" s="40">
        <f>D67-D68</f>
        <v>0</v>
      </c>
      <c r="E69" s="2"/>
      <c r="F69" s="40">
        <f>F67-F68</f>
        <v>0</v>
      </c>
      <c r="G69" s="40">
        <f>G67-G68</f>
        <v>0</v>
      </c>
      <c r="H69" s="2"/>
      <c r="I69" s="2"/>
      <c r="J69" s="2"/>
      <c r="K69" s="2"/>
    </row>
    <row r="70" spans="1:12" x14ac:dyDescent="0.2">
      <c r="A70" s="78" t="s">
        <v>64</v>
      </c>
      <c r="B70" s="2"/>
      <c r="C70" s="2"/>
      <c r="D70" s="42">
        <f>$D$13*D69</f>
        <v>0</v>
      </c>
      <c r="E70" s="2"/>
      <c r="F70" s="42">
        <f>$D$13*F69</f>
        <v>0</v>
      </c>
      <c r="G70" s="42">
        <f>$D$13*G69</f>
        <v>0</v>
      </c>
      <c r="H70" s="2"/>
      <c r="I70" s="2"/>
      <c r="J70" s="2"/>
      <c r="K70" s="2"/>
    </row>
    <row r="71" spans="1:12" x14ac:dyDescent="0.2">
      <c r="A71" s="78" t="s">
        <v>66</v>
      </c>
      <c r="B71" s="2"/>
      <c r="C71" s="2"/>
      <c r="D71" s="42">
        <f>-$D$27</f>
        <v>0</v>
      </c>
      <c r="E71" s="2"/>
      <c r="F71" s="42">
        <f t="shared" ref="F71:G71" si="0">-$D$27</f>
        <v>0</v>
      </c>
      <c r="G71" s="42">
        <f t="shared" si="0"/>
        <v>0</v>
      </c>
      <c r="H71" s="2"/>
      <c r="I71" s="2"/>
      <c r="J71" s="2"/>
      <c r="K71" s="2"/>
    </row>
    <row r="72" spans="1:12" ht="13.5" thickBot="1" x14ac:dyDescent="0.25">
      <c r="A72" s="78" t="s">
        <v>67</v>
      </c>
      <c r="B72" s="2"/>
      <c r="C72" s="2"/>
      <c r="D72" s="43">
        <f>D67-D70+D71</f>
        <v>0</v>
      </c>
      <c r="E72" s="2"/>
      <c r="F72" s="43">
        <f t="shared" ref="F72:G72" si="1">F67-F70+F71</f>
        <v>0</v>
      </c>
      <c r="G72" s="43">
        <f t="shared" si="1"/>
        <v>0</v>
      </c>
      <c r="H72" s="2"/>
      <c r="I72" s="2"/>
      <c r="J72" s="2"/>
      <c r="K72" s="2"/>
    </row>
    <row r="73" spans="1:12" ht="13.5" thickTop="1" x14ac:dyDescent="0.2">
      <c r="A73" s="2"/>
      <c r="B73" s="2"/>
      <c r="C73" s="44"/>
      <c r="D73" s="44"/>
      <c r="E73" s="44"/>
      <c r="F73" s="44"/>
      <c r="G73" s="44"/>
      <c r="H73" s="2"/>
      <c r="I73" s="2"/>
      <c r="J73" s="2"/>
      <c r="K73" s="2"/>
    </row>
    <row r="74" spans="1:12" x14ac:dyDescent="0.2">
      <c r="A74" s="100" t="s">
        <v>49</v>
      </c>
      <c r="B74" s="102"/>
      <c r="C74" s="102"/>
      <c r="D74" s="102"/>
      <c r="E74" s="102"/>
      <c r="F74" s="102"/>
      <c r="G74" s="102"/>
      <c r="H74" s="102"/>
      <c r="I74" s="102"/>
      <c r="J74" s="2"/>
      <c r="K74" s="2"/>
    </row>
    <row r="75" spans="1:12" x14ac:dyDescent="0.2">
      <c r="A75" s="102"/>
      <c r="B75" s="102"/>
      <c r="C75" s="102"/>
      <c r="D75" s="102"/>
      <c r="E75" s="102"/>
      <c r="F75" s="102"/>
      <c r="G75" s="102"/>
      <c r="H75" s="102"/>
      <c r="I75" s="102"/>
      <c r="J75" s="2"/>
      <c r="K75" s="2"/>
    </row>
    <row r="76" spans="1:12" x14ac:dyDescent="0.2">
      <c r="A76" s="2"/>
      <c r="B76" s="2"/>
      <c r="C76" s="44"/>
      <c r="D76" s="44"/>
      <c r="E76" s="44"/>
      <c r="F76" s="44"/>
      <c r="G76" s="44"/>
      <c r="H76" s="2"/>
      <c r="I76" s="2"/>
      <c r="J76" s="2"/>
      <c r="K76" s="2"/>
    </row>
    <row r="77" spans="1:12" ht="15.75" x14ac:dyDescent="0.25">
      <c r="A77" s="45" t="s">
        <v>16</v>
      </c>
      <c r="B77" s="2"/>
      <c r="C77" s="46"/>
      <c r="D77" s="46"/>
      <c r="E77" s="2"/>
      <c r="F77" s="2"/>
      <c r="G77" s="2"/>
      <c r="H77" s="2"/>
      <c r="I77" s="2"/>
      <c r="J77" s="2"/>
      <c r="K77" s="2"/>
    </row>
    <row r="78" spans="1:12" ht="13.5" thickBot="1" x14ac:dyDescent="0.25">
      <c r="A78" s="2"/>
      <c r="B78" s="2"/>
      <c r="C78" s="47"/>
      <c r="D78" s="3"/>
      <c r="E78" s="28" t="s">
        <v>38</v>
      </c>
      <c r="F78" s="28" t="s">
        <v>14</v>
      </c>
      <c r="G78" s="28" t="s">
        <v>25</v>
      </c>
      <c r="H78" s="28" t="s">
        <v>26</v>
      </c>
      <c r="I78" s="28" t="s">
        <v>15</v>
      </c>
      <c r="J78" s="2"/>
      <c r="K78" s="2"/>
    </row>
    <row r="79" spans="1:12" x14ac:dyDescent="0.2">
      <c r="A79" s="48"/>
      <c r="B79" s="48"/>
      <c r="C79" s="48"/>
      <c r="D79" s="3"/>
      <c r="E79" s="48"/>
      <c r="F79" s="2"/>
      <c r="G79" s="2"/>
      <c r="H79" s="2"/>
      <c r="I79" s="2"/>
      <c r="J79" s="2"/>
      <c r="K79" s="2"/>
    </row>
    <row r="80" spans="1:12" x14ac:dyDescent="0.2">
      <c r="A80" s="49" t="s">
        <v>75</v>
      </c>
      <c r="B80" s="2"/>
      <c r="C80" s="2"/>
      <c r="D80" s="3"/>
      <c r="E80" s="36">
        <f>D30</f>
        <v>0</v>
      </c>
      <c r="F80" s="50"/>
      <c r="G80" s="37"/>
      <c r="H80" s="37"/>
      <c r="I80" s="37"/>
      <c r="J80" s="2"/>
      <c r="K80" s="2"/>
    </row>
    <row r="81" spans="1:11" x14ac:dyDescent="0.2">
      <c r="A81" s="49" t="s">
        <v>13</v>
      </c>
      <c r="B81" s="49"/>
      <c r="C81" s="49"/>
      <c r="D81" s="3"/>
      <c r="E81" s="51"/>
      <c r="F81" s="36">
        <f>E60</f>
        <v>0</v>
      </c>
      <c r="G81" s="36">
        <f>F60</f>
        <v>0</v>
      </c>
      <c r="H81" s="36">
        <f>G60</f>
        <v>0</v>
      </c>
      <c r="I81" s="36">
        <f>H60</f>
        <v>0</v>
      </c>
      <c r="J81" s="2"/>
      <c r="K81" s="2"/>
    </row>
    <row r="82" spans="1:11" x14ac:dyDescent="0.2">
      <c r="A82" s="49"/>
      <c r="B82" s="49"/>
      <c r="C82" s="49"/>
      <c r="D82" s="3"/>
      <c r="E82" s="37"/>
      <c r="F82" s="37"/>
      <c r="G82" s="37"/>
      <c r="H82" s="37"/>
      <c r="I82" s="37"/>
      <c r="J82" s="2"/>
      <c r="K82" s="2"/>
    </row>
    <row r="83" spans="1:11" ht="13.5" thickBot="1" x14ac:dyDescent="0.25">
      <c r="A83" s="49" t="s">
        <v>74</v>
      </c>
      <c r="B83" s="49"/>
      <c r="C83" s="2"/>
      <c r="D83" s="2"/>
      <c r="E83" s="52"/>
      <c r="F83" s="52"/>
      <c r="G83" s="52"/>
      <c r="H83" s="52"/>
      <c r="I83" s="52">
        <f>D72</f>
        <v>0</v>
      </c>
      <c r="J83" s="2"/>
      <c r="K83" s="2"/>
    </row>
    <row r="84" spans="1:11" ht="13.5" thickBot="1" x14ac:dyDescent="0.25">
      <c r="A84" s="2" t="s">
        <v>18</v>
      </c>
      <c r="B84" s="2"/>
      <c r="C84" s="2"/>
      <c r="D84" s="2"/>
      <c r="E84" s="53">
        <f>SUM(E80:E83)</f>
        <v>0</v>
      </c>
      <c r="F84" s="53">
        <f>SUM(F80:F83)</f>
        <v>0</v>
      </c>
      <c r="G84" s="53">
        <f>SUM(G80:G83)</f>
        <v>0</v>
      </c>
      <c r="H84" s="53">
        <f>SUM(H80:H83)</f>
        <v>0</v>
      </c>
      <c r="I84" s="53">
        <f>SUM(I80:I83)</f>
        <v>0</v>
      </c>
      <c r="J84" s="2"/>
      <c r="K84" s="2"/>
    </row>
    <row r="85" spans="1:11" ht="14.25" thickTop="1" thickBot="1" x14ac:dyDescent="0.25">
      <c r="A85" s="2"/>
      <c r="B85" s="2"/>
      <c r="C85" s="2"/>
      <c r="D85" s="2"/>
      <c r="E85" s="2"/>
      <c r="F85" s="2"/>
      <c r="G85" s="54"/>
      <c r="H85" s="2"/>
      <c r="I85" s="2"/>
      <c r="J85" s="2"/>
      <c r="K85" s="2"/>
    </row>
    <row r="86" spans="1:11" x14ac:dyDescent="0.2">
      <c r="A86" s="55" t="s">
        <v>19</v>
      </c>
      <c r="B86" s="56"/>
      <c r="C86" s="57">
        <f>NPV(D14,F84:I84)+E84</f>
        <v>0</v>
      </c>
      <c r="D86" s="2"/>
      <c r="E86" s="2"/>
      <c r="F86" s="2"/>
      <c r="G86" s="2"/>
      <c r="H86" s="2"/>
      <c r="I86" s="2"/>
      <c r="J86" s="2"/>
      <c r="K86" s="2"/>
    </row>
    <row r="87" spans="1:11" ht="13.5" thickBot="1" x14ac:dyDescent="0.25">
      <c r="A87" s="58" t="s">
        <v>20</v>
      </c>
      <c r="B87" s="59"/>
      <c r="C87" s="60" t="e">
        <f>IRR(E84:I84)</f>
        <v>#NUM!</v>
      </c>
      <c r="D87" s="2"/>
      <c r="E87" s="61" t="s">
        <v>47</v>
      </c>
      <c r="F87" s="61" t="s">
        <v>48</v>
      </c>
      <c r="G87" s="2"/>
      <c r="H87" s="2"/>
      <c r="I87" s="2"/>
      <c r="J87" s="2"/>
      <c r="K87" s="2"/>
    </row>
    <row r="88" spans="1:11" x14ac:dyDescent="0.2">
      <c r="A88" s="2"/>
      <c r="B88" s="2"/>
      <c r="C88" s="2"/>
      <c r="D88" s="2"/>
      <c r="E88" s="36">
        <f>NPV(D14,F91:I91)</f>
        <v>0</v>
      </c>
      <c r="F88" s="36">
        <f>E88*(1.1)^4</f>
        <v>0</v>
      </c>
      <c r="G88" s="2"/>
      <c r="H88" s="2"/>
      <c r="I88" s="2"/>
      <c r="J88" s="2"/>
      <c r="K88" s="2"/>
    </row>
    <row r="89" spans="1:11" ht="13.5" thickBot="1" x14ac:dyDescent="0.25">
      <c r="A89" s="2"/>
      <c r="B89" s="2"/>
      <c r="C89" s="2"/>
      <c r="D89" s="2"/>
      <c r="E89" s="97" t="s">
        <v>17</v>
      </c>
      <c r="F89" s="97"/>
      <c r="G89" s="97"/>
      <c r="H89" s="97"/>
      <c r="I89" s="97"/>
      <c r="J89" s="2"/>
      <c r="K89" s="2"/>
    </row>
    <row r="90" spans="1:11" ht="15.75" x14ac:dyDescent="0.25">
      <c r="A90" s="45" t="s">
        <v>28</v>
      </c>
      <c r="B90" s="2"/>
      <c r="C90" s="2"/>
      <c r="D90" s="2"/>
      <c r="E90" s="62">
        <v>0</v>
      </c>
      <c r="F90" s="62">
        <v>1</v>
      </c>
      <c r="G90" s="62">
        <v>2</v>
      </c>
      <c r="H90" s="62">
        <v>3</v>
      </c>
      <c r="I90" s="62">
        <v>4</v>
      </c>
      <c r="J90" s="2"/>
      <c r="K90" s="2"/>
    </row>
    <row r="91" spans="1:11" x14ac:dyDescent="0.2">
      <c r="A91" s="2" t="s">
        <v>18</v>
      </c>
      <c r="B91" s="2"/>
      <c r="C91" s="2"/>
      <c r="D91" s="2"/>
      <c r="E91" s="36">
        <f>E84</f>
        <v>0</v>
      </c>
      <c r="F91" s="36">
        <f>F84</f>
        <v>0</v>
      </c>
      <c r="G91" s="36">
        <f>G84</f>
        <v>0</v>
      </c>
      <c r="H91" s="36">
        <f>H84</f>
        <v>0</v>
      </c>
      <c r="I91" s="36">
        <f>I84</f>
        <v>0</v>
      </c>
      <c r="J91" s="2"/>
      <c r="K91" s="73">
        <f>NPV(10%,F91:I91)</f>
        <v>0</v>
      </c>
    </row>
    <row r="92" spans="1:11" x14ac:dyDescent="0.2">
      <c r="A92" s="2"/>
      <c r="B92" s="2"/>
      <c r="C92" s="2"/>
      <c r="D92" s="2"/>
      <c r="E92" s="2"/>
      <c r="F92" s="2"/>
      <c r="G92" s="2"/>
      <c r="H92" s="2"/>
      <c r="I92" s="37">
        <f>H91*(1+D14)</f>
        <v>0</v>
      </c>
      <c r="J92" s="2"/>
      <c r="K92" s="73">
        <f>FV(0.1,4,0,K91)</f>
        <v>0</v>
      </c>
    </row>
    <row r="93" spans="1:11" x14ac:dyDescent="0.2">
      <c r="A93" s="2"/>
      <c r="B93" s="2"/>
      <c r="C93" s="2"/>
      <c r="D93" s="2"/>
      <c r="E93" s="2"/>
      <c r="F93" s="2"/>
      <c r="G93" s="2"/>
      <c r="H93" s="2"/>
      <c r="I93" s="37">
        <f>G91*(1+D14)^2</f>
        <v>0</v>
      </c>
      <c r="J93" s="2"/>
      <c r="K93" s="2"/>
    </row>
    <row r="94" spans="1:11" ht="15" x14ac:dyDescent="0.35">
      <c r="A94" s="2"/>
      <c r="B94" s="2"/>
      <c r="C94" s="2"/>
      <c r="D94" s="2"/>
      <c r="E94" s="2"/>
      <c r="F94" s="2"/>
      <c r="G94" s="2"/>
      <c r="H94" s="2"/>
      <c r="I94" s="63">
        <f>F91*(1+D14)^3</f>
        <v>0</v>
      </c>
      <c r="J94" s="2"/>
      <c r="K94" s="64"/>
    </row>
    <row r="95" spans="1:11" x14ac:dyDescent="0.2">
      <c r="A95" s="2"/>
      <c r="B95" s="2"/>
      <c r="C95" s="2"/>
      <c r="D95" s="65" t="s">
        <v>29</v>
      </c>
      <c r="E95" s="36">
        <f>E91</f>
        <v>0</v>
      </c>
      <c r="F95" s="2"/>
      <c r="G95" s="2"/>
      <c r="H95" s="65" t="s">
        <v>21</v>
      </c>
      <c r="I95" s="36">
        <f>SUM(I91:I94)</f>
        <v>0</v>
      </c>
      <c r="J95" s="2"/>
      <c r="K95" s="2"/>
    </row>
    <row r="96" spans="1:11" x14ac:dyDescent="0.2">
      <c r="A96" s="2"/>
      <c r="B96" s="2"/>
      <c r="C96" s="2"/>
      <c r="D96" s="3"/>
      <c r="E96" s="3"/>
      <c r="F96" s="3"/>
      <c r="G96" s="3"/>
      <c r="H96" s="3"/>
      <c r="I96" s="3"/>
      <c r="J96" s="2"/>
      <c r="K96" s="2"/>
    </row>
    <row r="97" spans="1:11" ht="26.25" customHeight="1" thickBot="1" x14ac:dyDescent="0.25">
      <c r="A97" s="98" t="s">
        <v>30</v>
      </c>
      <c r="B97" s="99"/>
      <c r="C97" s="99"/>
      <c r="D97" s="99"/>
      <c r="E97" s="99"/>
      <c r="F97" s="99"/>
      <c r="G97" s="99"/>
      <c r="H97" s="99"/>
      <c r="I97" s="99"/>
      <c r="J97" s="66"/>
      <c r="K97" s="2"/>
    </row>
    <row r="98" spans="1:11" ht="13.5" thickBot="1" x14ac:dyDescent="0.25">
      <c r="A98" s="67" t="s">
        <v>31</v>
      </c>
      <c r="B98" s="68" t="e">
        <f>MIRR(E91:I91,D14,D14)</f>
        <v>#DIV/0!</v>
      </c>
      <c r="C98" s="3"/>
      <c r="D98" s="2"/>
      <c r="E98" s="2"/>
      <c r="F98" s="2"/>
      <c r="G98" s="2"/>
      <c r="H98" s="2"/>
      <c r="I98" s="2"/>
      <c r="J98" s="2"/>
      <c r="K98" s="2"/>
    </row>
    <row r="99" spans="1:11" x14ac:dyDescent="0.2">
      <c r="A99" s="2"/>
      <c r="B99" s="2"/>
      <c r="C99" s="2"/>
      <c r="D99" s="2"/>
      <c r="E99" s="2"/>
      <c r="F99" s="2"/>
      <c r="G99" s="2"/>
      <c r="H99" s="2"/>
      <c r="I99" s="2"/>
      <c r="J99" s="2"/>
      <c r="K99" s="2"/>
    </row>
    <row r="100" spans="1:11" ht="16.5" thickBot="1" x14ac:dyDescent="0.3">
      <c r="A100" s="45" t="s">
        <v>32</v>
      </c>
      <c r="B100" s="2"/>
      <c r="C100" s="2"/>
      <c r="D100" s="2"/>
      <c r="E100" s="97" t="s">
        <v>17</v>
      </c>
      <c r="F100" s="97"/>
      <c r="G100" s="97"/>
      <c r="H100" s="97"/>
      <c r="I100" s="97"/>
      <c r="J100" s="2"/>
      <c r="K100" s="2"/>
    </row>
    <row r="101" spans="1:11" x14ac:dyDescent="0.2">
      <c r="A101" s="2"/>
      <c r="B101" s="2"/>
      <c r="C101" s="2"/>
      <c r="D101" s="2"/>
      <c r="E101" s="62">
        <v>0</v>
      </c>
      <c r="F101" s="62">
        <v>1</v>
      </c>
      <c r="G101" s="62">
        <v>2</v>
      </c>
      <c r="H101" s="62">
        <v>3</v>
      </c>
      <c r="I101" s="62">
        <v>4</v>
      </c>
      <c r="J101" s="2"/>
      <c r="K101" s="2"/>
    </row>
    <row r="102" spans="1:11" x14ac:dyDescent="0.2">
      <c r="A102" s="2" t="s">
        <v>44</v>
      </c>
      <c r="B102" s="2"/>
      <c r="C102" s="2"/>
      <c r="D102" s="2"/>
      <c r="E102" s="69">
        <f>E84</f>
        <v>0</v>
      </c>
      <c r="F102" s="69">
        <f>F84</f>
        <v>0</v>
      </c>
      <c r="G102" s="69">
        <f>G84</f>
        <v>0</v>
      </c>
      <c r="H102" s="69">
        <f>H84</f>
        <v>0</v>
      </c>
      <c r="I102" s="69">
        <f>I84</f>
        <v>0</v>
      </c>
      <c r="J102" s="2"/>
      <c r="K102" s="2"/>
    </row>
    <row r="103" spans="1:11" ht="12.75" customHeight="1" x14ac:dyDescent="0.2">
      <c r="A103" s="2" t="s">
        <v>22</v>
      </c>
      <c r="B103" s="2"/>
      <c r="C103" s="2"/>
      <c r="D103" s="2"/>
      <c r="E103" s="69">
        <f>E102</f>
        <v>0</v>
      </c>
      <c r="F103" s="69">
        <f>E103+F102</f>
        <v>0</v>
      </c>
      <c r="G103" s="69">
        <f>F103+G102</f>
        <v>0</v>
      </c>
      <c r="H103" s="69">
        <f>G103+H102</f>
        <v>0</v>
      </c>
      <c r="I103" s="69">
        <f>H103+I102</f>
        <v>0</v>
      </c>
      <c r="J103" s="2"/>
      <c r="K103" s="2"/>
    </row>
    <row r="104" spans="1:11" ht="13.5" thickBot="1" x14ac:dyDescent="0.25">
      <c r="A104" s="70"/>
      <c r="B104" s="71"/>
      <c r="C104" s="71"/>
      <c r="D104" s="2"/>
      <c r="E104" s="2"/>
      <c r="F104" s="2"/>
      <c r="G104" s="2"/>
      <c r="H104" s="2"/>
      <c r="I104" s="2"/>
      <c r="J104" s="2"/>
      <c r="K104" s="2"/>
    </row>
    <row r="105" spans="1:11" ht="13.5" thickBot="1" x14ac:dyDescent="0.25">
      <c r="A105" s="2"/>
      <c r="B105" s="2" t="s">
        <v>23</v>
      </c>
      <c r="C105" s="72">
        <f>PERCENTRANK(E103:I103,0,6)*I101</f>
        <v>0</v>
      </c>
      <c r="D105" s="2"/>
      <c r="E105" s="2"/>
      <c r="F105" s="2"/>
      <c r="G105" s="2"/>
      <c r="H105" s="2"/>
      <c r="I105" s="2"/>
      <c r="J105" s="2"/>
      <c r="K105" s="2"/>
    </row>
    <row r="106" spans="1:11" x14ac:dyDescent="0.2">
      <c r="A106" s="2"/>
      <c r="B106" s="2"/>
      <c r="C106" s="2"/>
      <c r="D106" s="2"/>
      <c r="E106" s="2"/>
      <c r="F106" s="2"/>
      <c r="G106" s="2"/>
      <c r="H106" s="2"/>
      <c r="I106" s="2"/>
      <c r="J106" s="2"/>
      <c r="K106" s="2"/>
    </row>
    <row r="107" spans="1:11" x14ac:dyDescent="0.2">
      <c r="A107" s="3"/>
      <c r="B107" s="3"/>
      <c r="C107" s="3"/>
      <c r="D107" s="3"/>
      <c r="E107" s="3"/>
      <c r="F107" s="3"/>
      <c r="G107" s="3"/>
      <c r="H107" s="3"/>
      <c r="I107" s="3"/>
      <c r="J107" s="3"/>
      <c r="K107" s="3"/>
    </row>
    <row r="108" spans="1:11" x14ac:dyDescent="0.2">
      <c r="A108" s="3"/>
      <c r="B108" s="3"/>
      <c r="C108" s="3"/>
      <c r="D108" s="3"/>
      <c r="E108" s="3"/>
      <c r="F108" s="3"/>
      <c r="G108" s="3"/>
      <c r="H108" s="3"/>
      <c r="I108" s="3"/>
      <c r="J108" s="3"/>
      <c r="K108" s="3"/>
    </row>
    <row r="109" spans="1:11" x14ac:dyDescent="0.2">
      <c r="A109" s="3"/>
      <c r="B109" s="3"/>
      <c r="C109" s="3"/>
      <c r="D109" s="3"/>
      <c r="E109" s="3"/>
      <c r="F109" s="3"/>
      <c r="G109" s="3"/>
      <c r="H109" s="3"/>
      <c r="I109" s="3"/>
      <c r="J109" s="3"/>
      <c r="K109" s="3"/>
    </row>
    <row r="110" spans="1:11" x14ac:dyDescent="0.2">
      <c r="A110" s="3"/>
      <c r="B110" s="3"/>
      <c r="C110" s="3"/>
      <c r="D110" s="3"/>
      <c r="E110" s="3"/>
      <c r="F110" s="3"/>
      <c r="G110" s="3"/>
      <c r="H110" s="3"/>
      <c r="I110" s="3"/>
      <c r="J110" s="3"/>
      <c r="K110" s="3"/>
    </row>
    <row r="111" spans="1:11" ht="16.5" customHeight="1" x14ac:dyDescent="0.25">
      <c r="A111" s="45" t="s">
        <v>16</v>
      </c>
      <c r="B111" s="2"/>
      <c r="C111" s="46"/>
      <c r="D111" s="46"/>
      <c r="E111" s="2" t="s">
        <v>73</v>
      </c>
      <c r="F111" s="2"/>
      <c r="G111" s="2"/>
      <c r="H111" s="2"/>
      <c r="I111" s="2"/>
      <c r="J111" s="2"/>
      <c r="K111" s="2"/>
    </row>
    <row r="112" spans="1:11" ht="13.5" thickBot="1" x14ac:dyDescent="0.25">
      <c r="A112" s="2"/>
      <c r="B112" s="2"/>
      <c r="C112" s="47"/>
      <c r="D112" s="3"/>
      <c r="E112" s="28" t="s">
        <v>38</v>
      </c>
      <c r="F112" s="28" t="s">
        <v>14</v>
      </c>
      <c r="G112" s="28" t="s">
        <v>25</v>
      </c>
      <c r="H112" s="28" t="s">
        <v>26</v>
      </c>
      <c r="I112" s="28"/>
      <c r="J112" s="2"/>
      <c r="K112" s="2"/>
    </row>
    <row r="113" spans="1:12" x14ac:dyDescent="0.2">
      <c r="A113" s="48"/>
      <c r="B113" s="48"/>
      <c r="C113" s="48"/>
      <c r="D113" s="3"/>
      <c r="E113" s="48"/>
      <c r="F113" s="2"/>
      <c r="G113" s="2"/>
      <c r="H113" s="2"/>
      <c r="I113" s="2"/>
      <c r="J113" s="2"/>
      <c r="K113" s="2"/>
    </row>
    <row r="114" spans="1:12" x14ac:dyDescent="0.2">
      <c r="A114" s="49" t="s">
        <v>75</v>
      </c>
      <c r="B114" s="2"/>
      <c r="C114" s="2"/>
      <c r="D114" s="3"/>
      <c r="E114" s="36">
        <f>E84</f>
        <v>0</v>
      </c>
      <c r="F114" s="50"/>
      <c r="G114" s="37"/>
      <c r="H114" s="37"/>
      <c r="I114" s="37"/>
      <c r="J114" s="2"/>
      <c r="K114" s="2"/>
    </row>
    <row r="115" spans="1:12" x14ac:dyDescent="0.2">
      <c r="A115" s="49" t="s">
        <v>13</v>
      </c>
      <c r="B115" s="49"/>
      <c r="C115" s="49"/>
      <c r="D115" s="3"/>
      <c r="E115" s="51"/>
      <c r="F115" s="36">
        <f>F84</f>
        <v>0</v>
      </c>
      <c r="G115" s="36">
        <f t="shared" ref="G115:H115" si="2">G84</f>
        <v>0</v>
      </c>
      <c r="H115" s="36">
        <f t="shared" si="2"/>
        <v>0</v>
      </c>
      <c r="I115" s="36"/>
      <c r="J115" s="2"/>
      <c r="K115" s="2"/>
    </row>
    <row r="116" spans="1:12" x14ac:dyDescent="0.2">
      <c r="A116" s="49"/>
      <c r="B116" s="49"/>
      <c r="C116" s="49"/>
      <c r="D116" s="3"/>
      <c r="E116" s="37"/>
      <c r="F116" s="37"/>
      <c r="G116" s="37"/>
      <c r="H116" s="37"/>
      <c r="I116" s="37"/>
      <c r="J116" s="2"/>
      <c r="K116" s="2"/>
    </row>
    <row r="117" spans="1:12" ht="13.5" thickBot="1" x14ac:dyDescent="0.25">
      <c r="A117" s="49" t="s">
        <v>74</v>
      </c>
      <c r="B117" s="49"/>
      <c r="C117" s="2"/>
      <c r="D117" s="2"/>
      <c r="E117" s="52"/>
      <c r="F117" s="52"/>
      <c r="G117" s="52"/>
      <c r="H117" s="52">
        <f>F72</f>
        <v>0</v>
      </c>
      <c r="I117" s="52"/>
      <c r="J117" s="2"/>
      <c r="K117" s="2"/>
    </row>
    <row r="118" spans="1:12" ht="13.5" thickBot="1" x14ac:dyDescent="0.25">
      <c r="A118" s="2" t="s">
        <v>18</v>
      </c>
      <c r="B118" s="2"/>
      <c r="C118" s="2"/>
      <c r="D118" s="2"/>
      <c r="E118" s="53">
        <f>SUM(E114:E117)</f>
        <v>0</v>
      </c>
      <c r="F118" s="53">
        <f>SUM(F114:F117)</f>
        <v>0</v>
      </c>
      <c r="G118" s="53">
        <f>SUM(G114:G117)</f>
        <v>0</v>
      </c>
      <c r="H118" s="53">
        <f>SUM(H114:H117)</f>
        <v>0</v>
      </c>
      <c r="I118" s="53"/>
      <c r="J118" s="2"/>
      <c r="K118" s="2"/>
    </row>
    <row r="119" spans="1:12" ht="14.25" thickTop="1" thickBot="1" x14ac:dyDescent="0.25">
      <c r="A119" s="2"/>
      <c r="B119" s="2"/>
      <c r="C119" s="2"/>
      <c r="D119" s="2"/>
      <c r="E119" s="2"/>
      <c r="F119" s="2"/>
      <c r="G119" s="54"/>
      <c r="H119" s="2"/>
      <c r="I119" s="2"/>
      <c r="J119" s="2"/>
      <c r="K119" s="2"/>
    </row>
    <row r="120" spans="1:12" x14ac:dyDescent="0.2">
      <c r="A120" s="55" t="s">
        <v>19</v>
      </c>
      <c r="B120" s="56"/>
      <c r="C120" s="79">
        <f>NPV(D14,F118:I118)+E118</f>
        <v>0</v>
      </c>
      <c r="D120" s="2"/>
      <c r="E120" s="2"/>
      <c r="F120" s="2"/>
      <c r="G120" s="2"/>
      <c r="H120" s="2"/>
      <c r="I120" s="2"/>
      <c r="J120" s="2"/>
      <c r="K120" s="2"/>
    </row>
    <row r="121" spans="1:12" ht="13.5" thickBot="1" x14ac:dyDescent="0.25">
      <c r="A121" s="58" t="s">
        <v>20</v>
      </c>
      <c r="B121" s="59"/>
      <c r="C121" s="60" t="e">
        <f>IRR(E118:H118)</f>
        <v>#NUM!</v>
      </c>
      <c r="F121" s="61"/>
      <c r="G121" s="2"/>
      <c r="H121" s="2"/>
      <c r="I121" s="2"/>
      <c r="J121" s="2"/>
      <c r="K121" s="2"/>
    </row>
    <row r="122" spans="1:12" x14ac:dyDescent="0.2">
      <c r="A122" s="2"/>
      <c r="B122" s="2"/>
      <c r="C122" s="2"/>
      <c r="D122" s="2"/>
      <c r="E122" s="36"/>
      <c r="F122" s="36"/>
      <c r="G122" s="2"/>
      <c r="H122" s="2"/>
      <c r="I122" s="2"/>
      <c r="J122" s="2"/>
      <c r="K122" s="2"/>
    </row>
    <row r="123" spans="1:12" ht="13.5" thickBot="1" x14ac:dyDescent="0.25">
      <c r="A123" s="2"/>
      <c r="B123" s="2"/>
      <c r="C123" s="61" t="s">
        <v>76</v>
      </c>
      <c r="D123" s="2"/>
      <c r="E123" s="97" t="s">
        <v>17</v>
      </c>
      <c r="F123" s="97"/>
      <c r="G123" s="97"/>
      <c r="H123" s="97"/>
      <c r="I123" s="97"/>
      <c r="J123" s="2"/>
      <c r="K123" s="2"/>
    </row>
    <row r="124" spans="1:12" ht="15.75" x14ac:dyDescent="0.25">
      <c r="A124" s="45" t="s">
        <v>28</v>
      </c>
      <c r="B124" s="2"/>
      <c r="C124" s="2"/>
      <c r="D124" s="2"/>
      <c r="E124" s="62">
        <v>0</v>
      </c>
      <c r="F124" s="62">
        <v>1</v>
      </c>
      <c r="G124" s="62">
        <v>2</v>
      </c>
      <c r="H124" s="62">
        <v>3</v>
      </c>
      <c r="I124" s="62"/>
      <c r="J124" s="2"/>
      <c r="K124" s="2"/>
    </row>
    <row r="125" spans="1:12" x14ac:dyDescent="0.2">
      <c r="A125" s="2" t="s">
        <v>18</v>
      </c>
      <c r="B125" s="2"/>
      <c r="C125" s="2"/>
      <c r="D125" s="2"/>
      <c r="E125" s="36">
        <f>E118</f>
        <v>0</v>
      </c>
      <c r="F125" s="36">
        <f>F118</f>
        <v>0</v>
      </c>
      <c r="G125" s="36">
        <f>G118</f>
        <v>0</v>
      </c>
      <c r="H125" s="36">
        <f>H118</f>
        <v>0</v>
      </c>
      <c r="I125" s="36"/>
      <c r="J125" s="2"/>
      <c r="K125" s="73"/>
    </row>
    <row r="126" spans="1:12" x14ac:dyDescent="0.2">
      <c r="A126" s="2"/>
      <c r="B126" s="2"/>
      <c r="C126" s="2"/>
      <c r="D126" s="2"/>
      <c r="E126" s="2"/>
      <c r="F126" s="2"/>
      <c r="G126" s="2"/>
      <c r="H126" s="80">
        <f>FV(D14,H124-G124,,-G125)</f>
        <v>0</v>
      </c>
      <c r="I126" s="37"/>
      <c r="J126" s="2"/>
      <c r="K126" s="73"/>
    </row>
    <row r="127" spans="1:12" x14ac:dyDescent="0.2">
      <c r="A127" s="2"/>
      <c r="B127" s="2"/>
      <c r="C127" s="2"/>
      <c r="D127" s="2"/>
      <c r="E127" s="2"/>
      <c r="F127" s="2"/>
      <c r="G127" s="2"/>
      <c r="H127" s="80">
        <f>FV(D14,H124-F124,,-F125)</f>
        <v>0</v>
      </c>
      <c r="I127" s="37"/>
      <c r="J127" s="2"/>
      <c r="K127" s="73"/>
    </row>
    <row r="128" spans="1:12" ht="15" x14ac:dyDescent="0.35">
      <c r="A128" s="2"/>
      <c r="B128" s="2"/>
      <c r="C128" s="2"/>
      <c r="D128" s="2"/>
      <c r="E128" s="2"/>
      <c r="F128" s="2"/>
      <c r="G128" s="2"/>
      <c r="H128" s="80"/>
      <c r="I128" s="63"/>
      <c r="J128" s="2"/>
      <c r="K128" s="64"/>
      <c r="L128" s="81"/>
    </row>
    <row r="129" spans="1:11" x14ac:dyDescent="0.2">
      <c r="A129" s="2"/>
      <c r="B129" s="2"/>
      <c r="C129" s="2"/>
      <c r="D129" s="65" t="s">
        <v>29</v>
      </c>
      <c r="E129" s="36">
        <f>E125</f>
        <v>0</v>
      </c>
      <c r="F129" s="2"/>
      <c r="G129" s="65" t="s">
        <v>21</v>
      </c>
      <c r="H129" s="36">
        <f>SUM(H125:H128)</f>
        <v>0</v>
      </c>
      <c r="J129" s="2"/>
      <c r="K129" s="2"/>
    </row>
    <row r="130" spans="1:11" x14ac:dyDescent="0.2">
      <c r="A130" s="2"/>
      <c r="B130" s="2"/>
      <c r="C130" s="2"/>
      <c r="D130" s="3"/>
      <c r="E130" s="3"/>
      <c r="F130" s="3"/>
      <c r="G130" s="3"/>
      <c r="H130" s="3"/>
      <c r="I130" s="3"/>
      <c r="J130" s="2"/>
      <c r="K130" s="2"/>
    </row>
    <row r="131" spans="1:11" ht="13.5" customHeight="1" thickBot="1" x14ac:dyDescent="0.25">
      <c r="A131" s="98" t="s">
        <v>30</v>
      </c>
      <c r="B131" s="99"/>
      <c r="C131" s="99"/>
      <c r="D131" s="99"/>
      <c r="E131" s="99"/>
      <c r="F131" s="99"/>
      <c r="G131" s="99"/>
      <c r="H131" s="99"/>
      <c r="I131" s="99"/>
      <c r="J131" s="66"/>
      <c r="K131" s="82"/>
    </row>
    <row r="132" spans="1:11" ht="13.5" thickBot="1" x14ac:dyDescent="0.25">
      <c r="A132" s="67" t="s">
        <v>31</v>
      </c>
      <c r="B132" s="84" t="e">
        <f>MIRR(E125:I125,D14,D14)</f>
        <v>#DIV/0!</v>
      </c>
      <c r="C132" s="83"/>
      <c r="D132" s="2"/>
      <c r="E132" s="2"/>
      <c r="F132" s="2"/>
      <c r="G132" s="2"/>
      <c r="H132" s="2"/>
      <c r="I132" s="2"/>
      <c r="J132" s="2"/>
      <c r="K132" s="2"/>
    </row>
    <row r="133" spans="1:11" x14ac:dyDescent="0.2">
      <c r="A133" s="2"/>
      <c r="B133" s="2"/>
      <c r="C133" s="2"/>
      <c r="D133" s="2"/>
      <c r="E133" s="2"/>
      <c r="F133" s="2"/>
      <c r="G133" s="2"/>
      <c r="H133" s="2"/>
      <c r="I133" s="2"/>
      <c r="J133" s="2"/>
      <c r="K133" s="2"/>
    </row>
    <row r="134" spans="1:11" ht="16.5" thickBot="1" x14ac:dyDescent="0.3">
      <c r="A134" s="45" t="s">
        <v>32</v>
      </c>
      <c r="B134" s="2"/>
      <c r="C134" s="2"/>
      <c r="D134" s="2"/>
      <c r="E134" s="97" t="s">
        <v>17</v>
      </c>
      <c r="F134" s="97"/>
      <c r="G134" s="97"/>
      <c r="H134" s="97"/>
      <c r="I134" s="97"/>
      <c r="J134" s="2"/>
      <c r="K134" s="2"/>
    </row>
    <row r="135" spans="1:11" x14ac:dyDescent="0.2">
      <c r="A135" s="2"/>
      <c r="B135" s="2"/>
      <c r="C135" s="2"/>
      <c r="D135" s="2"/>
      <c r="E135" s="62">
        <v>0</v>
      </c>
      <c r="F135" s="62">
        <v>1</v>
      </c>
      <c r="G135" s="62">
        <v>2</v>
      </c>
      <c r="H135" s="62">
        <v>3</v>
      </c>
      <c r="I135" s="62"/>
      <c r="J135" s="2"/>
      <c r="K135" s="2"/>
    </row>
    <row r="136" spans="1:11" x14ac:dyDescent="0.2">
      <c r="A136" s="2" t="s">
        <v>44</v>
      </c>
      <c r="B136" s="2"/>
      <c r="C136" s="2"/>
      <c r="D136" s="2"/>
      <c r="E136" s="69">
        <f>E118</f>
        <v>0</v>
      </c>
      <c r="F136" s="69">
        <f>F118</f>
        <v>0</v>
      </c>
      <c r="G136" s="69">
        <f>G118</f>
        <v>0</v>
      </c>
      <c r="H136" s="69">
        <f>H118</f>
        <v>0</v>
      </c>
      <c r="I136" s="69"/>
      <c r="J136" s="2"/>
      <c r="K136" s="2"/>
    </row>
    <row r="137" spans="1:11" x14ac:dyDescent="0.2">
      <c r="A137" s="2" t="s">
        <v>22</v>
      </c>
      <c r="B137" s="2"/>
      <c r="C137" s="2"/>
      <c r="D137" s="2"/>
      <c r="E137" s="69">
        <f>E136</f>
        <v>0</v>
      </c>
      <c r="F137" s="69">
        <f>E137+F136</f>
        <v>0</v>
      </c>
      <c r="G137" s="69">
        <f>F137+G136</f>
        <v>0</v>
      </c>
      <c r="H137" s="69">
        <f>G137+H136</f>
        <v>0</v>
      </c>
      <c r="I137" s="69"/>
      <c r="J137" s="2"/>
      <c r="K137" s="2"/>
    </row>
    <row r="138" spans="1:11" ht="13.5" thickBot="1" x14ac:dyDescent="0.25">
      <c r="A138" s="70"/>
      <c r="B138" s="71"/>
      <c r="C138" s="71"/>
      <c r="D138" s="2"/>
      <c r="E138" s="2"/>
      <c r="F138" s="2"/>
      <c r="G138" s="2"/>
      <c r="H138" s="2"/>
      <c r="I138" s="2"/>
      <c r="J138" s="2"/>
      <c r="K138" s="2"/>
    </row>
    <row r="139" spans="1:11" ht="13.5" thickBot="1" x14ac:dyDescent="0.25">
      <c r="A139" s="2"/>
      <c r="B139" s="2" t="s">
        <v>23</v>
      </c>
      <c r="C139" s="72">
        <f>PERCENTRANK(E137:H137,0,6)*H135</f>
        <v>0</v>
      </c>
      <c r="D139" s="2"/>
      <c r="E139" s="2"/>
      <c r="F139" s="2"/>
      <c r="G139" s="2"/>
      <c r="H139" s="2"/>
      <c r="I139" s="2"/>
      <c r="J139" s="2"/>
      <c r="K139" s="2"/>
    </row>
    <row r="140" spans="1:11" x14ac:dyDescent="0.2">
      <c r="A140" s="3"/>
      <c r="B140" s="3"/>
      <c r="C140" s="3"/>
      <c r="D140" s="3"/>
      <c r="E140" s="3"/>
      <c r="F140" s="3"/>
      <c r="G140" s="3"/>
      <c r="H140" s="3"/>
      <c r="I140" s="3"/>
      <c r="J140" s="3"/>
      <c r="K140" s="3"/>
    </row>
    <row r="141" spans="1:11" x14ac:dyDescent="0.2">
      <c r="A141" s="3"/>
      <c r="B141" s="3"/>
      <c r="C141" s="3"/>
      <c r="D141" s="3"/>
      <c r="E141" s="3"/>
      <c r="F141" s="3"/>
      <c r="G141" s="3"/>
      <c r="H141" s="3"/>
      <c r="I141" s="3"/>
      <c r="J141" s="3"/>
      <c r="K141" s="3"/>
    </row>
    <row r="142" spans="1:11" x14ac:dyDescent="0.2">
      <c r="A142" s="3"/>
      <c r="B142" s="3"/>
      <c r="C142" s="3"/>
      <c r="D142" s="3"/>
      <c r="E142" s="3"/>
      <c r="F142" s="3"/>
      <c r="G142" s="3"/>
      <c r="H142" s="3"/>
      <c r="I142" s="3"/>
      <c r="J142" s="3"/>
      <c r="K142" s="3"/>
    </row>
    <row r="143" spans="1:11" x14ac:dyDescent="0.2">
      <c r="A143" s="3"/>
      <c r="B143" s="3"/>
      <c r="C143" s="3"/>
      <c r="D143" s="3"/>
      <c r="E143" s="3"/>
      <c r="F143" s="3"/>
      <c r="G143" s="3"/>
      <c r="H143" s="3"/>
      <c r="I143" s="3"/>
      <c r="J143" s="3"/>
      <c r="K143" s="3"/>
    </row>
    <row r="144" spans="1:11" x14ac:dyDescent="0.2">
      <c r="A144" s="3"/>
      <c r="B144" s="3"/>
      <c r="C144" s="3"/>
      <c r="D144" s="3"/>
      <c r="E144" s="3"/>
      <c r="F144" s="3"/>
      <c r="G144" s="3"/>
      <c r="H144" s="3"/>
      <c r="I144" s="3"/>
      <c r="J144" s="3"/>
      <c r="K144" s="3"/>
    </row>
    <row r="145" spans="1:11" x14ac:dyDescent="0.2">
      <c r="A145" s="3"/>
      <c r="B145" s="3"/>
      <c r="C145" s="3"/>
      <c r="D145" s="3"/>
      <c r="E145" s="3"/>
      <c r="F145" s="3"/>
      <c r="G145" s="3"/>
      <c r="H145" s="3"/>
      <c r="I145" s="3"/>
      <c r="J145" s="3"/>
      <c r="K145" s="3"/>
    </row>
    <row r="146" spans="1:11" x14ac:dyDescent="0.2">
      <c r="A146" s="3"/>
      <c r="B146" s="3"/>
      <c r="C146" s="3"/>
      <c r="D146" s="3"/>
      <c r="E146" s="3"/>
      <c r="F146" s="3"/>
      <c r="G146" s="3"/>
      <c r="H146" s="3"/>
      <c r="I146" s="3"/>
      <c r="J146" s="3"/>
      <c r="K146" s="3"/>
    </row>
    <row r="147" spans="1:11" x14ac:dyDescent="0.2">
      <c r="A147" s="3"/>
      <c r="B147" s="3"/>
      <c r="C147" s="3"/>
      <c r="D147" s="3"/>
      <c r="E147" s="3"/>
      <c r="F147" s="3"/>
      <c r="G147" s="3"/>
      <c r="H147" s="3"/>
      <c r="I147" s="3"/>
      <c r="J147" s="3"/>
      <c r="K147" s="3"/>
    </row>
    <row r="148" spans="1:11" x14ac:dyDescent="0.2">
      <c r="A148" s="3"/>
      <c r="B148" s="3"/>
      <c r="C148" s="3"/>
      <c r="D148" s="3"/>
      <c r="E148" s="3"/>
      <c r="F148" s="3"/>
      <c r="G148" s="3"/>
      <c r="H148" s="3"/>
      <c r="I148" s="3"/>
      <c r="J148" s="3"/>
      <c r="K148" s="3"/>
    </row>
    <row r="149" spans="1:11" x14ac:dyDescent="0.2">
      <c r="A149" s="3"/>
      <c r="B149" s="3"/>
      <c r="C149" s="3"/>
      <c r="D149" s="3"/>
      <c r="E149" s="3"/>
      <c r="F149" s="3"/>
      <c r="G149" s="3"/>
      <c r="H149" s="3"/>
      <c r="I149" s="3"/>
      <c r="J149" s="3"/>
      <c r="K149" s="3"/>
    </row>
    <row r="150" spans="1:11" x14ac:dyDescent="0.2">
      <c r="A150" s="3"/>
      <c r="B150" s="3"/>
      <c r="C150" s="3"/>
      <c r="D150" s="3"/>
      <c r="E150" s="3"/>
      <c r="F150" s="3"/>
      <c r="G150" s="3"/>
      <c r="H150" s="3"/>
      <c r="I150" s="3"/>
      <c r="J150" s="3"/>
      <c r="K150" s="3"/>
    </row>
    <row r="151" spans="1:11" x14ac:dyDescent="0.2">
      <c r="A151" s="3"/>
      <c r="B151" s="3"/>
      <c r="C151" s="3"/>
      <c r="D151" s="3"/>
      <c r="E151" s="3"/>
      <c r="F151" s="3"/>
      <c r="G151" s="3"/>
      <c r="H151" s="3"/>
      <c r="I151" s="3"/>
      <c r="J151" s="3"/>
      <c r="K151" s="3"/>
    </row>
    <row r="152" spans="1:11" x14ac:dyDescent="0.2">
      <c r="A152" s="3"/>
      <c r="B152" s="3"/>
      <c r="C152" s="3"/>
      <c r="D152" s="3"/>
      <c r="E152" s="3"/>
      <c r="F152" s="3"/>
      <c r="G152" s="3"/>
      <c r="H152" s="3"/>
      <c r="I152" s="3"/>
      <c r="J152" s="3"/>
      <c r="K152" s="3"/>
    </row>
    <row r="153" spans="1:11" x14ac:dyDescent="0.2">
      <c r="A153" s="3"/>
      <c r="B153" s="3"/>
      <c r="C153" s="3"/>
      <c r="D153" s="3"/>
      <c r="E153" s="3"/>
      <c r="F153" s="3"/>
      <c r="G153" s="3"/>
      <c r="H153" s="3"/>
      <c r="I153" s="3"/>
      <c r="J153" s="3"/>
      <c r="K153" s="3"/>
    </row>
    <row r="154" spans="1:11" x14ac:dyDescent="0.2">
      <c r="A154" s="3"/>
      <c r="B154" s="3"/>
      <c r="C154" s="3"/>
      <c r="D154" s="3"/>
      <c r="E154" s="3"/>
      <c r="F154" s="3"/>
      <c r="G154" s="3"/>
      <c r="H154" s="3"/>
      <c r="I154" s="3"/>
      <c r="J154" s="3"/>
      <c r="K154" s="3"/>
    </row>
    <row r="155" spans="1:11" x14ac:dyDescent="0.2">
      <c r="A155" s="3"/>
      <c r="B155" s="3"/>
      <c r="C155" s="3"/>
      <c r="D155" s="3"/>
      <c r="E155" s="3"/>
      <c r="F155" s="3"/>
      <c r="G155" s="3"/>
      <c r="H155" s="3"/>
      <c r="I155" s="3"/>
      <c r="J155" s="3"/>
      <c r="K155" s="3"/>
    </row>
    <row r="156" spans="1:11" x14ac:dyDescent="0.2">
      <c r="A156" s="3"/>
      <c r="B156" s="3"/>
      <c r="C156" s="3"/>
      <c r="D156" s="3"/>
      <c r="E156" s="3"/>
      <c r="F156" s="3"/>
      <c r="G156" s="3"/>
      <c r="H156" s="3"/>
      <c r="I156" s="3"/>
      <c r="J156" s="3"/>
      <c r="K156" s="3"/>
    </row>
    <row r="157" spans="1:11" x14ac:dyDescent="0.2">
      <c r="A157" s="3"/>
      <c r="B157" s="3"/>
      <c r="C157" s="3"/>
      <c r="D157" s="3"/>
      <c r="E157" s="3"/>
      <c r="F157" s="3"/>
      <c r="G157" s="3"/>
      <c r="H157" s="3"/>
      <c r="I157" s="3"/>
      <c r="J157" s="3"/>
      <c r="K157" s="3"/>
    </row>
  </sheetData>
  <scenarios current="0" show="0" sqref="C113:C114">
    <scenario name="Base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250"/>
      <inputCells r="D16" val="200" numFmtId="6"/>
      <inputCells r="D17" val="100" numFmtId="6"/>
      <inputCells r="D18" val="0.12" numFmtId="9"/>
      <inputCells r="D19" val="0.03" numFmtId="9"/>
    </scenario>
    <scenario name="Best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600"/>
      <inputCells r="D16" val="240" numFmtId="6"/>
      <inputCells r="D17" val="100" numFmtId="6"/>
      <inputCells r="D18" val="0.12" numFmtId="9"/>
      <inputCells r="D19" val="0.03" numFmtId="9"/>
    </scenario>
    <scenario name="Worst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900"/>
      <inputCells r="D16" val="160" numFmtId="6"/>
      <inputCells r="D17" val="100" numFmtId="6"/>
      <inputCells r="D18" val="0.12" numFmtId="9"/>
      <inputCells r="D19" val="0.03" numFmtId="9"/>
    </scenario>
    <scenario name="Base-but forget inflation" locked="1" count="12" user="Mike Ehrhardt" comment="Creat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250" numFmtId="3"/>
      <inputCells r="D16" val="200" numFmtId="6"/>
      <inputCells r="D17" val="100" numFmtId="6"/>
      <inputCells r="D18" val="0.12" numFmtId="9"/>
      <inputCells r="D19" val="0" numFmtId="9"/>
    </scenario>
  </scenarios>
  <mergeCells count="10">
    <mergeCell ref="A42:I43"/>
    <mergeCell ref="E100:I100"/>
    <mergeCell ref="A74:I75"/>
    <mergeCell ref="E89:I89"/>
    <mergeCell ref="A97:I97"/>
    <mergeCell ref="E134:I134"/>
    <mergeCell ref="A45:I45"/>
    <mergeCell ref="F65:G65"/>
    <mergeCell ref="E123:I123"/>
    <mergeCell ref="A131:I131"/>
  </mergeCells>
  <phoneticPr fontId="0" type="noConversion"/>
  <pageMargins left="0.75" right="0.75" top="1" bottom="1" header="0.5" footer="0.5"/>
  <pageSetup orientation="portrait" horizontalDpi="200" verticalDpi="200" r:id="rId1"/>
  <headerFooter alignWithMargins="0"/>
  <rowBreaks count="1" manualBreakCount="1">
    <brk id="63" max="8"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157"/>
  <sheetViews>
    <sheetView tabSelected="1" topLeftCell="A25" zoomScale="130" zoomScaleNormal="130" zoomScaleSheetLayoutView="100" workbookViewId="0">
      <selection activeCell="A13" sqref="A13:A14"/>
    </sheetView>
  </sheetViews>
  <sheetFormatPr defaultRowHeight="12.75" x14ac:dyDescent="0.2"/>
  <cols>
    <col min="1" max="1" width="11.7109375" customWidth="1"/>
    <col min="2" max="2" width="10.28515625" customWidth="1"/>
    <col min="3" max="3" width="12.28515625" customWidth="1"/>
    <col min="4" max="4" width="10.7109375" customWidth="1"/>
    <col min="5" max="5" width="10" customWidth="1"/>
    <col min="6" max="6" width="11.140625" customWidth="1"/>
    <col min="7" max="7" width="10.140625" customWidth="1"/>
    <col min="8" max="8" width="9.42578125" customWidth="1"/>
    <col min="9" max="9" width="10.140625" bestFit="1" customWidth="1"/>
    <col min="10" max="10" width="2.5703125" customWidth="1"/>
    <col min="11" max="11" width="12.28515625" bestFit="1" customWidth="1"/>
    <col min="12" max="18" width="12.28515625" customWidth="1"/>
    <col min="19" max="19" width="12.28515625" bestFit="1" customWidth="1"/>
    <col min="26" max="26" width="11.7109375" customWidth="1"/>
    <col min="27" max="27" width="10.28515625" customWidth="1"/>
    <col min="28" max="28" width="12.28515625" customWidth="1"/>
    <col min="29" max="29" width="10.7109375" customWidth="1"/>
    <col min="30" max="30" width="10" customWidth="1"/>
    <col min="31" max="31" width="11.140625" customWidth="1"/>
    <col min="32" max="32" width="10.140625" customWidth="1"/>
    <col min="33" max="33" width="9.42578125" customWidth="1"/>
    <col min="34" max="34" width="10.140625" bestFit="1" customWidth="1"/>
    <col min="35" max="35" width="2.5703125" customWidth="1"/>
    <col min="36" max="36" width="12.28515625" bestFit="1" customWidth="1"/>
  </cols>
  <sheetData>
    <row r="1" spans="1:36" x14ac:dyDescent="0.2">
      <c r="A1" s="2"/>
      <c r="B1" s="2"/>
      <c r="C1" s="2"/>
      <c r="D1" s="2"/>
      <c r="E1" s="2"/>
      <c r="F1" s="2"/>
      <c r="G1" s="2"/>
      <c r="H1" s="3"/>
      <c r="I1" s="4">
        <v>43200</v>
      </c>
      <c r="J1" s="2"/>
      <c r="K1" s="2"/>
      <c r="L1" s="2"/>
      <c r="M1" s="2"/>
      <c r="N1" s="2"/>
      <c r="O1" s="2"/>
      <c r="P1" s="2"/>
      <c r="Q1" s="2"/>
      <c r="R1" s="2"/>
      <c r="Z1" s="2"/>
      <c r="AA1" s="2"/>
      <c r="AB1" s="2"/>
      <c r="AC1" s="2"/>
      <c r="AD1" s="2"/>
      <c r="AE1" s="2"/>
      <c r="AF1" s="2"/>
      <c r="AG1" s="3"/>
      <c r="AH1" s="4">
        <f>I1</f>
        <v>43200</v>
      </c>
      <c r="AI1" s="2"/>
      <c r="AJ1" s="2"/>
    </row>
    <row r="2" spans="1:36" x14ac:dyDescent="0.2">
      <c r="A2" s="2"/>
      <c r="B2" s="2"/>
      <c r="C2" s="2"/>
      <c r="D2" s="2"/>
      <c r="E2" s="2"/>
      <c r="F2" s="2"/>
      <c r="G2" s="2"/>
      <c r="H2" s="2"/>
      <c r="I2" s="2"/>
      <c r="J2" s="2"/>
      <c r="K2" s="2"/>
      <c r="L2" s="2"/>
      <c r="M2" s="2"/>
      <c r="N2" s="2"/>
      <c r="O2" s="2"/>
      <c r="P2" s="2"/>
      <c r="Q2" s="2"/>
      <c r="R2" s="2"/>
      <c r="Z2" s="2"/>
      <c r="AA2" s="2"/>
      <c r="AB2" s="2"/>
      <c r="AC2" s="2"/>
      <c r="AD2" s="2"/>
      <c r="AE2" s="2"/>
      <c r="AF2" s="2"/>
      <c r="AG2" s="2"/>
      <c r="AH2" s="2"/>
      <c r="AI2" s="2"/>
      <c r="AJ2" s="2"/>
    </row>
    <row r="3" spans="1:36" ht="15.75" x14ac:dyDescent="0.25">
      <c r="A3" s="2"/>
      <c r="B3" s="2"/>
      <c r="C3" s="2"/>
      <c r="D3" s="5" t="s">
        <v>65</v>
      </c>
      <c r="E3" s="6"/>
      <c r="F3" s="2"/>
      <c r="G3" s="2"/>
      <c r="H3" s="2"/>
      <c r="I3" s="2"/>
      <c r="J3" s="2"/>
      <c r="K3" s="2"/>
      <c r="L3" s="2"/>
      <c r="M3" s="2"/>
      <c r="N3" s="2"/>
      <c r="O3" s="2"/>
      <c r="P3" s="2"/>
      <c r="Q3" s="2"/>
      <c r="R3" s="2"/>
      <c r="Z3" s="2"/>
      <c r="AA3" s="2"/>
      <c r="AB3" s="2"/>
      <c r="AC3" s="5" t="s">
        <v>65</v>
      </c>
      <c r="AD3" s="6"/>
      <c r="AE3" s="2"/>
      <c r="AF3" s="2"/>
      <c r="AG3" s="2"/>
      <c r="AH3" s="2"/>
      <c r="AI3" s="2"/>
      <c r="AJ3" s="2"/>
    </row>
    <row r="4" spans="1:36" x14ac:dyDescent="0.2">
      <c r="A4" s="2"/>
      <c r="B4" s="2"/>
      <c r="C4" s="2"/>
      <c r="D4" s="2"/>
      <c r="E4" s="2"/>
      <c r="F4" s="2"/>
      <c r="G4" s="2"/>
      <c r="H4" s="2"/>
      <c r="I4" s="2"/>
      <c r="J4" s="2"/>
      <c r="K4" s="2"/>
      <c r="L4" s="2"/>
      <c r="M4" s="2"/>
      <c r="N4" s="2"/>
      <c r="O4" s="2"/>
      <c r="P4" s="2"/>
      <c r="Q4" s="2"/>
      <c r="R4" s="2"/>
      <c r="Z4" s="2"/>
      <c r="AA4" s="2"/>
      <c r="AB4" s="2"/>
      <c r="AC4" s="2"/>
      <c r="AD4" s="2"/>
      <c r="AE4" s="2"/>
      <c r="AF4" s="2"/>
      <c r="AG4" s="2"/>
      <c r="AH4" s="2"/>
      <c r="AI4" s="2"/>
      <c r="AJ4" s="2"/>
    </row>
    <row r="5" spans="1:36" x14ac:dyDescent="0.2">
      <c r="A5" s="7" t="s">
        <v>0</v>
      </c>
      <c r="B5" s="2"/>
      <c r="C5" s="2"/>
      <c r="D5" s="2"/>
      <c r="E5" s="2"/>
      <c r="F5" s="2"/>
      <c r="G5" s="2"/>
      <c r="H5" s="2"/>
      <c r="I5" s="2"/>
      <c r="J5" s="2"/>
      <c r="K5" s="2"/>
      <c r="L5" s="2"/>
      <c r="M5" s="2"/>
      <c r="N5" s="2"/>
      <c r="O5" s="2"/>
      <c r="P5" s="2"/>
      <c r="Q5" s="2"/>
      <c r="R5" s="2"/>
      <c r="Z5" s="7" t="s">
        <v>0</v>
      </c>
      <c r="AA5" s="2"/>
      <c r="AB5" s="2"/>
      <c r="AC5" s="2"/>
      <c r="AD5" s="2"/>
      <c r="AE5" s="2"/>
      <c r="AF5" s="2"/>
      <c r="AG5" s="2"/>
      <c r="AH5" s="2"/>
      <c r="AI5" s="2"/>
      <c r="AJ5" s="2"/>
    </row>
    <row r="6" spans="1:36" x14ac:dyDescent="0.2">
      <c r="A6" s="8" t="s">
        <v>1</v>
      </c>
      <c r="B6" s="2"/>
      <c r="C6" s="2"/>
      <c r="D6" s="2"/>
      <c r="E6" s="2"/>
      <c r="F6" s="3"/>
      <c r="G6" s="3"/>
      <c r="H6" s="3"/>
      <c r="I6" s="3"/>
      <c r="J6" s="3"/>
      <c r="K6" s="2"/>
      <c r="L6" s="2"/>
      <c r="M6" s="2"/>
      <c r="N6" s="2"/>
      <c r="O6" s="2"/>
      <c r="P6" s="2"/>
      <c r="Q6" s="2"/>
      <c r="R6" s="2"/>
      <c r="Z6" s="8" t="s">
        <v>1</v>
      </c>
      <c r="AA6" s="2"/>
      <c r="AB6" s="2"/>
      <c r="AC6" s="2"/>
      <c r="AD6" s="2"/>
      <c r="AE6" s="3"/>
      <c r="AF6" s="3"/>
      <c r="AG6" s="3"/>
      <c r="AH6" s="3"/>
      <c r="AI6" s="3"/>
      <c r="AJ6" s="2"/>
    </row>
    <row r="7" spans="1:36" x14ac:dyDescent="0.2">
      <c r="A7" s="8"/>
      <c r="B7" s="2"/>
      <c r="C7" s="2"/>
      <c r="D7" s="2"/>
      <c r="E7" s="2"/>
      <c r="F7" s="2"/>
      <c r="G7" s="3"/>
      <c r="H7" s="3"/>
      <c r="I7" s="3"/>
      <c r="J7" s="3"/>
      <c r="K7" s="2"/>
      <c r="L7" s="2"/>
      <c r="M7" s="2"/>
      <c r="N7" s="2"/>
      <c r="O7" s="2"/>
      <c r="P7" s="2"/>
      <c r="Q7" s="2"/>
      <c r="R7" s="2"/>
      <c r="Z7" s="8"/>
      <c r="AA7" s="2"/>
      <c r="AB7" s="2"/>
      <c r="AC7" s="2"/>
      <c r="AD7" s="2"/>
      <c r="AE7" s="2"/>
      <c r="AF7" s="3"/>
      <c r="AG7" s="3"/>
      <c r="AH7" s="3"/>
      <c r="AI7" s="3"/>
      <c r="AJ7" s="2"/>
    </row>
    <row r="8" spans="1:36" x14ac:dyDescent="0.2">
      <c r="A8" s="2" t="s">
        <v>36</v>
      </c>
      <c r="B8" s="2"/>
      <c r="C8" s="3"/>
      <c r="D8" s="96">
        <v>200000</v>
      </c>
      <c r="E8" s="2"/>
      <c r="F8" s="9" t="s">
        <v>45</v>
      </c>
      <c r="G8" s="10"/>
      <c r="H8" s="11">
        <f>C86</f>
        <v>-4029.7247455775796</v>
      </c>
      <c r="I8" s="3"/>
      <c r="J8" s="3"/>
      <c r="K8" s="2"/>
      <c r="L8" s="2"/>
      <c r="M8" s="2"/>
      <c r="N8" s="2"/>
      <c r="O8" s="2"/>
      <c r="P8" s="2"/>
      <c r="Q8" s="2"/>
      <c r="R8" s="2"/>
      <c r="Z8" s="2" t="s">
        <v>36</v>
      </c>
      <c r="AA8" s="2"/>
      <c r="AB8" s="3"/>
      <c r="AC8" s="1">
        <v>200000</v>
      </c>
      <c r="AD8" s="2"/>
      <c r="AE8" s="9" t="s">
        <v>45</v>
      </c>
      <c r="AF8" s="10"/>
      <c r="AG8" s="11">
        <f>AB86</f>
        <v>-4029.7247455775796</v>
      </c>
      <c r="AH8" s="3"/>
      <c r="AI8" s="3"/>
      <c r="AJ8" s="2"/>
    </row>
    <row r="9" spans="1:36" x14ac:dyDescent="0.2">
      <c r="A9" s="2" t="s">
        <v>50</v>
      </c>
      <c r="B9" s="2"/>
      <c r="C9" s="3"/>
      <c r="D9" s="96">
        <v>40000</v>
      </c>
      <c r="E9" s="2"/>
      <c r="F9" s="2"/>
      <c r="G9" s="3"/>
      <c r="H9" s="3"/>
      <c r="I9" s="3"/>
      <c r="J9" s="3"/>
      <c r="K9" s="2"/>
      <c r="L9" s="2"/>
      <c r="M9" s="2"/>
      <c r="N9" s="2"/>
      <c r="O9" s="2"/>
      <c r="P9" s="2"/>
      <c r="Q9" s="2"/>
      <c r="R9" s="2"/>
      <c r="Z9" s="2" t="s">
        <v>50</v>
      </c>
      <c r="AA9" s="2"/>
      <c r="AB9" s="3"/>
      <c r="AC9" s="1">
        <v>40000</v>
      </c>
      <c r="AD9" s="2"/>
      <c r="AE9" s="2"/>
      <c r="AF9" s="3"/>
      <c r="AG9" s="3"/>
      <c r="AH9" s="3"/>
      <c r="AI9" s="3"/>
      <c r="AJ9" s="2"/>
    </row>
    <row r="10" spans="1:36" x14ac:dyDescent="0.2">
      <c r="A10" s="2"/>
      <c r="B10" s="2"/>
      <c r="C10" s="3"/>
      <c r="D10" s="96"/>
      <c r="E10" s="2"/>
      <c r="F10" s="2"/>
      <c r="G10" s="3"/>
      <c r="H10" s="3"/>
      <c r="I10" s="3"/>
      <c r="J10" s="3"/>
      <c r="K10" s="2"/>
      <c r="L10" s="2"/>
      <c r="M10" s="2"/>
      <c r="N10" s="2"/>
      <c r="O10" s="2"/>
      <c r="P10" s="2"/>
      <c r="Q10" s="2"/>
      <c r="R10" s="2"/>
      <c r="Z10" s="2"/>
      <c r="AA10" s="2"/>
      <c r="AB10" s="3"/>
      <c r="AC10" s="1"/>
      <c r="AD10" s="2"/>
      <c r="AE10" s="2"/>
      <c r="AF10" s="3"/>
      <c r="AG10" s="3"/>
      <c r="AH10" s="3"/>
      <c r="AI10" s="3"/>
      <c r="AJ10" s="2"/>
    </row>
    <row r="11" spans="1:36" x14ac:dyDescent="0.2">
      <c r="A11" s="2" t="s">
        <v>2</v>
      </c>
      <c r="B11" s="2"/>
      <c r="C11" s="2"/>
      <c r="D11" s="95">
        <v>4</v>
      </c>
      <c r="E11" s="2"/>
      <c r="F11" s="2"/>
      <c r="G11" s="3"/>
      <c r="H11" s="3"/>
      <c r="I11" s="3"/>
      <c r="J11" s="3"/>
      <c r="K11" s="2"/>
      <c r="L11" s="2"/>
      <c r="M11" s="2"/>
      <c r="N11" s="2"/>
      <c r="O11" s="2"/>
      <c r="P11" s="2"/>
      <c r="Q11" s="2"/>
      <c r="R11" s="2"/>
      <c r="Z11" s="2" t="s">
        <v>2</v>
      </c>
      <c r="AA11" s="2"/>
      <c r="AB11" s="2"/>
      <c r="AC11" s="12">
        <v>4</v>
      </c>
      <c r="AD11" s="2"/>
      <c r="AE11" s="2"/>
      <c r="AF11" s="3"/>
      <c r="AG11" s="3"/>
      <c r="AH11" s="3"/>
      <c r="AI11" s="3"/>
      <c r="AJ11" s="2"/>
    </row>
    <row r="12" spans="1:36" x14ac:dyDescent="0.2">
      <c r="A12" s="2" t="s">
        <v>3</v>
      </c>
      <c r="B12" s="2"/>
      <c r="C12" s="2"/>
      <c r="D12" s="87">
        <v>25000</v>
      </c>
      <c r="E12" s="2"/>
      <c r="F12" s="14"/>
      <c r="G12" s="15"/>
      <c r="H12" s="15"/>
      <c r="I12" s="16"/>
      <c r="J12" s="3"/>
      <c r="K12" s="2"/>
      <c r="L12" s="2"/>
      <c r="M12" s="2"/>
      <c r="N12" s="2"/>
      <c r="O12" s="2"/>
      <c r="P12" s="2"/>
      <c r="Q12" s="2"/>
      <c r="R12" s="2"/>
      <c r="Z12" s="2" t="s">
        <v>3</v>
      </c>
      <c r="AA12" s="2"/>
      <c r="AB12" s="2"/>
      <c r="AC12" s="13">
        <v>25000</v>
      </c>
      <c r="AD12" s="2"/>
      <c r="AE12" s="14"/>
      <c r="AF12" s="15"/>
      <c r="AG12" s="15"/>
      <c r="AH12" s="16"/>
      <c r="AI12" s="3"/>
      <c r="AJ12" s="2"/>
    </row>
    <row r="13" spans="1:36" x14ac:dyDescent="0.2">
      <c r="A13" s="2" t="s">
        <v>4</v>
      </c>
      <c r="B13" s="2"/>
      <c r="C13" s="2"/>
      <c r="D13" s="94">
        <v>0.4</v>
      </c>
      <c r="E13" s="2"/>
      <c r="F13" s="15"/>
      <c r="G13" s="15"/>
      <c r="H13" s="18"/>
      <c r="I13" s="16"/>
      <c r="J13" s="3"/>
      <c r="K13" s="2"/>
      <c r="L13" s="2"/>
      <c r="M13" s="2"/>
      <c r="N13" s="2"/>
      <c r="O13" s="2"/>
      <c r="P13" s="2"/>
      <c r="Q13" s="2"/>
      <c r="R13" s="2"/>
      <c r="Z13" s="2" t="s">
        <v>4</v>
      </c>
      <c r="AA13" s="2"/>
      <c r="AB13" s="2"/>
      <c r="AC13" s="17">
        <v>0.4</v>
      </c>
      <c r="AD13" s="2"/>
      <c r="AE13" s="15"/>
      <c r="AF13" s="15"/>
      <c r="AG13" s="18"/>
      <c r="AH13" s="16"/>
      <c r="AI13" s="3"/>
      <c r="AJ13" s="2"/>
    </row>
    <row r="14" spans="1:36" x14ac:dyDescent="0.2">
      <c r="A14" s="2" t="s">
        <v>5</v>
      </c>
      <c r="B14" s="2"/>
      <c r="C14" s="2"/>
      <c r="D14" s="94">
        <v>0.1</v>
      </c>
      <c r="E14" s="2"/>
      <c r="F14" s="19"/>
      <c r="G14" s="15"/>
      <c r="H14" s="18"/>
      <c r="I14" s="16"/>
      <c r="J14" s="3"/>
      <c r="K14" s="2"/>
      <c r="L14" s="2"/>
      <c r="M14" s="2"/>
      <c r="N14" s="2"/>
      <c r="O14" s="2"/>
      <c r="P14" s="2"/>
      <c r="Q14" s="2"/>
      <c r="R14" s="2"/>
      <c r="Z14" s="2" t="s">
        <v>5</v>
      </c>
      <c r="AA14" s="2"/>
      <c r="AB14" s="2"/>
      <c r="AC14" s="17">
        <v>0.1</v>
      </c>
      <c r="AD14" s="2"/>
      <c r="AE14" s="19"/>
      <c r="AF14" s="15"/>
      <c r="AG14" s="18"/>
      <c r="AH14" s="16"/>
      <c r="AI14" s="3"/>
      <c r="AJ14" s="2"/>
    </row>
    <row r="15" spans="1:36" x14ac:dyDescent="0.2">
      <c r="A15" s="2" t="s">
        <v>24</v>
      </c>
      <c r="B15" s="2"/>
      <c r="C15" s="2"/>
      <c r="D15" s="93">
        <v>100000</v>
      </c>
      <c r="E15" s="2"/>
      <c r="F15" s="15"/>
      <c r="G15" s="15"/>
      <c r="H15" s="18"/>
      <c r="I15" s="16"/>
      <c r="J15" s="2"/>
      <c r="K15" s="2"/>
      <c r="L15" s="2"/>
      <c r="M15" s="2"/>
      <c r="N15" s="2"/>
      <c r="O15" s="2"/>
      <c r="P15" s="2"/>
      <c r="Q15" s="2"/>
      <c r="R15" s="2"/>
      <c r="Z15" s="2" t="s">
        <v>24</v>
      </c>
      <c r="AA15" s="2"/>
      <c r="AB15" s="2"/>
      <c r="AC15" s="20">
        <v>100000</v>
      </c>
      <c r="AD15" s="2"/>
      <c r="AE15" s="15"/>
      <c r="AF15" s="15"/>
      <c r="AG15" s="18"/>
      <c r="AH15" s="16"/>
      <c r="AI15" s="2"/>
      <c r="AJ15" s="2"/>
    </row>
    <row r="16" spans="1:36" x14ac:dyDescent="0.2">
      <c r="A16" s="2" t="s">
        <v>33</v>
      </c>
      <c r="B16" s="2"/>
      <c r="C16" s="2"/>
      <c r="D16" s="92">
        <v>2</v>
      </c>
      <c r="E16" s="2"/>
      <c r="F16" s="15"/>
      <c r="G16" s="15"/>
      <c r="H16" s="18"/>
      <c r="I16" s="16"/>
      <c r="J16" s="2"/>
      <c r="K16" s="2"/>
      <c r="L16" s="2"/>
      <c r="M16" s="2"/>
      <c r="N16" s="2"/>
      <c r="O16" s="2"/>
      <c r="P16" s="2"/>
      <c r="Q16" s="2"/>
      <c r="R16" s="2"/>
      <c r="Z16" s="2" t="s">
        <v>33</v>
      </c>
      <c r="AA16" s="2"/>
      <c r="AB16" s="2"/>
      <c r="AC16" s="76">
        <v>2</v>
      </c>
      <c r="AD16" s="2"/>
      <c r="AE16" s="15"/>
      <c r="AF16" s="15"/>
      <c r="AG16" s="18"/>
      <c r="AH16" s="16"/>
      <c r="AI16" s="2"/>
      <c r="AJ16" s="2"/>
    </row>
    <row r="17" spans="1:36" x14ac:dyDescent="0.2">
      <c r="A17" s="2" t="s">
        <v>34</v>
      </c>
      <c r="B17" s="2"/>
      <c r="C17" s="2"/>
      <c r="D17" s="91">
        <v>0.6</v>
      </c>
      <c r="E17" s="2"/>
      <c r="F17" s="15"/>
      <c r="G17" s="15"/>
      <c r="H17" s="15"/>
      <c r="I17" s="15"/>
      <c r="J17" s="2"/>
      <c r="K17" s="2"/>
      <c r="L17" s="2"/>
      <c r="M17" s="2"/>
      <c r="N17" s="2"/>
      <c r="O17" s="2"/>
      <c r="P17" s="2"/>
      <c r="Q17" s="2"/>
      <c r="R17" s="2"/>
      <c r="Z17" s="2" t="s">
        <v>34</v>
      </c>
      <c r="AA17" s="2"/>
      <c r="AB17" s="2"/>
      <c r="AC17" s="75">
        <v>0.6</v>
      </c>
      <c r="AD17" s="2"/>
      <c r="AE17" s="15"/>
      <c r="AF17" s="15"/>
      <c r="AG17" s="15"/>
      <c r="AH17" s="15"/>
      <c r="AI17" s="2"/>
      <c r="AJ17" s="2"/>
    </row>
    <row r="18" spans="1:36" x14ac:dyDescent="0.2">
      <c r="A18" s="2" t="s">
        <v>51</v>
      </c>
      <c r="B18" s="2"/>
      <c r="C18" s="2"/>
      <c r="D18" s="90">
        <v>-25000</v>
      </c>
      <c r="E18" s="2"/>
      <c r="F18" s="15"/>
      <c r="G18" s="15"/>
      <c r="H18" s="15"/>
      <c r="I18" s="15"/>
      <c r="J18" s="2"/>
      <c r="K18" s="2"/>
      <c r="L18" s="2"/>
      <c r="M18" s="2"/>
      <c r="N18" s="2"/>
      <c r="O18" s="2"/>
      <c r="P18" s="2"/>
      <c r="Q18" s="2"/>
      <c r="R18" s="2"/>
      <c r="Z18" s="2" t="s">
        <v>51</v>
      </c>
      <c r="AA18" s="2"/>
      <c r="AB18" s="2"/>
      <c r="AC18" s="74">
        <v>-25000</v>
      </c>
      <c r="AD18" s="2"/>
      <c r="AE18" s="15"/>
      <c r="AF18" s="15"/>
      <c r="AG18" s="15"/>
      <c r="AH18" s="15"/>
      <c r="AI18" s="2"/>
      <c r="AJ18" s="2"/>
    </row>
    <row r="19" spans="1:36" x14ac:dyDescent="0.2">
      <c r="A19" s="2" t="s">
        <v>52</v>
      </c>
      <c r="B19" s="3"/>
      <c r="C19" s="3"/>
      <c r="D19" s="90">
        <v>5000</v>
      </c>
      <c r="E19" s="2"/>
      <c r="F19" s="15"/>
      <c r="G19" s="15"/>
      <c r="H19" s="15"/>
      <c r="I19" s="21"/>
      <c r="J19" s="2"/>
      <c r="K19" s="2"/>
      <c r="L19" s="2"/>
      <c r="M19" s="2"/>
      <c r="N19" s="2"/>
      <c r="O19" s="2"/>
      <c r="P19" s="2"/>
      <c r="Q19" s="2"/>
      <c r="R19" s="2"/>
      <c r="Z19" s="2" t="s">
        <v>52</v>
      </c>
      <c r="AA19" s="3"/>
      <c r="AB19" s="3"/>
      <c r="AC19" s="74">
        <v>5000</v>
      </c>
      <c r="AD19" s="2"/>
      <c r="AE19" s="15"/>
      <c r="AF19" s="15"/>
      <c r="AG19" s="15"/>
      <c r="AH19" s="21"/>
      <c r="AI19" s="2"/>
      <c r="AJ19" s="2"/>
    </row>
    <row r="20" spans="1:36" x14ac:dyDescent="0.2">
      <c r="A20" s="3"/>
      <c r="B20" s="3"/>
      <c r="C20" s="3"/>
      <c r="D20" s="3"/>
      <c r="E20" s="2"/>
      <c r="F20" s="15"/>
      <c r="G20" s="15"/>
      <c r="H20" s="15"/>
      <c r="I20" s="21"/>
      <c r="J20" s="2"/>
      <c r="K20" s="2"/>
      <c r="L20" s="2"/>
      <c r="M20" s="2"/>
      <c r="N20" s="2"/>
      <c r="O20" s="2"/>
      <c r="P20" s="2"/>
      <c r="Q20" s="2"/>
      <c r="R20" s="2"/>
      <c r="Z20" s="3"/>
      <c r="AA20" s="3"/>
      <c r="AB20" s="3"/>
      <c r="AC20" s="3"/>
      <c r="AD20" s="2"/>
      <c r="AE20" s="15"/>
      <c r="AF20" s="15"/>
      <c r="AG20" s="15"/>
      <c r="AH20" s="21"/>
      <c r="AI20" s="2"/>
      <c r="AJ20" s="2"/>
    </row>
    <row r="21" spans="1:36" x14ac:dyDescent="0.2">
      <c r="A21" s="3"/>
      <c r="B21" s="3"/>
      <c r="C21" s="3"/>
      <c r="D21" s="3"/>
      <c r="E21" s="2"/>
      <c r="F21" s="15"/>
      <c r="G21" s="15"/>
      <c r="H21" s="15"/>
      <c r="I21" s="21"/>
      <c r="J21" s="2"/>
      <c r="K21" s="2"/>
      <c r="L21" s="2"/>
      <c r="M21" s="2"/>
      <c r="N21" s="2"/>
      <c r="O21" s="2"/>
      <c r="P21" s="2"/>
      <c r="Q21" s="2"/>
      <c r="R21" s="2"/>
      <c r="Z21" s="3"/>
      <c r="AA21" s="3"/>
      <c r="AB21" s="3"/>
      <c r="AC21" s="3"/>
      <c r="AD21" s="2"/>
      <c r="AE21" s="15"/>
      <c r="AF21" s="15"/>
      <c r="AG21" s="15"/>
      <c r="AH21" s="21"/>
      <c r="AI21" s="2"/>
      <c r="AJ21" s="2"/>
    </row>
    <row r="22" spans="1:36" x14ac:dyDescent="0.2">
      <c r="A22" s="3"/>
      <c r="B22" s="3"/>
      <c r="C22" s="3"/>
      <c r="D22" s="3"/>
      <c r="E22" s="2"/>
      <c r="F22" s="15"/>
      <c r="G22" s="15"/>
      <c r="H22" s="15"/>
      <c r="I22" s="21"/>
      <c r="J22" s="2"/>
      <c r="K22" s="2"/>
      <c r="L22" s="2"/>
      <c r="M22" s="2"/>
      <c r="N22" s="2"/>
      <c r="O22" s="2"/>
      <c r="P22" s="2"/>
      <c r="Q22" s="2"/>
      <c r="R22" s="2"/>
      <c r="Z22" s="3"/>
      <c r="AA22" s="3"/>
      <c r="AB22" s="3"/>
      <c r="AC22" s="3"/>
      <c r="AD22" s="2"/>
      <c r="AE22" s="15"/>
      <c r="AF22" s="15"/>
      <c r="AG22" s="15"/>
      <c r="AH22" s="21"/>
      <c r="AI22" s="2"/>
      <c r="AJ22" s="2"/>
    </row>
    <row r="23" spans="1:36" x14ac:dyDescent="0.2">
      <c r="A23" s="8" t="s">
        <v>68</v>
      </c>
      <c r="B23" s="2"/>
      <c r="C23" s="2"/>
      <c r="D23" s="2"/>
      <c r="E23" s="2"/>
      <c r="F23" s="15"/>
      <c r="G23" s="15"/>
      <c r="H23" s="15"/>
      <c r="I23" s="21"/>
      <c r="J23" s="2"/>
      <c r="K23" s="2"/>
      <c r="L23" s="2"/>
      <c r="M23" s="2"/>
      <c r="N23" s="2"/>
      <c r="O23" s="2"/>
      <c r="P23" s="2"/>
      <c r="Q23" s="2"/>
      <c r="R23" s="2"/>
      <c r="Z23" s="8" t="s">
        <v>68</v>
      </c>
      <c r="AA23" s="2"/>
      <c r="AB23" s="2"/>
      <c r="AC23" s="2"/>
      <c r="AD23" s="2"/>
      <c r="AE23" s="15"/>
      <c r="AF23" s="15"/>
      <c r="AG23" s="15"/>
      <c r="AH23" s="21"/>
      <c r="AI23" s="2"/>
      <c r="AJ23" s="2"/>
    </row>
    <row r="24" spans="1:36" ht="38.25" x14ac:dyDescent="0.2">
      <c r="A24" s="2"/>
      <c r="B24" s="2"/>
      <c r="C24" s="2"/>
      <c r="D24" s="38" t="s">
        <v>41</v>
      </c>
      <c r="E24" s="2"/>
      <c r="F24" s="15"/>
      <c r="G24" s="15"/>
      <c r="H24" s="15"/>
      <c r="I24" s="21"/>
      <c r="J24" s="2"/>
      <c r="K24" s="2"/>
      <c r="L24" s="2"/>
      <c r="M24" s="2"/>
      <c r="N24" s="2"/>
      <c r="O24" s="2"/>
      <c r="P24" s="2"/>
      <c r="Q24" s="2"/>
      <c r="R24" s="2"/>
      <c r="Z24" s="2"/>
      <c r="AA24" s="2"/>
      <c r="AB24" s="2"/>
      <c r="AC24" s="38" t="s">
        <v>41</v>
      </c>
      <c r="AD24" s="2"/>
      <c r="AE24" s="15"/>
      <c r="AF24" s="15"/>
      <c r="AG24" s="15"/>
      <c r="AH24" s="21"/>
      <c r="AI24" s="2"/>
      <c r="AJ24" s="2"/>
    </row>
    <row r="25" spans="1:36" x14ac:dyDescent="0.2">
      <c r="A25" s="2" t="s">
        <v>69</v>
      </c>
      <c r="B25" s="2"/>
      <c r="C25" s="2"/>
      <c r="D25" s="88">
        <f>-D8</f>
        <v>-200000</v>
      </c>
      <c r="E25" s="2"/>
      <c r="F25" s="15"/>
      <c r="G25" s="15"/>
      <c r="H25" s="15"/>
      <c r="I25" s="21"/>
      <c r="J25" s="2"/>
      <c r="K25" s="2"/>
      <c r="L25" s="2"/>
      <c r="M25" s="2"/>
      <c r="N25" s="2"/>
      <c r="O25" s="2"/>
      <c r="P25" s="2"/>
      <c r="Q25" s="2"/>
      <c r="R25" s="2"/>
      <c r="Z25" s="2" t="s">
        <v>69</v>
      </c>
      <c r="AA25" s="2"/>
      <c r="AB25" s="2"/>
      <c r="AC25" s="40">
        <f>-AC8</f>
        <v>-200000</v>
      </c>
      <c r="AD25" s="2"/>
      <c r="AE25" s="15"/>
      <c r="AF25" s="15"/>
      <c r="AG25" s="15"/>
      <c r="AH25" s="21"/>
      <c r="AI25" s="2"/>
      <c r="AJ25" s="2"/>
    </row>
    <row r="26" spans="1:36" x14ac:dyDescent="0.2">
      <c r="A26" s="78" t="s">
        <v>70</v>
      </c>
      <c r="B26" s="3"/>
      <c r="C26" s="3"/>
      <c r="D26" s="89">
        <f>-D9</f>
        <v>-40000</v>
      </c>
      <c r="E26" s="2"/>
      <c r="F26" s="15"/>
      <c r="G26" s="15"/>
      <c r="H26" s="15"/>
      <c r="I26" s="21"/>
      <c r="J26" s="2"/>
      <c r="K26" s="2"/>
      <c r="L26" s="2"/>
      <c r="M26" s="2"/>
      <c r="N26" s="2"/>
      <c r="O26" s="2"/>
      <c r="P26" s="2"/>
      <c r="Q26" s="2"/>
      <c r="R26" s="2"/>
      <c r="Z26" s="78" t="s">
        <v>70</v>
      </c>
      <c r="AA26" s="3"/>
      <c r="AB26" s="3"/>
      <c r="AC26" s="41">
        <f>-AC9</f>
        <v>-40000</v>
      </c>
      <c r="AD26" s="2"/>
      <c r="AE26" s="15"/>
      <c r="AF26" s="15"/>
      <c r="AG26" s="15"/>
      <c r="AH26" s="21"/>
      <c r="AI26" s="2"/>
      <c r="AJ26" s="2"/>
    </row>
    <row r="27" spans="1:36" x14ac:dyDescent="0.2">
      <c r="A27" s="78" t="s">
        <v>71</v>
      </c>
      <c r="B27" s="3"/>
      <c r="C27" s="3"/>
      <c r="D27" s="88">
        <f>+D18+D19</f>
        <v>-20000</v>
      </c>
      <c r="E27" s="2"/>
      <c r="F27" s="15"/>
      <c r="G27" s="15"/>
      <c r="H27" s="15"/>
      <c r="I27" s="21"/>
      <c r="J27" s="2"/>
      <c r="K27" s="2"/>
      <c r="L27" s="2"/>
      <c r="M27" s="2"/>
      <c r="N27" s="2"/>
      <c r="O27" s="2"/>
      <c r="P27" s="2"/>
      <c r="Q27" s="2"/>
      <c r="R27" s="2"/>
      <c r="Z27" s="78" t="s">
        <v>71</v>
      </c>
      <c r="AA27" s="3"/>
      <c r="AB27" s="3"/>
      <c r="AC27" s="40">
        <f>AC18+AC19</f>
        <v>-20000</v>
      </c>
      <c r="AD27" s="2"/>
      <c r="AE27" s="15"/>
      <c r="AF27" s="15"/>
      <c r="AG27" s="15"/>
      <c r="AH27" s="21"/>
      <c r="AI27" s="2"/>
      <c r="AJ27" s="2"/>
    </row>
    <row r="28" spans="1:36" x14ac:dyDescent="0.2">
      <c r="A28" s="78"/>
      <c r="B28" s="2"/>
      <c r="C28" s="2"/>
      <c r="D28" s="42"/>
      <c r="E28" s="2"/>
      <c r="F28" s="15"/>
      <c r="G28" s="15"/>
      <c r="H28" s="15"/>
      <c r="I28" s="21"/>
      <c r="J28" s="2"/>
      <c r="K28" s="2"/>
      <c r="L28" s="2"/>
      <c r="M28" s="2"/>
      <c r="N28" s="2"/>
      <c r="O28" s="2"/>
      <c r="P28" s="2"/>
      <c r="Q28" s="2"/>
      <c r="R28" s="2"/>
      <c r="Z28" s="78"/>
      <c r="AA28" s="2"/>
      <c r="AB28" s="2"/>
      <c r="AC28" s="42"/>
      <c r="AD28" s="2"/>
      <c r="AE28" s="15"/>
      <c r="AF28" s="15"/>
      <c r="AG28" s="15"/>
      <c r="AH28" s="21"/>
      <c r="AI28" s="2"/>
      <c r="AJ28" s="2"/>
    </row>
    <row r="29" spans="1:36" x14ac:dyDescent="0.2">
      <c r="A29" s="78"/>
      <c r="B29" s="2"/>
      <c r="C29" s="2"/>
      <c r="D29" s="42"/>
      <c r="E29" s="2"/>
      <c r="F29" s="15"/>
      <c r="G29" s="15"/>
      <c r="H29" s="15"/>
      <c r="I29" s="21"/>
      <c r="J29" s="2"/>
      <c r="K29" s="2"/>
      <c r="L29" s="2"/>
      <c r="M29" s="2"/>
      <c r="N29" s="2"/>
      <c r="O29" s="2"/>
      <c r="P29" s="2"/>
      <c r="Q29" s="2"/>
      <c r="R29" s="2"/>
      <c r="Z29" s="78"/>
      <c r="AA29" s="2"/>
      <c r="AB29" s="2"/>
      <c r="AC29" s="42"/>
      <c r="AD29" s="2"/>
      <c r="AE29" s="15"/>
      <c r="AF29" s="15"/>
      <c r="AG29" s="15"/>
      <c r="AH29" s="21"/>
      <c r="AI29" s="2"/>
      <c r="AJ29" s="2"/>
    </row>
    <row r="30" spans="1:36" ht="13.5" thickBot="1" x14ac:dyDescent="0.25">
      <c r="A30" s="78" t="s">
        <v>72</v>
      </c>
      <c r="B30" s="2"/>
      <c r="C30" s="2"/>
      <c r="D30" s="43">
        <f>SUM(D25:D29)</f>
        <v>-260000</v>
      </c>
      <c r="E30" s="2"/>
      <c r="F30" s="15"/>
      <c r="G30" s="15"/>
      <c r="H30" s="15"/>
      <c r="I30" s="21"/>
      <c r="J30" s="2"/>
      <c r="K30" s="2"/>
      <c r="L30" s="2"/>
      <c r="M30" s="2"/>
      <c r="N30" s="2"/>
      <c r="O30" s="2"/>
      <c r="P30" s="2"/>
      <c r="Q30" s="2"/>
      <c r="R30" s="2"/>
      <c r="Z30" s="78" t="s">
        <v>72</v>
      </c>
      <c r="AA30" s="2"/>
      <c r="AB30" s="2"/>
      <c r="AC30" s="43">
        <f>SUM(AC25:AC29)</f>
        <v>-260000</v>
      </c>
      <c r="AD30" s="2"/>
      <c r="AE30" s="15"/>
      <c r="AF30" s="15"/>
      <c r="AG30" s="15"/>
      <c r="AH30" s="21"/>
      <c r="AI30" s="2"/>
      <c r="AJ30" s="2"/>
    </row>
    <row r="31" spans="1:36" ht="13.5" thickTop="1" x14ac:dyDescent="0.2">
      <c r="A31" s="8" t="s">
        <v>6</v>
      </c>
      <c r="B31" s="2"/>
      <c r="C31" s="2"/>
      <c r="D31" s="2"/>
      <c r="E31" s="2"/>
      <c r="F31" s="2"/>
      <c r="G31" s="2"/>
      <c r="H31" s="2"/>
      <c r="I31" s="2"/>
      <c r="J31" s="2"/>
      <c r="K31" s="2"/>
      <c r="L31" s="2"/>
      <c r="M31" s="2"/>
      <c r="N31" s="2"/>
      <c r="O31" s="2"/>
      <c r="P31" s="2"/>
      <c r="Q31" s="2"/>
      <c r="R31" s="2"/>
      <c r="Z31" s="8" t="s">
        <v>6</v>
      </c>
      <c r="AA31" s="2"/>
      <c r="AB31" s="2"/>
      <c r="AC31" s="2"/>
      <c r="AD31" s="2"/>
      <c r="AE31" s="2"/>
      <c r="AF31" s="2"/>
      <c r="AG31" s="2"/>
      <c r="AH31" s="2"/>
      <c r="AI31" s="2"/>
      <c r="AJ31" s="2"/>
    </row>
    <row r="32" spans="1:36" x14ac:dyDescent="0.2">
      <c r="A32" s="8"/>
      <c r="B32" s="2"/>
      <c r="C32" s="2"/>
      <c r="D32" s="2"/>
      <c r="E32" s="2"/>
      <c r="F32" s="2"/>
      <c r="G32" s="2"/>
      <c r="H32" s="2"/>
      <c r="I32" s="2"/>
      <c r="J32" s="2"/>
      <c r="K32" s="2"/>
      <c r="L32" s="2"/>
      <c r="M32" s="2"/>
      <c r="N32" s="2"/>
      <c r="O32" s="2"/>
      <c r="P32" s="2"/>
      <c r="Q32" s="2"/>
      <c r="R32" s="2"/>
      <c r="Z32" s="8"/>
      <c r="AA32" s="2"/>
      <c r="AB32" s="2"/>
      <c r="AC32" s="2"/>
      <c r="AD32" s="2"/>
      <c r="AE32" s="2"/>
      <c r="AF32" s="2"/>
      <c r="AG32" s="2"/>
      <c r="AH32" s="2"/>
      <c r="AI32" s="2"/>
      <c r="AJ32" s="2"/>
    </row>
    <row r="33" spans="1:36" x14ac:dyDescent="0.2">
      <c r="A33" s="2" t="s">
        <v>46</v>
      </c>
      <c r="B33" s="2"/>
      <c r="C33" s="2"/>
      <c r="D33" s="2"/>
      <c r="E33" s="2"/>
      <c r="F33" s="2"/>
      <c r="G33" s="2"/>
      <c r="H33" s="2"/>
      <c r="I33" s="2"/>
      <c r="J33" s="2"/>
      <c r="K33" s="2"/>
      <c r="L33" s="2"/>
      <c r="M33" s="2"/>
      <c r="N33" s="2"/>
      <c r="O33" s="2"/>
      <c r="P33" s="2"/>
      <c r="Q33" s="2"/>
      <c r="R33" s="2"/>
      <c r="Z33" s="2" t="s">
        <v>46</v>
      </c>
      <c r="AA33" s="2"/>
      <c r="AB33" s="2"/>
      <c r="AC33" s="2"/>
      <c r="AD33" s="2"/>
      <c r="AE33" s="2"/>
      <c r="AF33" s="2"/>
      <c r="AG33" s="2"/>
      <c r="AH33" s="2"/>
      <c r="AI33" s="2"/>
      <c r="AJ33" s="2"/>
    </row>
    <row r="34" spans="1:36" x14ac:dyDescent="0.2">
      <c r="A34" s="2" t="s">
        <v>35</v>
      </c>
      <c r="B34" s="2"/>
      <c r="C34" s="87">
        <f>-(+D25+D26)</f>
        <v>240000</v>
      </c>
      <c r="D34" s="3"/>
      <c r="E34" s="2"/>
      <c r="F34" s="2"/>
      <c r="G34" s="2"/>
      <c r="H34" s="2"/>
      <c r="I34" s="2"/>
      <c r="J34" s="2"/>
      <c r="K34" s="2"/>
      <c r="L34" s="2"/>
      <c r="M34" s="2"/>
      <c r="N34" s="2"/>
      <c r="O34" s="2"/>
      <c r="P34" s="2"/>
      <c r="Q34" s="2"/>
      <c r="R34" s="2"/>
      <c r="Z34" s="2" t="s">
        <v>35</v>
      </c>
      <c r="AA34" s="2"/>
      <c r="AB34" s="13">
        <f>AC8+AC9+AC10</f>
        <v>240000</v>
      </c>
      <c r="AC34" s="3"/>
      <c r="AD34" s="2"/>
      <c r="AE34" s="2"/>
      <c r="AF34" s="2"/>
      <c r="AG34" s="2"/>
      <c r="AH34" s="2"/>
      <c r="AI34" s="2"/>
      <c r="AJ34" s="2"/>
    </row>
    <row r="35" spans="1:36" x14ac:dyDescent="0.2">
      <c r="A35" s="8"/>
      <c r="B35" s="2"/>
      <c r="C35" s="2"/>
      <c r="D35" s="2"/>
      <c r="E35" s="2"/>
      <c r="F35" s="2"/>
      <c r="G35" s="2"/>
      <c r="H35" s="2"/>
      <c r="I35" s="2"/>
      <c r="J35" s="2"/>
      <c r="K35" s="2"/>
      <c r="L35" s="2"/>
      <c r="M35" s="2"/>
      <c r="N35" s="2"/>
      <c r="O35" s="2"/>
      <c r="P35" s="2"/>
      <c r="Q35" s="2"/>
      <c r="R35" s="2"/>
      <c r="Z35" s="8"/>
      <c r="AA35" s="2"/>
      <c r="AB35" s="2"/>
      <c r="AC35" s="2"/>
      <c r="AD35" s="2"/>
      <c r="AE35" s="2"/>
      <c r="AF35" s="2"/>
      <c r="AG35" s="2"/>
      <c r="AH35" s="2"/>
      <c r="AI35" s="2"/>
      <c r="AJ35" s="2"/>
    </row>
    <row r="36" spans="1:36" ht="38.25" customHeight="1" thickBot="1" x14ac:dyDescent="0.25">
      <c r="A36" s="2"/>
      <c r="B36" s="22" t="s">
        <v>7</v>
      </c>
      <c r="C36" s="22" t="s">
        <v>8</v>
      </c>
      <c r="D36" s="22" t="s">
        <v>9</v>
      </c>
      <c r="E36" s="22" t="s">
        <v>10</v>
      </c>
      <c r="F36" s="22" t="s">
        <v>12</v>
      </c>
      <c r="G36" s="22" t="s">
        <v>11</v>
      </c>
      <c r="H36" s="77" t="s">
        <v>43</v>
      </c>
      <c r="I36" s="2"/>
      <c r="J36" s="2"/>
      <c r="K36" s="2"/>
      <c r="L36" s="2"/>
      <c r="M36" s="2"/>
      <c r="N36" s="2"/>
      <c r="O36" s="2"/>
      <c r="P36" s="2"/>
      <c r="Q36" s="2"/>
      <c r="R36" s="2"/>
      <c r="Z36" s="2"/>
      <c r="AA36" s="22" t="s">
        <v>7</v>
      </c>
      <c r="AB36" s="22" t="s">
        <v>8</v>
      </c>
      <c r="AC36" s="22" t="s">
        <v>9</v>
      </c>
      <c r="AD36" s="22" t="s">
        <v>10</v>
      </c>
      <c r="AE36" s="22" t="s">
        <v>12</v>
      </c>
      <c r="AF36" s="22" t="s">
        <v>11</v>
      </c>
      <c r="AG36" s="77" t="s">
        <v>43</v>
      </c>
      <c r="AH36" s="2"/>
      <c r="AI36" s="2"/>
      <c r="AJ36" s="2"/>
    </row>
    <row r="37" spans="1:36" x14ac:dyDescent="0.2">
      <c r="A37" s="2"/>
      <c r="B37" s="23">
        <v>1</v>
      </c>
      <c r="C37" s="23">
        <v>0.33</v>
      </c>
      <c r="D37" s="23"/>
      <c r="E37" s="24">
        <f>C34</f>
        <v>240000</v>
      </c>
      <c r="F37" s="23"/>
      <c r="G37" s="24">
        <f>C37*E37</f>
        <v>79200</v>
      </c>
      <c r="H37" s="24">
        <f>C34-G37</f>
        <v>160800</v>
      </c>
      <c r="I37" s="2"/>
      <c r="J37" s="2"/>
      <c r="K37" s="2"/>
      <c r="L37" s="2"/>
      <c r="M37" s="2"/>
      <c r="N37" s="2"/>
      <c r="O37" s="2"/>
      <c r="P37" s="2"/>
      <c r="Q37" s="2"/>
      <c r="R37" s="2"/>
      <c r="Z37" s="2"/>
      <c r="AA37" s="23">
        <v>1</v>
      </c>
      <c r="AB37" s="23">
        <v>0.33</v>
      </c>
      <c r="AC37" s="23"/>
      <c r="AD37" s="24">
        <f>AB34</f>
        <v>240000</v>
      </c>
      <c r="AE37" s="23"/>
      <c r="AF37" s="24">
        <f>AB37*AD37</f>
        <v>79200</v>
      </c>
      <c r="AG37" s="24">
        <f>AB34-AF37</f>
        <v>160800</v>
      </c>
      <c r="AH37" s="2"/>
      <c r="AI37" s="2"/>
      <c r="AJ37" s="2"/>
    </row>
    <row r="38" spans="1:36" x14ac:dyDescent="0.2">
      <c r="A38" s="2"/>
      <c r="B38" s="23">
        <v>2</v>
      </c>
      <c r="C38" s="23">
        <v>0.45</v>
      </c>
      <c r="D38" s="23"/>
      <c r="E38" s="25">
        <f>E37</f>
        <v>240000</v>
      </c>
      <c r="F38" s="23"/>
      <c r="G38" s="26">
        <f>C38*E38</f>
        <v>108000</v>
      </c>
      <c r="H38" s="25">
        <f>H37-G38</f>
        <v>52800</v>
      </c>
      <c r="I38" s="2"/>
      <c r="J38" s="2"/>
      <c r="K38" s="2"/>
      <c r="L38" s="2"/>
      <c r="M38" s="2"/>
      <c r="N38" s="2"/>
      <c r="O38" s="2"/>
      <c r="P38" s="2"/>
      <c r="Q38" s="2"/>
      <c r="R38" s="2"/>
      <c r="Z38" s="2"/>
      <c r="AA38" s="23">
        <v>2</v>
      </c>
      <c r="AB38" s="23">
        <v>0.45</v>
      </c>
      <c r="AC38" s="23"/>
      <c r="AD38" s="25">
        <f>AD37</f>
        <v>240000</v>
      </c>
      <c r="AE38" s="23"/>
      <c r="AF38" s="26">
        <f>AB38*AD38</f>
        <v>108000</v>
      </c>
      <c r="AG38" s="25">
        <f>AG37-AF38</f>
        <v>52800</v>
      </c>
      <c r="AH38" s="2"/>
      <c r="AI38" s="2"/>
      <c r="AJ38" s="2"/>
    </row>
    <row r="39" spans="1:36" x14ac:dyDescent="0.2">
      <c r="A39" s="2"/>
      <c r="B39" s="23">
        <v>3</v>
      </c>
      <c r="C39" s="23">
        <v>0.15</v>
      </c>
      <c r="D39" s="23"/>
      <c r="E39" s="25">
        <f>E37</f>
        <v>240000</v>
      </c>
      <c r="F39" s="23"/>
      <c r="G39" s="26">
        <f>C39*E39</f>
        <v>36000</v>
      </c>
      <c r="H39" s="25">
        <f>H38-G39</f>
        <v>16800</v>
      </c>
      <c r="I39" s="2"/>
      <c r="J39" s="2"/>
      <c r="K39" s="2"/>
      <c r="L39" s="2"/>
      <c r="M39" s="2"/>
      <c r="N39" s="2"/>
      <c r="O39" s="2"/>
      <c r="P39" s="2"/>
      <c r="Q39" s="2"/>
      <c r="R39" s="2"/>
      <c r="Z39" s="2"/>
      <c r="AA39" s="23">
        <v>3</v>
      </c>
      <c r="AB39" s="23">
        <v>0.15</v>
      </c>
      <c r="AC39" s="23"/>
      <c r="AD39" s="25">
        <f>AD37</f>
        <v>240000</v>
      </c>
      <c r="AE39" s="23"/>
      <c r="AF39" s="26">
        <f>AB39*AD39</f>
        <v>36000</v>
      </c>
      <c r="AG39" s="25">
        <f>AG38-AF39</f>
        <v>16800</v>
      </c>
      <c r="AH39" s="2"/>
      <c r="AI39" s="2"/>
      <c r="AJ39" s="2"/>
    </row>
    <row r="40" spans="1:36" x14ac:dyDescent="0.2">
      <c r="A40" s="2"/>
      <c r="B40" s="23">
        <v>4</v>
      </c>
      <c r="C40" s="23">
        <v>7.0000000000000007E-2</v>
      </c>
      <c r="D40" s="23"/>
      <c r="E40" s="25">
        <f>E37</f>
        <v>240000</v>
      </c>
      <c r="F40" s="23"/>
      <c r="G40" s="26">
        <f>C40*E40</f>
        <v>16800</v>
      </c>
      <c r="H40" s="25">
        <f>H39-G40</f>
        <v>0</v>
      </c>
      <c r="I40" s="2"/>
      <c r="J40" s="2"/>
      <c r="K40" s="2"/>
      <c r="L40" s="2"/>
      <c r="M40" s="2"/>
      <c r="N40" s="2"/>
      <c r="O40" s="2"/>
      <c r="P40" s="2"/>
      <c r="Q40" s="2"/>
      <c r="R40" s="2"/>
      <c r="Z40" s="2"/>
      <c r="AA40" s="23">
        <v>4</v>
      </c>
      <c r="AB40" s="23">
        <v>7.0000000000000007E-2</v>
      </c>
      <c r="AC40" s="23"/>
      <c r="AD40" s="25">
        <f>AD37</f>
        <v>240000</v>
      </c>
      <c r="AE40" s="23"/>
      <c r="AF40" s="26">
        <f>AB40*AD40</f>
        <v>16800</v>
      </c>
      <c r="AG40" s="25">
        <f>AG39-AF40</f>
        <v>0</v>
      </c>
      <c r="AH40" s="2"/>
      <c r="AI40" s="2"/>
      <c r="AJ40" s="2"/>
    </row>
    <row r="41" spans="1:36" x14ac:dyDescent="0.2">
      <c r="A41" s="2"/>
      <c r="B41" s="2"/>
      <c r="C41" s="2"/>
      <c r="D41" s="2"/>
      <c r="E41" s="27"/>
      <c r="F41" s="2"/>
      <c r="G41" s="2"/>
      <c r="H41" s="2"/>
      <c r="I41" s="2"/>
      <c r="J41" s="2"/>
      <c r="K41" s="2"/>
      <c r="L41" s="2"/>
      <c r="M41" s="2"/>
      <c r="N41" s="2"/>
      <c r="O41" s="2"/>
      <c r="P41" s="2"/>
      <c r="Q41" s="2"/>
      <c r="R41" s="2"/>
      <c r="Z41" s="2"/>
      <c r="AA41" s="2"/>
      <c r="AB41" s="2"/>
      <c r="AC41" s="2"/>
      <c r="AD41" s="27"/>
      <c r="AE41" s="2"/>
      <c r="AF41" s="2"/>
      <c r="AG41" s="2"/>
      <c r="AH41" s="2"/>
      <c r="AI41" s="2"/>
      <c r="AJ41" s="2"/>
    </row>
    <row r="42" spans="1:36" x14ac:dyDescent="0.2">
      <c r="A42" s="100"/>
      <c r="B42" s="100"/>
      <c r="C42" s="100"/>
      <c r="D42" s="100"/>
      <c r="E42" s="100"/>
      <c r="F42" s="100"/>
      <c r="G42" s="100"/>
      <c r="H42" s="100"/>
      <c r="I42" s="100"/>
      <c r="J42" s="2"/>
      <c r="K42" s="2"/>
      <c r="L42" s="2"/>
      <c r="M42" s="2"/>
      <c r="N42" s="2"/>
      <c r="O42" s="2"/>
      <c r="P42" s="2"/>
      <c r="Q42" s="2"/>
      <c r="R42" s="2"/>
      <c r="Z42" s="100"/>
      <c r="AA42" s="100"/>
      <c r="AB42" s="100"/>
      <c r="AC42" s="100"/>
      <c r="AD42" s="100"/>
      <c r="AE42" s="100"/>
      <c r="AF42" s="100"/>
      <c r="AG42" s="100"/>
      <c r="AH42" s="100"/>
      <c r="AI42" s="2"/>
      <c r="AJ42" s="2"/>
    </row>
    <row r="43" spans="1:36" x14ac:dyDescent="0.2">
      <c r="A43" s="100"/>
      <c r="B43" s="100"/>
      <c r="C43" s="100"/>
      <c r="D43" s="100"/>
      <c r="E43" s="100"/>
      <c r="F43" s="100"/>
      <c r="G43" s="100"/>
      <c r="H43" s="100"/>
      <c r="I43" s="100"/>
      <c r="J43" s="2"/>
      <c r="K43" s="3"/>
      <c r="L43" s="3"/>
      <c r="M43" s="3"/>
      <c r="N43" s="3"/>
      <c r="O43" s="3"/>
      <c r="P43" s="3"/>
      <c r="Q43" s="3"/>
      <c r="R43" s="3"/>
      <c r="Z43" s="100"/>
      <c r="AA43" s="100"/>
      <c r="AB43" s="100"/>
      <c r="AC43" s="100"/>
      <c r="AD43" s="100"/>
      <c r="AE43" s="100"/>
      <c r="AF43" s="100"/>
      <c r="AG43" s="100"/>
      <c r="AH43" s="100"/>
      <c r="AI43" s="2"/>
      <c r="AJ43" s="3"/>
    </row>
    <row r="44" spans="1:36" x14ac:dyDescent="0.2">
      <c r="A44" s="2"/>
      <c r="B44" s="2"/>
      <c r="C44" s="2"/>
      <c r="D44" s="2"/>
      <c r="E44" s="2"/>
      <c r="F44" s="2"/>
      <c r="G44" s="2"/>
      <c r="H44" s="2"/>
      <c r="I44" s="2"/>
      <c r="J44" s="2"/>
      <c r="K44" s="2"/>
      <c r="L44" s="2"/>
      <c r="M44" s="2"/>
      <c r="N44" s="2"/>
      <c r="O44" s="2"/>
      <c r="P44" s="2"/>
      <c r="Q44" s="2"/>
      <c r="R44" s="2"/>
      <c r="Z44" s="2"/>
      <c r="AA44" s="2"/>
      <c r="AB44" s="2"/>
      <c r="AC44" s="2"/>
      <c r="AD44" s="2"/>
      <c r="AE44" s="2"/>
      <c r="AF44" s="2"/>
      <c r="AG44" s="2"/>
      <c r="AH44" s="2"/>
      <c r="AI44" s="2"/>
      <c r="AJ44" s="2"/>
    </row>
    <row r="45" spans="1:36" x14ac:dyDescent="0.2">
      <c r="A45" s="100" t="s">
        <v>40</v>
      </c>
      <c r="B45" s="100"/>
      <c r="C45" s="100"/>
      <c r="D45" s="100"/>
      <c r="E45" s="100"/>
      <c r="F45" s="100"/>
      <c r="G45" s="100"/>
      <c r="H45" s="100"/>
      <c r="I45" s="100"/>
      <c r="J45" s="2"/>
      <c r="K45" s="2"/>
      <c r="L45" s="2"/>
      <c r="M45" s="2"/>
      <c r="N45" s="2"/>
      <c r="O45" s="2"/>
      <c r="P45" s="2"/>
      <c r="Q45" s="2"/>
      <c r="R45" s="2"/>
      <c r="Z45" s="100" t="s">
        <v>40</v>
      </c>
      <c r="AA45" s="100"/>
      <c r="AB45" s="100"/>
      <c r="AC45" s="100"/>
      <c r="AD45" s="100"/>
      <c r="AE45" s="100"/>
      <c r="AF45" s="100"/>
      <c r="AG45" s="100"/>
      <c r="AH45" s="100"/>
      <c r="AI45" s="2"/>
      <c r="AJ45" s="2"/>
    </row>
    <row r="46" spans="1:36" x14ac:dyDescent="0.2">
      <c r="A46" s="2"/>
      <c r="B46" s="2"/>
      <c r="C46" s="2"/>
      <c r="D46" s="2"/>
      <c r="E46" s="2"/>
      <c r="F46" s="2"/>
      <c r="G46" s="2"/>
      <c r="H46" s="2"/>
      <c r="I46" s="2"/>
      <c r="J46" s="2"/>
      <c r="K46" s="2"/>
      <c r="L46" s="2"/>
      <c r="M46" s="2"/>
      <c r="N46" s="2"/>
      <c r="O46" s="2"/>
      <c r="P46" s="2"/>
      <c r="Q46" s="2"/>
      <c r="R46" s="2"/>
      <c r="Z46" s="2"/>
      <c r="AA46" s="2"/>
      <c r="AB46" s="2"/>
      <c r="AC46" s="2"/>
      <c r="AD46" s="2"/>
      <c r="AE46" s="2"/>
      <c r="AF46" s="2"/>
      <c r="AG46" s="2"/>
      <c r="AH46" s="2"/>
      <c r="AI46" s="2"/>
      <c r="AJ46" s="2"/>
    </row>
    <row r="47" spans="1:36" x14ac:dyDescent="0.2">
      <c r="A47" s="8" t="s">
        <v>37</v>
      </c>
      <c r="B47" s="2"/>
      <c r="C47" s="2"/>
      <c r="D47" s="2"/>
      <c r="E47" s="2"/>
      <c r="F47" s="2"/>
      <c r="G47" s="2"/>
      <c r="H47" s="2"/>
      <c r="I47" s="2"/>
      <c r="J47" s="2"/>
      <c r="K47" s="2"/>
      <c r="L47" s="2"/>
      <c r="M47" s="2"/>
      <c r="N47" s="2"/>
      <c r="O47" s="2"/>
      <c r="P47" s="2"/>
      <c r="Q47" s="2"/>
      <c r="R47" s="2"/>
      <c r="Z47" s="8" t="s">
        <v>37</v>
      </c>
      <c r="AA47" s="2"/>
      <c r="AB47" s="2"/>
      <c r="AC47" s="2"/>
      <c r="AD47" s="2"/>
      <c r="AE47" s="2"/>
      <c r="AF47" s="2"/>
      <c r="AG47" s="2"/>
      <c r="AH47" s="2"/>
      <c r="AI47" s="2"/>
      <c r="AJ47" s="2"/>
    </row>
    <row r="48" spans="1:36" ht="13.5" thickBot="1" x14ac:dyDescent="0.25">
      <c r="A48" s="2"/>
      <c r="B48" s="2"/>
      <c r="C48" s="3"/>
      <c r="D48" s="3"/>
      <c r="E48" s="28" t="s">
        <v>14</v>
      </c>
      <c r="F48" s="28" t="s">
        <v>25</v>
      </c>
      <c r="G48" s="28" t="s">
        <v>26</v>
      </c>
      <c r="H48" s="28" t="s">
        <v>15</v>
      </c>
      <c r="I48" s="2"/>
      <c r="J48" s="2"/>
      <c r="K48" s="2"/>
      <c r="L48" s="2"/>
      <c r="M48" s="2"/>
      <c r="N48" s="2"/>
      <c r="O48" s="2"/>
      <c r="P48" s="2"/>
      <c r="Q48" s="2"/>
      <c r="R48" s="2"/>
      <c r="Z48" s="2"/>
      <c r="AA48" s="2"/>
      <c r="AB48" s="3"/>
      <c r="AC48" s="3"/>
      <c r="AD48" s="28" t="s">
        <v>14</v>
      </c>
      <c r="AE48" s="28" t="s">
        <v>25</v>
      </c>
      <c r="AF48" s="28" t="s">
        <v>26</v>
      </c>
      <c r="AG48" s="28" t="s">
        <v>15</v>
      </c>
      <c r="AH48" s="2"/>
      <c r="AI48" s="2"/>
      <c r="AJ48" s="2"/>
    </row>
    <row r="49" spans="1:36" x14ac:dyDescent="0.2">
      <c r="A49" s="2" t="s">
        <v>77</v>
      </c>
      <c r="B49" s="2"/>
      <c r="C49" s="3"/>
      <c r="D49" s="3"/>
      <c r="E49" s="29">
        <f>$D$15</f>
        <v>100000</v>
      </c>
      <c r="F49" s="29">
        <f>$D$15</f>
        <v>100000</v>
      </c>
      <c r="G49" s="29">
        <f>$D$15</f>
        <v>100000</v>
      </c>
      <c r="H49" s="29">
        <f>$D$15</f>
        <v>100000</v>
      </c>
      <c r="I49" s="2"/>
      <c r="J49" s="2"/>
      <c r="K49" s="2"/>
      <c r="L49" s="2"/>
      <c r="M49" s="2"/>
      <c r="N49" s="2"/>
      <c r="O49" s="2"/>
      <c r="P49" s="2"/>
      <c r="Q49" s="2"/>
      <c r="R49" s="2"/>
      <c r="Z49" s="2" t="s">
        <v>77</v>
      </c>
      <c r="AA49" s="2"/>
      <c r="AB49" s="3"/>
      <c r="AC49" s="3"/>
      <c r="AD49" s="29">
        <f>$D$15</f>
        <v>100000</v>
      </c>
      <c r="AE49" s="29">
        <f>$D$15</f>
        <v>100000</v>
      </c>
      <c r="AF49" s="29">
        <f>$D$15</f>
        <v>100000</v>
      </c>
      <c r="AG49" s="29">
        <f>$D$15</f>
        <v>100000</v>
      </c>
      <c r="AH49" s="2"/>
      <c r="AI49" s="2"/>
      <c r="AJ49" s="2"/>
    </row>
    <row r="50" spans="1:36" x14ac:dyDescent="0.2">
      <c r="A50" s="2" t="s">
        <v>78</v>
      </c>
      <c r="B50" s="2"/>
      <c r="C50" s="3"/>
      <c r="D50" s="3"/>
      <c r="E50" s="86">
        <f>$D$16</f>
        <v>2</v>
      </c>
      <c r="F50" s="86">
        <f>$D$16</f>
        <v>2</v>
      </c>
      <c r="G50" s="86">
        <f>$D$16</f>
        <v>2</v>
      </c>
      <c r="H50" s="86">
        <f>$D$16</f>
        <v>2</v>
      </c>
      <c r="I50" s="2"/>
      <c r="J50" s="2"/>
      <c r="K50" s="2"/>
      <c r="L50" s="2"/>
      <c r="M50" s="2"/>
      <c r="N50" s="2"/>
      <c r="O50" s="2"/>
      <c r="P50" s="2"/>
      <c r="Q50" s="2"/>
      <c r="R50" s="2"/>
      <c r="Z50" s="2" t="s">
        <v>78</v>
      </c>
      <c r="AA50" s="2"/>
      <c r="AB50" s="3"/>
      <c r="AC50" s="3"/>
      <c r="AD50" s="30">
        <f>AC16</f>
        <v>2</v>
      </c>
      <c r="AE50" s="30">
        <f>+AD50</f>
        <v>2</v>
      </c>
      <c r="AF50" s="30">
        <f>+AE50</f>
        <v>2</v>
      </c>
      <c r="AG50" s="30">
        <f>+AF50</f>
        <v>2</v>
      </c>
      <c r="AH50" s="2"/>
      <c r="AI50" s="2"/>
      <c r="AJ50" s="2"/>
    </row>
    <row r="51" spans="1:36" x14ac:dyDescent="0.2">
      <c r="A51" s="2" t="s">
        <v>79</v>
      </c>
      <c r="B51" s="2"/>
      <c r="C51" s="3"/>
      <c r="D51" s="3"/>
      <c r="E51" s="85">
        <f>$D$17</f>
        <v>0.6</v>
      </c>
      <c r="F51" s="85">
        <f>$D$17</f>
        <v>0.6</v>
      </c>
      <c r="G51" s="85">
        <f>$D$17</f>
        <v>0.6</v>
      </c>
      <c r="H51" s="85">
        <f>$D$17</f>
        <v>0.6</v>
      </c>
      <c r="I51" s="2"/>
      <c r="J51" s="2"/>
      <c r="K51" s="2"/>
      <c r="L51" s="2"/>
      <c r="M51" s="2"/>
      <c r="N51" s="2"/>
      <c r="O51" s="2"/>
      <c r="P51" s="2"/>
      <c r="Q51" s="2"/>
      <c r="R51" s="2"/>
      <c r="Z51" s="2" t="s">
        <v>79</v>
      </c>
      <c r="AA51" s="2"/>
      <c r="AB51" s="3"/>
      <c r="AC51" s="3"/>
      <c r="AD51" s="30">
        <f>$D$17*AD50</f>
        <v>1.2</v>
      </c>
      <c r="AE51" s="30">
        <f>$D$17*AE50</f>
        <v>1.2</v>
      </c>
      <c r="AF51" s="30">
        <f>$D$17*AF50</f>
        <v>1.2</v>
      </c>
      <c r="AG51" s="30">
        <f>$D$17*AG50</f>
        <v>1.2</v>
      </c>
      <c r="AH51" s="2"/>
      <c r="AI51" s="2"/>
      <c r="AJ51" s="2"/>
    </row>
    <row r="52" spans="1:36" x14ac:dyDescent="0.2">
      <c r="A52" s="2"/>
      <c r="B52" s="2"/>
      <c r="C52" s="3"/>
      <c r="D52" s="3"/>
      <c r="E52" s="30"/>
      <c r="F52" s="30"/>
      <c r="G52" s="30"/>
      <c r="H52" s="30"/>
      <c r="I52" s="2"/>
      <c r="J52" s="2"/>
      <c r="K52" s="2"/>
      <c r="L52" s="2"/>
      <c r="M52" s="2"/>
      <c r="N52" s="2"/>
      <c r="O52" s="2"/>
      <c r="P52" s="2"/>
      <c r="Q52" s="2"/>
      <c r="R52" s="2"/>
      <c r="Z52" s="2"/>
      <c r="AA52" s="2"/>
      <c r="AB52" s="3"/>
      <c r="AC52" s="3"/>
      <c r="AD52" s="30"/>
      <c r="AE52" s="30"/>
      <c r="AF52" s="30"/>
      <c r="AG52" s="30"/>
      <c r="AH52" s="2"/>
      <c r="AI52" s="2"/>
      <c r="AJ52" s="2"/>
    </row>
    <row r="53" spans="1:36" x14ac:dyDescent="0.2">
      <c r="A53" s="2" t="s">
        <v>27</v>
      </c>
      <c r="B53" s="2" t="s">
        <v>80</v>
      </c>
      <c r="C53" s="3"/>
      <c r="D53" s="3"/>
      <c r="E53" s="31">
        <f>E49*E50</f>
        <v>200000</v>
      </c>
      <c r="F53" s="31">
        <f>F49*F50</f>
        <v>200000</v>
      </c>
      <c r="G53" s="31">
        <f>G49*G50</f>
        <v>200000</v>
      </c>
      <c r="H53" s="31">
        <f>H49*H50</f>
        <v>200000</v>
      </c>
      <c r="I53" s="2"/>
      <c r="J53" s="2"/>
      <c r="K53" s="2"/>
      <c r="L53" s="2"/>
      <c r="M53" s="2"/>
      <c r="N53" s="2"/>
      <c r="O53" s="2"/>
      <c r="P53" s="2"/>
      <c r="Q53" s="2"/>
      <c r="R53" s="2"/>
      <c r="Z53" s="2" t="s">
        <v>27</v>
      </c>
      <c r="AA53" s="2" t="s">
        <v>80</v>
      </c>
      <c r="AB53" s="3"/>
      <c r="AC53" s="3"/>
      <c r="AD53" s="31">
        <f>AD49*AD50</f>
        <v>200000</v>
      </c>
      <c r="AE53" s="31">
        <f>AE49*AE50</f>
        <v>200000</v>
      </c>
      <c r="AF53" s="31">
        <f>AF49*AF50</f>
        <v>200000</v>
      </c>
      <c r="AG53" s="31">
        <f>AG49*AG50</f>
        <v>200000</v>
      </c>
      <c r="AH53" s="2"/>
      <c r="AI53" s="2"/>
      <c r="AJ53" s="2"/>
    </row>
    <row r="54" spans="1:36" x14ac:dyDescent="0.2">
      <c r="A54" s="78" t="s">
        <v>53</v>
      </c>
      <c r="B54" s="78" t="s">
        <v>81</v>
      </c>
      <c r="C54" s="3"/>
      <c r="D54" s="3"/>
      <c r="E54" s="32">
        <f>E53*E51</f>
        <v>120000</v>
      </c>
      <c r="F54" s="32">
        <f>F53*F51</f>
        <v>120000</v>
      </c>
      <c r="G54" s="32">
        <f>G53*G51</f>
        <v>120000</v>
      </c>
      <c r="H54" s="32">
        <f>H53*H51</f>
        <v>120000</v>
      </c>
      <c r="I54" s="2"/>
      <c r="J54" s="2"/>
      <c r="K54" s="2"/>
      <c r="L54" s="2"/>
      <c r="M54" s="2"/>
      <c r="N54" s="2"/>
      <c r="O54" s="2"/>
      <c r="P54" s="2"/>
      <c r="Q54" s="2"/>
      <c r="R54" s="2"/>
      <c r="Z54" s="78" t="s">
        <v>53</v>
      </c>
      <c r="AA54" s="78" t="s">
        <v>81</v>
      </c>
      <c r="AB54" s="3"/>
      <c r="AC54" s="3"/>
      <c r="AD54" s="32">
        <f>AD49*AD51</f>
        <v>120000</v>
      </c>
      <c r="AE54" s="32">
        <f>AE49*AE51</f>
        <v>120000</v>
      </c>
      <c r="AF54" s="32">
        <f>AF49*AF51</f>
        <v>120000</v>
      </c>
      <c r="AG54" s="32">
        <f>AG49*AG51</f>
        <v>120000</v>
      </c>
      <c r="AH54" s="2"/>
      <c r="AI54" s="2"/>
      <c r="AJ54" s="2"/>
    </row>
    <row r="55" spans="1:36" x14ac:dyDescent="0.2">
      <c r="A55" s="78" t="s">
        <v>54</v>
      </c>
      <c r="B55" s="2"/>
      <c r="C55" s="3"/>
      <c r="D55" s="3"/>
      <c r="E55" s="33">
        <f>G37</f>
        <v>79200</v>
      </c>
      <c r="F55" s="33">
        <f>G38</f>
        <v>108000</v>
      </c>
      <c r="G55" s="33">
        <f>G39</f>
        <v>36000</v>
      </c>
      <c r="H55" s="33">
        <f>G40</f>
        <v>16800</v>
      </c>
      <c r="I55" s="2"/>
      <c r="J55" s="2"/>
      <c r="K55" s="2"/>
      <c r="L55" s="2"/>
      <c r="M55" s="2"/>
      <c r="N55" s="2"/>
      <c r="O55" s="2"/>
      <c r="P55" s="2"/>
      <c r="Q55" s="2"/>
      <c r="R55" s="2"/>
      <c r="Z55" s="78" t="s">
        <v>54</v>
      </c>
      <c r="AA55" s="2"/>
      <c r="AB55" s="3"/>
      <c r="AC55" s="3"/>
      <c r="AD55" s="33">
        <f>AF37</f>
        <v>79200</v>
      </c>
      <c r="AE55" s="33">
        <f>AF38</f>
        <v>108000</v>
      </c>
      <c r="AF55" s="33">
        <f>AF39</f>
        <v>36000</v>
      </c>
      <c r="AG55" s="33">
        <f>AF40</f>
        <v>16800</v>
      </c>
      <c r="AH55" s="2"/>
      <c r="AI55" s="2"/>
      <c r="AJ55" s="2"/>
    </row>
    <row r="56" spans="1:36" x14ac:dyDescent="0.2">
      <c r="A56" s="78" t="s">
        <v>55</v>
      </c>
      <c r="B56" s="2"/>
      <c r="C56" s="3"/>
      <c r="D56" s="3"/>
      <c r="E56" s="31">
        <f>E53-E54-E55</f>
        <v>800</v>
      </c>
      <c r="F56" s="31">
        <f>F53-F54-F55</f>
        <v>-28000</v>
      </c>
      <c r="G56" s="31">
        <f>G53-G54-G55</f>
        <v>44000</v>
      </c>
      <c r="H56" s="31">
        <f>H53-H54-H55</f>
        <v>63200</v>
      </c>
      <c r="I56" s="2"/>
      <c r="J56" s="2"/>
      <c r="K56" s="2"/>
      <c r="L56" s="2"/>
      <c r="M56" s="2"/>
      <c r="N56" s="2"/>
      <c r="O56" s="2"/>
      <c r="P56" s="2"/>
      <c r="Q56" s="2"/>
      <c r="R56" s="2"/>
      <c r="Z56" s="78" t="s">
        <v>55</v>
      </c>
      <c r="AA56" s="2"/>
      <c r="AB56" s="3"/>
      <c r="AC56" s="3"/>
      <c r="AD56" s="31">
        <f>AD53-AD54-AD55</f>
        <v>800</v>
      </c>
      <c r="AE56" s="31">
        <f>AE53-AE54-AE55</f>
        <v>-28000</v>
      </c>
      <c r="AF56" s="31">
        <f>AF53-AF54-AF55</f>
        <v>44000</v>
      </c>
      <c r="AG56" s="31">
        <f>AG53-AG54-AG55</f>
        <v>63200</v>
      </c>
      <c r="AH56" s="2"/>
      <c r="AI56" s="2"/>
      <c r="AJ56" s="2"/>
    </row>
    <row r="57" spans="1:36" x14ac:dyDescent="0.2">
      <c r="A57" s="78" t="s">
        <v>56</v>
      </c>
      <c r="B57" s="2"/>
      <c r="C57" s="3"/>
      <c r="D57" s="3"/>
      <c r="E57" s="33">
        <f>E56*$D$13</f>
        <v>320</v>
      </c>
      <c r="F57" s="33">
        <f>F56*$D$13</f>
        <v>-11200</v>
      </c>
      <c r="G57" s="33">
        <f>G56*$D$13</f>
        <v>17600</v>
      </c>
      <c r="H57" s="33">
        <f>H56*D13</f>
        <v>25280</v>
      </c>
      <c r="I57" s="2"/>
      <c r="J57" s="2"/>
      <c r="K57" s="2"/>
      <c r="L57" s="2"/>
      <c r="M57" s="2"/>
      <c r="N57" s="2"/>
      <c r="O57" s="2"/>
      <c r="P57" s="2"/>
      <c r="Q57" s="2"/>
      <c r="R57" s="2"/>
      <c r="Z57" s="78" t="s">
        <v>56</v>
      </c>
      <c r="AA57" s="2"/>
      <c r="AB57" s="3"/>
      <c r="AC57" s="3"/>
      <c r="AD57" s="33">
        <f>AD56*$D$13</f>
        <v>320</v>
      </c>
      <c r="AE57" s="33">
        <f>AE56*$D$13</f>
        <v>-11200</v>
      </c>
      <c r="AF57" s="33">
        <f>AF56*$D$13</f>
        <v>17600</v>
      </c>
      <c r="AG57" s="33">
        <f>AG56*AC13</f>
        <v>25280</v>
      </c>
      <c r="AH57" s="2"/>
      <c r="AI57" s="2"/>
      <c r="AJ57" s="2"/>
    </row>
    <row r="58" spans="1:36" x14ac:dyDescent="0.2">
      <c r="A58" s="78" t="s">
        <v>57</v>
      </c>
      <c r="B58" s="2"/>
      <c r="C58" s="3"/>
      <c r="D58" s="3"/>
      <c r="E58" s="31">
        <f>E56-E57</f>
        <v>480</v>
      </c>
      <c r="F58" s="31">
        <f>F56-F57</f>
        <v>-16800</v>
      </c>
      <c r="G58" s="31">
        <f>G56-G57</f>
        <v>26400</v>
      </c>
      <c r="H58" s="31">
        <f>H56-H57</f>
        <v>37920</v>
      </c>
      <c r="I58" s="2"/>
      <c r="J58" s="2"/>
      <c r="K58" s="2"/>
      <c r="L58" s="2"/>
      <c r="M58" s="2"/>
      <c r="N58" s="2"/>
      <c r="O58" s="2"/>
      <c r="P58" s="2"/>
      <c r="Q58" s="2"/>
      <c r="R58" s="2"/>
      <c r="Z58" s="78" t="s">
        <v>57</v>
      </c>
      <c r="AA58" s="2"/>
      <c r="AB58" s="3"/>
      <c r="AC58" s="3"/>
      <c r="AD58" s="31">
        <f>AD56-AD57</f>
        <v>480</v>
      </c>
      <c r="AE58" s="31">
        <f>AE56-AE57</f>
        <v>-16800</v>
      </c>
      <c r="AF58" s="31">
        <f>AF56-AF57</f>
        <v>26400</v>
      </c>
      <c r="AG58" s="31">
        <f>AG56-AG57</f>
        <v>37920</v>
      </c>
      <c r="AH58" s="2"/>
      <c r="AI58" s="2"/>
      <c r="AJ58" s="2"/>
    </row>
    <row r="59" spans="1:36" x14ac:dyDescent="0.2">
      <c r="A59" s="78" t="s">
        <v>58</v>
      </c>
      <c r="B59" s="2"/>
      <c r="C59" s="3"/>
      <c r="D59" s="3"/>
      <c r="E59" s="33">
        <f>E55</f>
        <v>79200</v>
      </c>
      <c r="F59" s="33">
        <f>F55</f>
        <v>108000</v>
      </c>
      <c r="G59" s="33">
        <f>G55</f>
        <v>36000</v>
      </c>
      <c r="H59" s="33">
        <f>H55</f>
        <v>16800</v>
      </c>
      <c r="I59" s="2"/>
      <c r="J59" s="2"/>
      <c r="K59" s="2"/>
      <c r="L59" s="2"/>
      <c r="M59" s="2"/>
      <c r="N59" s="2"/>
      <c r="O59" s="2"/>
      <c r="P59" s="2"/>
      <c r="Q59" s="2"/>
      <c r="R59" s="2"/>
      <c r="Z59" s="78" t="s">
        <v>58</v>
      </c>
      <c r="AA59" s="2"/>
      <c r="AB59" s="3"/>
      <c r="AC59" s="3"/>
      <c r="AD59" s="33">
        <f>AD55</f>
        <v>79200</v>
      </c>
      <c r="AE59" s="33">
        <f>AE55</f>
        <v>108000</v>
      </c>
      <c r="AF59" s="33">
        <f>AF55</f>
        <v>36000</v>
      </c>
      <c r="AG59" s="33">
        <f>AG55</f>
        <v>16800</v>
      </c>
      <c r="AH59" s="2"/>
      <c r="AI59" s="2"/>
      <c r="AJ59" s="2"/>
    </row>
    <row r="60" spans="1:36" ht="13.5" thickBot="1" x14ac:dyDescent="0.25">
      <c r="A60" s="78" t="s">
        <v>59</v>
      </c>
      <c r="B60" s="2"/>
      <c r="C60" s="3"/>
      <c r="D60" s="3"/>
      <c r="E60" s="34">
        <f>E58+E59</f>
        <v>79680</v>
      </c>
      <c r="F60" s="34">
        <f>F58+F59</f>
        <v>91200</v>
      </c>
      <c r="G60" s="34">
        <f>G58+G59</f>
        <v>62400</v>
      </c>
      <c r="H60" s="34">
        <f>H58+H59</f>
        <v>54720</v>
      </c>
      <c r="I60" s="2"/>
      <c r="J60" s="2"/>
      <c r="K60" s="2"/>
      <c r="L60" s="2"/>
      <c r="M60" s="2"/>
      <c r="N60" s="2"/>
      <c r="O60" s="2"/>
      <c r="P60" s="2"/>
      <c r="Q60" s="2"/>
      <c r="R60" s="2"/>
      <c r="Z60" s="78" t="s">
        <v>59</v>
      </c>
      <c r="AA60" s="2"/>
      <c r="AB60" s="3"/>
      <c r="AC60" s="3"/>
      <c r="AD60" s="34">
        <f>AD58+AD59</f>
        <v>79680</v>
      </c>
      <c r="AE60" s="34">
        <f>AE58+AE59</f>
        <v>91200</v>
      </c>
      <c r="AF60" s="34">
        <f>AF58+AF59</f>
        <v>62400</v>
      </c>
      <c r="AG60" s="34">
        <f>AG58+AG59</f>
        <v>54720</v>
      </c>
      <c r="AH60" s="2"/>
      <c r="AI60" s="2"/>
      <c r="AJ60" s="2"/>
    </row>
    <row r="61" spans="1:36" ht="13.5" thickTop="1" x14ac:dyDescent="0.2">
      <c r="A61" s="2"/>
      <c r="B61" s="2"/>
      <c r="C61" s="2"/>
      <c r="D61" s="2"/>
      <c r="E61" s="2"/>
      <c r="F61" s="2"/>
      <c r="G61" s="2"/>
      <c r="H61" s="2"/>
      <c r="I61" s="2"/>
      <c r="J61" s="2"/>
      <c r="K61" s="2"/>
      <c r="L61" s="2"/>
      <c r="M61" s="2"/>
      <c r="N61" s="2"/>
      <c r="O61" s="2"/>
      <c r="P61" s="2"/>
      <c r="Q61" s="2"/>
      <c r="R61" s="2"/>
      <c r="Z61" s="2"/>
      <c r="AA61" s="2"/>
      <c r="AB61" s="2"/>
      <c r="AC61" s="2"/>
      <c r="AD61" s="2"/>
      <c r="AE61" s="2"/>
      <c r="AF61" s="2"/>
      <c r="AG61" s="2"/>
      <c r="AH61" s="2"/>
      <c r="AI61" s="2"/>
      <c r="AJ61" s="2"/>
    </row>
    <row r="62" spans="1:36" ht="13.5" thickBot="1" x14ac:dyDescent="0.25">
      <c r="A62" s="2"/>
      <c r="B62" s="2"/>
      <c r="C62" s="3"/>
      <c r="D62" s="35"/>
      <c r="E62" s="28"/>
      <c r="F62" s="28"/>
      <c r="G62" s="28"/>
      <c r="H62" s="28"/>
      <c r="I62" s="2"/>
      <c r="J62" s="2"/>
      <c r="K62" s="2"/>
      <c r="L62" s="2"/>
      <c r="M62" s="2"/>
      <c r="N62" s="2"/>
      <c r="O62" s="2"/>
      <c r="P62" s="2"/>
      <c r="Q62" s="2"/>
      <c r="R62" s="2"/>
      <c r="Z62" s="2"/>
      <c r="AA62" s="2"/>
      <c r="AB62" s="3"/>
      <c r="AC62" s="35"/>
      <c r="AD62" s="28"/>
      <c r="AE62" s="28"/>
      <c r="AF62" s="28"/>
      <c r="AG62" s="28"/>
      <c r="AH62" s="2"/>
      <c r="AI62" s="2"/>
      <c r="AJ62" s="2"/>
    </row>
    <row r="63" spans="1:36" x14ac:dyDescent="0.2">
      <c r="A63" s="2"/>
      <c r="B63" s="2"/>
      <c r="C63" s="3"/>
      <c r="D63" s="2"/>
      <c r="E63" s="36"/>
      <c r="F63" s="36"/>
      <c r="G63" s="36"/>
      <c r="H63" s="36"/>
      <c r="I63" s="2"/>
      <c r="J63" s="2"/>
      <c r="K63" s="2"/>
      <c r="L63" s="2"/>
      <c r="M63" s="2"/>
      <c r="N63" s="2"/>
      <c r="O63" s="2"/>
      <c r="P63" s="2"/>
      <c r="Q63" s="2"/>
      <c r="R63" s="2"/>
      <c r="Z63" s="2"/>
      <c r="AA63" s="2"/>
      <c r="AB63" s="3"/>
      <c r="AC63" s="2"/>
      <c r="AD63" s="36"/>
      <c r="AE63" s="36"/>
      <c r="AF63" s="36"/>
      <c r="AG63" s="36"/>
      <c r="AH63" s="2"/>
      <c r="AI63" s="2"/>
      <c r="AJ63" s="2"/>
    </row>
    <row r="64" spans="1:36" x14ac:dyDescent="0.2">
      <c r="A64" s="8" t="s">
        <v>60</v>
      </c>
      <c r="B64" s="2"/>
      <c r="C64" s="2"/>
      <c r="D64" s="2"/>
      <c r="E64" s="2"/>
      <c r="F64" s="2"/>
      <c r="G64" s="2"/>
      <c r="H64" s="2"/>
      <c r="I64" s="2"/>
      <c r="J64" s="2"/>
      <c r="K64" s="2"/>
      <c r="L64" s="2"/>
      <c r="M64" s="2"/>
      <c r="N64" s="2"/>
      <c r="O64" s="2"/>
      <c r="P64" s="2"/>
      <c r="Q64" s="2"/>
      <c r="R64" s="2"/>
      <c r="Z64" s="8" t="s">
        <v>60</v>
      </c>
      <c r="AA64" s="2"/>
      <c r="AB64" s="2"/>
      <c r="AC64" s="2"/>
      <c r="AD64" s="2"/>
      <c r="AE64" s="2"/>
      <c r="AF64" s="2"/>
      <c r="AG64" s="2"/>
      <c r="AH64" s="2"/>
      <c r="AI64" s="2"/>
      <c r="AJ64" s="2"/>
    </row>
    <row r="65" spans="1:36" ht="24.75" customHeight="1" thickBot="1" x14ac:dyDescent="0.25">
      <c r="A65" s="8" t="s">
        <v>39</v>
      </c>
      <c r="B65" s="2"/>
      <c r="C65" s="2"/>
      <c r="D65" s="2"/>
      <c r="E65" s="2"/>
      <c r="F65" s="101" t="s">
        <v>42</v>
      </c>
      <c r="G65" s="101"/>
      <c r="H65" s="2"/>
      <c r="I65" s="2"/>
      <c r="J65" s="2"/>
      <c r="K65" s="2"/>
      <c r="L65" s="2"/>
      <c r="M65" s="2"/>
      <c r="N65" s="2"/>
      <c r="O65" s="2"/>
      <c r="P65" s="2"/>
      <c r="Q65" s="2"/>
      <c r="R65" s="2"/>
      <c r="Z65" s="8" t="s">
        <v>39</v>
      </c>
      <c r="AA65" s="2"/>
      <c r="AB65" s="2"/>
      <c r="AC65" s="2"/>
      <c r="AD65" s="2"/>
      <c r="AE65" s="101" t="s">
        <v>42</v>
      </c>
      <c r="AF65" s="101"/>
      <c r="AG65" s="2"/>
      <c r="AH65" s="2"/>
      <c r="AI65" s="2"/>
      <c r="AJ65" s="2"/>
    </row>
    <row r="66" spans="1:36" ht="38.25" x14ac:dyDescent="0.2">
      <c r="A66" s="2"/>
      <c r="B66" s="2"/>
      <c r="C66" s="2"/>
      <c r="D66" s="38" t="s">
        <v>41</v>
      </c>
      <c r="E66" s="2"/>
      <c r="F66" s="39">
        <v>25000</v>
      </c>
      <c r="G66" s="39">
        <v>10000</v>
      </c>
      <c r="H66" s="2"/>
      <c r="I66" s="2"/>
      <c r="J66" s="2"/>
      <c r="K66" s="2"/>
      <c r="L66" s="2"/>
      <c r="M66" s="2"/>
      <c r="N66" s="2"/>
      <c r="O66" s="2"/>
      <c r="P66" s="2"/>
      <c r="Q66" s="2"/>
      <c r="R66" s="2"/>
      <c r="Z66" s="2"/>
      <c r="AA66" s="2"/>
      <c r="AB66" s="2"/>
      <c r="AC66" s="38" t="s">
        <v>41</v>
      </c>
      <c r="AD66" s="2"/>
      <c r="AE66" s="39">
        <v>25000</v>
      </c>
      <c r="AF66" s="39">
        <v>10000</v>
      </c>
      <c r="AG66" s="2"/>
      <c r="AH66" s="2"/>
      <c r="AI66" s="2"/>
      <c r="AJ66" s="2"/>
    </row>
    <row r="67" spans="1:36" x14ac:dyDescent="0.2">
      <c r="A67" s="2" t="s">
        <v>61</v>
      </c>
      <c r="B67" s="2"/>
      <c r="C67" s="2"/>
      <c r="D67" s="40">
        <f>D12</f>
        <v>25000</v>
      </c>
      <c r="E67" s="2"/>
      <c r="F67" s="40">
        <f>F66</f>
        <v>25000</v>
      </c>
      <c r="G67" s="40">
        <f>G66</f>
        <v>10000</v>
      </c>
      <c r="H67" s="2"/>
      <c r="I67" s="2"/>
      <c r="J67" s="2"/>
      <c r="K67" s="2"/>
      <c r="L67" s="2"/>
      <c r="M67" s="2"/>
      <c r="N67" s="2"/>
      <c r="O67" s="2"/>
      <c r="P67" s="2"/>
      <c r="Q67" s="2"/>
      <c r="R67" s="2"/>
      <c r="Z67" s="2" t="s">
        <v>61</v>
      </c>
      <c r="AA67" s="2"/>
      <c r="AB67" s="2"/>
      <c r="AC67" s="40">
        <f>AC12</f>
        <v>25000</v>
      </c>
      <c r="AD67" s="2"/>
      <c r="AE67" s="40">
        <f>AE66</f>
        <v>25000</v>
      </c>
      <c r="AF67" s="40">
        <f>AF66</f>
        <v>10000</v>
      </c>
      <c r="AG67" s="2"/>
      <c r="AH67" s="2"/>
      <c r="AI67" s="2"/>
      <c r="AJ67" s="2"/>
    </row>
    <row r="68" spans="1:36" x14ac:dyDescent="0.2">
      <c r="A68" s="78" t="s">
        <v>62</v>
      </c>
      <c r="B68" s="3"/>
      <c r="C68" s="3"/>
      <c r="D68" s="41">
        <f>H40</f>
        <v>0</v>
      </c>
      <c r="E68" s="2"/>
      <c r="F68" s="41">
        <f>H39</f>
        <v>16800</v>
      </c>
      <c r="G68" s="41">
        <f>H39</f>
        <v>16800</v>
      </c>
      <c r="H68" s="2"/>
      <c r="I68" s="2"/>
      <c r="J68" s="2"/>
      <c r="K68" s="2"/>
      <c r="L68" s="2"/>
      <c r="M68" s="2"/>
      <c r="N68" s="2"/>
      <c r="O68" s="2"/>
      <c r="P68" s="2"/>
      <c r="Q68" s="2"/>
      <c r="R68" s="2"/>
      <c r="Z68" s="78" t="s">
        <v>62</v>
      </c>
      <c r="AA68" s="3"/>
      <c r="AB68" s="3"/>
      <c r="AC68" s="41">
        <f>AG40</f>
        <v>0</v>
      </c>
      <c r="AD68" s="2"/>
      <c r="AE68" s="41">
        <f>AG39</f>
        <v>16800</v>
      </c>
      <c r="AF68" s="41">
        <f>AG39</f>
        <v>16800</v>
      </c>
      <c r="AG68" s="2"/>
      <c r="AH68" s="2"/>
      <c r="AI68" s="2"/>
      <c r="AJ68" s="2"/>
    </row>
    <row r="69" spans="1:36" x14ac:dyDescent="0.2">
      <c r="A69" s="78" t="s">
        <v>63</v>
      </c>
      <c r="B69" s="3"/>
      <c r="C69" s="3"/>
      <c r="D69" s="40">
        <f>D67-D68</f>
        <v>25000</v>
      </c>
      <c r="E69" s="2"/>
      <c r="F69" s="40">
        <f>F67-F68</f>
        <v>8200</v>
      </c>
      <c r="G69" s="40">
        <f>G67-G68</f>
        <v>-6800</v>
      </c>
      <c r="H69" s="2"/>
      <c r="I69" s="2"/>
      <c r="J69" s="2"/>
      <c r="K69" s="2"/>
      <c r="L69" s="2"/>
      <c r="M69" s="2"/>
      <c r="N69" s="2"/>
      <c r="O69" s="2"/>
      <c r="P69" s="2"/>
      <c r="Q69" s="2"/>
      <c r="R69" s="2"/>
      <c r="Z69" s="78" t="s">
        <v>63</v>
      </c>
      <c r="AA69" s="3"/>
      <c r="AB69" s="3"/>
      <c r="AC69" s="40">
        <f>AC67-AC68</f>
        <v>25000</v>
      </c>
      <c r="AD69" s="2"/>
      <c r="AE69" s="40">
        <f>AE67-AE68</f>
        <v>8200</v>
      </c>
      <c r="AF69" s="40">
        <f>AF67-AF68</f>
        <v>-6800</v>
      </c>
      <c r="AG69" s="2"/>
      <c r="AH69" s="2"/>
      <c r="AI69" s="2"/>
      <c r="AJ69" s="2"/>
    </row>
    <row r="70" spans="1:36" x14ac:dyDescent="0.2">
      <c r="A70" s="78" t="s">
        <v>64</v>
      </c>
      <c r="B70" s="2"/>
      <c r="C70" s="2"/>
      <c r="D70" s="42">
        <f>$D$13*D69</f>
        <v>10000</v>
      </c>
      <c r="E70" s="2"/>
      <c r="F70" s="42">
        <f>$D$13*F69</f>
        <v>3280</v>
      </c>
      <c r="G70" s="42">
        <f>$D$13*G69</f>
        <v>-2720</v>
      </c>
      <c r="H70" s="2"/>
      <c r="I70" s="2"/>
      <c r="J70" s="2"/>
      <c r="K70" s="2"/>
      <c r="L70" s="2"/>
      <c r="M70" s="2"/>
      <c r="N70" s="2"/>
      <c r="O70" s="2"/>
      <c r="P70" s="2"/>
      <c r="Q70" s="2"/>
      <c r="R70" s="2"/>
      <c r="Z70" s="78" t="s">
        <v>64</v>
      </c>
      <c r="AA70" s="2"/>
      <c r="AB70" s="2"/>
      <c r="AC70" s="42">
        <f>$D$13*AC69</f>
        <v>10000</v>
      </c>
      <c r="AD70" s="2"/>
      <c r="AE70" s="42">
        <f>$D$13*AE69</f>
        <v>3280</v>
      </c>
      <c r="AF70" s="42">
        <f>$D$13*AF69</f>
        <v>-2720</v>
      </c>
      <c r="AG70" s="2"/>
      <c r="AH70" s="2"/>
      <c r="AI70" s="2"/>
      <c r="AJ70" s="2"/>
    </row>
    <row r="71" spans="1:36" x14ac:dyDescent="0.2">
      <c r="A71" s="78" t="s">
        <v>66</v>
      </c>
      <c r="B71" s="2"/>
      <c r="C71" s="2"/>
      <c r="D71" s="42">
        <f>-$D$27</f>
        <v>20000</v>
      </c>
      <c r="E71" s="2"/>
      <c r="F71" s="42">
        <f>-$D$27</f>
        <v>20000</v>
      </c>
      <c r="G71" s="42">
        <f>-$D$27</f>
        <v>20000</v>
      </c>
      <c r="H71" s="2"/>
      <c r="I71" s="2"/>
      <c r="J71" s="2"/>
      <c r="K71" s="2"/>
      <c r="L71" s="2"/>
      <c r="M71" s="2"/>
      <c r="N71" s="2"/>
      <c r="O71" s="2"/>
      <c r="P71" s="2"/>
      <c r="Q71" s="2"/>
      <c r="R71" s="2"/>
      <c r="Z71" s="78" t="s">
        <v>66</v>
      </c>
      <c r="AA71" s="2"/>
      <c r="AB71" s="2"/>
      <c r="AC71" s="42">
        <f>-$D$27</f>
        <v>20000</v>
      </c>
      <c r="AD71" s="2"/>
      <c r="AE71" s="42">
        <f>-$D$27</f>
        <v>20000</v>
      </c>
      <c r="AF71" s="42">
        <f>-$D$27</f>
        <v>20000</v>
      </c>
      <c r="AG71" s="2"/>
      <c r="AH71" s="2"/>
      <c r="AI71" s="2"/>
      <c r="AJ71" s="2"/>
    </row>
    <row r="72" spans="1:36" ht="13.5" thickBot="1" x14ac:dyDescent="0.25">
      <c r="A72" s="78" t="s">
        <v>67</v>
      </c>
      <c r="B72" s="2"/>
      <c r="C72" s="2"/>
      <c r="D72" s="43">
        <f>D67-D70+D71</f>
        <v>35000</v>
      </c>
      <c r="E72" s="2"/>
      <c r="F72" s="43">
        <f>F67-F70+F71</f>
        <v>41720</v>
      </c>
      <c r="G72" s="43">
        <f>G67-G70+G71</f>
        <v>32720</v>
      </c>
      <c r="H72" s="2"/>
      <c r="I72" s="2"/>
      <c r="J72" s="2"/>
      <c r="K72" s="2"/>
      <c r="L72" s="2"/>
      <c r="M72" s="2"/>
      <c r="N72" s="2"/>
      <c r="O72" s="2"/>
      <c r="P72" s="2"/>
      <c r="Q72" s="2"/>
      <c r="R72" s="2"/>
      <c r="Z72" s="78" t="s">
        <v>67</v>
      </c>
      <c r="AA72" s="2"/>
      <c r="AB72" s="2"/>
      <c r="AC72" s="43">
        <f>AC67-AC70+AC71</f>
        <v>35000</v>
      </c>
      <c r="AD72" s="2"/>
      <c r="AE72" s="43">
        <f>AE67-AE70+AE71</f>
        <v>41720</v>
      </c>
      <c r="AF72" s="43">
        <f>AF67-AF70+AF71</f>
        <v>32720</v>
      </c>
      <c r="AG72" s="2"/>
      <c r="AH72" s="2"/>
      <c r="AI72" s="2"/>
      <c r="AJ72" s="2"/>
    </row>
    <row r="73" spans="1:36" ht="13.5" thickTop="1" x14ac:dyDescent="0.2">
      <c r="A73" s="2"/>
      <c r="B73" s="2"/>
      <c r="C73" s="44"/>
      <c r="D73" s="44"/>
      <c r="E73" s="44"/>
      <c r="F73" s="44"/>
      <c r="G73" s="44"/>
      <c r="H73" s="2"/>
      <c r="I73" s="2"/>
      <c r="J73" s="2"/>
      <c r="K73" s="2"/>
      <c r="L73" s="2"/>
      <c r="M73" s="2"/>
      <c r="N73" s="2"/>
      <c r="O73" s="2"/>
      <c r="P73" s="2"/>
      <c r="Q73" s="2"/>
      <c r="R73" s="2"/>
      <c r="Z73" s="2"/>
      <c r="AA73" s="2"/>
      <c r="AB73" s="44"/>
      <c r="AC73" s="44"/>
      <c r="AD73" s="44"/>
      <c r="AE73" s="44"/>
      <c r="AF73" s="44"/>
      <c r="AG73" s="2"/>
      <c r="AH73" s="2"/>
      <c r="AI73" s="2"/>
      <c r="AJ73" s="2"/>
    </row>
    <row r="74" spans="1:36" x14ac:dyDescent="0.2">
      <c r="A74" s="100" t="s">
        <v>49</v>
      </c>
      <c r="B74" s="102"/>
      <c r="C74" s="102"/>
      <c r="D74" s="102"/>
      <c r="E74" s="102"/>
      <c r="F74" s="102"/>
      <c r="G74" s="102"/>
      <c r="H74" s="102"/>
      <c r="I74" s="102"/>
      <c r="J74" s="2"/>
      <c r="K74" s="2"/>
      <c r="L74" s="2"/>
      <c r="M74" s="2"/>
      <c r="N74" s="2"/>
      <c r="O74" s="2"/>
      <c r="P74" s="2"/>
      <c r="Q74" s="2"/>
      <c r="R74" s="2"/>
      <c r="Z74" s="100" t="s">
        <v>49</v>
      </c>
      <c r="AA74" s="102"/>
      <c r="AB74" s="102"/>
      <c r="AC74" s="102"/>
      <c r="AD74" s="102"/>
      <c r="AE74" s="102"/>
      <c r="AF74" s="102"/>
      <c r="AG74" s="102"/>
      <c r="AH74" s="102"/>
      <c r="AI74" s="2"/>
      <c r="AJ74" s="2"/>
    </row>
    <row r="75" spans="1:36" x14ac:dyDescent="0.2">
      <c r="A75" s="102"/>
      <c r="B75" s="102"/>
      <c r="C75" s="102"/>
      <c r="D75" s="102"/>
      <c r="E75" s="102"/>
      <c r="F75" s="102"/>
      <c r="G75" s="102"/>
      <c r="H75" s="102"/>
      <c r="I75" s="102"/>
      <c r="J75" s="2"/>
      <c r="K75" s="2"/>
      <c r="L75" s="2"/>
      <c r="M75" s="2"/>
      <c r="N75" s="2"/>
      <c r="O75" s="2"/>
      <c r="P75" s="2"/>
      <c r="Q75" s="2"/>
      <c r="R75" s="2"/>
      <c r="Z75" s="102"/>
      <c r="AA75" s="102"/>
      <c r="AB75" s="102"/>
      <c r="AC75" s="102"/>
      <c r="AD75" s="102"/>
      <c r="AE75" s="102"/>
      <c r="AF75" s="102"/>
      <c r="AG75" s="102"/>
      <c r="AH75" s="102"/>
      <c r="AI75" s="2"/>
      <c r="AJ75" s="2"/>
    </row>
    <row r="76" spans="1:36" x14ac:dyDescent="0.2">
      <c r="A76" s="2"/>
      <c r="B76" s="2"/>
      <c r="C76" s="44"/>
      <c r="D76" s="44"/>
      <c r="E76" s="44"/>
      <c r="F76" s="44"/>
      <c r="G76" s="44"/>
      <c r="H76" s="2"/>
      <c r="I76" s="2"/>
      <c r="J76" s="2"/>
      <c r="K76" s="2"/>
      <c r="L76" s="2"/>
      <c r="M76" s="2"/>
      <c r="N76" s="2"/>
      <c r="O76" s="2"/>
      <c r="P76" s="2"/>
      <c r="Q76" s="2"/>
      <c r="R76" s="2"/>
      <c r="Z76" s="2"/>
      <c r="AA76" s="2"/>
      <c r="AB76" s="44"/>
      <c r="AC76" s="44"/>
      <c r="AD76" s="44"/>
      <c r="AE76" s="44"/>
      <c r="AF76" s="44"/>
      <c r="AG76" s="2"/>
      <c r="AH76" s="2"/>
      <c r="AI76" s="2"/>
      <c r="AJ76" s="2"/>
    </row>
    <row r="77" spans="1:36" ht="15.75" x14ac:dyDescent="0.25">
      <c r="A77" s="45" t="s">
        <v>16</v>
      </c>
      <c r="B77" s="2"/>
      <c r="C77" s="46"/>
      <c r="D77" s="46"/>
      <c r="E77" s="2"/>
      <c r="F77" s="2"/>
      <c r="G77" s="2"/>
      <c r="H77" s="2"/>
      <c r="I77" s="2"/>
      <c r="J77" s="2"/>
      <c r="K77" s="2"/>
      <c r="L77" s="2"/>
      <c r="M77" s="2"/>
      <c r="N77" s="2"/>
      <c r="O77" s="2"/>
      <c r="P77" s="2"/>
      <c r="Q77" s="2"/>
      <c r="R77" s="2"/>
      <c r="Z77" s="45" t="s">
        <v>16</v>
      </c>
      <c r="AA77" s="2"/>
      <c r="AB77" s="46"/>
      <c r="AC77" s="46"/>
      <c r="AD77" s="2"/>
      <c r="AE77" s="2"/>
      <c r="AF77" s="2"/>
      <c r="AG77" s="2"/>
      <c r="AH77" s="2"/>
      <c r="AI77" s="2"/>
      <c r="AJ77" s="2"/>
    </row>
    <row r="78" spans="1:36" ht="13.5" thickBot="1" x14ac:dyDescent="0.25">
      <c r="A78" s="2"/>
      <c r="B78" s="2"/>
      <c r="C78" s="47"/>
      <c r="D78" s="3"/>
      <c r="E78" s="28" t="s">
        <v>38</v>
      </c>
      <c r="F78" s="28" t="s">
        <v>14</v>
      </c>
      <c r="G78" s="28" t="s">
        <v>25</v>
      </c>
      <c r="H78" s="28" t="s">
        <v>26</v>
      </c>
      <c r="I78" s="28" t="s">
        <v>15</v>
      </c>
      <c r="J78" s="2"/>
      <c r="K78" s="2"/>
      <c r="L78" s="2"/>
      <c r="M78" s="2"/>
      <c r="N78" s="2"/>
      <c r="O78" s="2"/>
      <c r="P78" s="2"/>
      <c r="Q78" s="2"/>
      <c r="R78" s="2"/>
      <c r="Z78" s="2"/>
      <c r="AA78" s="2"/>
      <c r="AB78" s="47"/>
      <c r="AC78" s="3"/>
      <c r="AD78" s="28" t="s">
        <v>38</v>
      </c>
      <c r="AE78" s="28" t="s">
        <v>14</v>
      </c>
      <c r="AF78" s="28" t="s">
        <v>25</v>
      </c>
      <c r="AG78" s="28" t="s">
        <v>26</v>
      </c>
      <c r="AH78" s="28" t="s">
        <v>15</v>
      </c>
      <c r="AI78" s="2"/>
      <c r="AJ78" s="2"/>
    </row>
    <row r="79" spans="1:36" x14ac:dyDescent="0.2">
      <c r="A79" s="48"/>
      <c r="B79" s="48"/>
      <c r="C79" s="48"/>
      <c r="D79" s="3"/>
      <c r="E79" s="48"/>
      <c r="F79" s="2"/>
      <c r="G79" s="2"/>
      <c r="H79" s="2"/>
      <c r="I79" s="2"/>
      <c r="J79" s="2"/>
      <c r="K79" s="2"/>
      <c r="L79" s="2"/>
      <c r="M79" s="2"/>
      <c r="N79" s="2"/>
      <c r="O79" s="2"/>
      <c r="P79" s="2"/>
      <c r="Q79" s="2"/>
      <c r="R79" s="2"/>
      <c r="Z79" s="48"/>
      <c r="AA79" s="48"/>
      <c r="AB79" s="48"/>
      <c r="AC79" s="3"/>
      <c r="AD79" s="48"/>
      <c r="AE79" s="2"/>
      <c r="AF79" s="2"/>
      <c r="AG79" s="2"/>
      <c r="AH79" s="2"/>
      <c r="AI79" s="2"/>
      <c r="AJ79" s="2"/>
    </row>
    <row r="80" spans="1:36" x14ac:dyDescent="0.2">
      <c r="A80" s="49" t="s">
        <v>75</v>
      </c>
      <c r="B80" s="2"/>
      <c r="C80" s="2"/>
      <c r="D80" s="3"/>
      <c r="E80" s="36">
        <f>D30</f>
        <v>-260000</v>
      </c>
      <c r="F80" s="50"/>
      <c r="G80" s="37"/>
      <c r="H80" s="37"/>
      <c r="I80" s="37"/>
      <c r="J80" s="2"/>
      <c r="K80" s="2"/>
      <c r="L80" s="2"/>
      <c r="M80" s="2"/>
      <c r="N80" s="2"/>
      <c r="O80" s="2"/>
      <c r="P80" s="2"/>
      <c r="Q80" s="2"/>
      <c r="R80" s="2"/>
      <c r="Z80" s="49" t="s">
        <v>75</v>
      </c>
      <c r="AA80" s="2"/>
      <c r="AB80" s="2"/>
      <c r="AC80" s="3"/>
      <c r="AD80" s="36">
        <f>AC30</f>
        <v>-260000</v>
      </c>
      <c r="AE80" s="50"/>
      <c r="AF80" s="37"/>
      <c r="AG80" s="37"/>
      <c r="AH80" s="37"/>
      <c r="AI80" s="2"/>
      <c r="AJ80" s="2"/>
    </row>
    <row r="81" spans="1:36" x14ac:dyDescent="0.2">
      <c r="A81" s="49" t="s">
        <v>13</v>
      </c>
      <c r="B81" s="49"/>
      <c r="C81" s="49"/>
      <c r="D81" s="3"/>
      <c r="E81" s="51"/>
      <c r="F81" s="36">
        <f>E60</f>
        <v>79680</v>
      </c>
      <c r="G81" s="36">
        <f>F60</f>
        <v>91200</v>
      </c>
      <c r="H81" s="36">
        <f>G60</f>
        <v>62400</v>
      </c>
      <c r="I81" s="36">
        <f>H60</f>
        <v>54720</v>
      </c>
      <c r="J81" s="2"/>
      <c r="K81" s="2"/>
      <c r="L81" s="2"/>
      <c r="M81" s="2"/>
      <c r="N81" s="2"/>
      <c r="O81" s="2"/>
      <c r="P81" s="2"/>
      <c r="Q81" s="2"/>
      <c r="R81" s="2"/>
      <c r="Z81" s="49" t="s">
        <v>13</v>
      </c>
      <c r="AA81" s="49"/>
      <c r="AB81" s="49"/>
      <c r="AC81" s="3"/>
      <c r="AD81" s="51"/>
      <c r="AE81" s="36">
        <f>AD60</f>
        <v>79680</v>
      </c>
      <c r="AF81" s="36">
        <f>AE60</f>
        <v>91200</v>
      </c>
      <c r="AG81" s="36">
        <f>AF60</f>
        <v>62400</v>
      </c>
      <c r="AH81" s="36">
        <f>AG60</f>
        <v>54720</v>
      </c>
      <c r="AI81" s="2"/>
      <c r="AJ81" s="2"/>
    </row>
    <row r="82" spans="1:36" x14ac:dyDescent="0.2">
      <c r="A82" s="49"/>
      <c r="B82" s="49"/>
      <c r="C82" s="49"/>
      <c r="D82" s="3"/>
      <c r="E82" s="37"/>
      <c r="F82" s="37"/>
      <c r="G82" s="37"/>
      <c r="H82" s="37"/>
      <c r="I82" s="37"/>
      <c r="J82" s="2"/>
      <c r="K82" s="2"/>
      <c r="L82" s="2"/>
      <c r="M82" s="2"/>
      <c r="N82" s="2"/>
      <c r="O82" s="2"/>
      <c r="P82" s="2"/>
      <c r="Q82" s="2"/>
      <c r="R82" s="2"/>
      <c r="Z82" s="49"/>
      <c r="AA82" s="49"/>
      <c r="AB82" s="49"/>
      <c r="AC82" s="3"/>
      <c r="AD82" s="37"/>
      <c r="AE82" s="37"/>
      <c r="AF82" s="37"/>
      <c r="AG82" s="37"/>
      <c r="AH82" s="37"/>
      <c r="AI82" s="2"/>
      <c r="AJ82" s="2"/>
    </row>
    <row r="83" spans="1:36" ht="13.5" thickBot="1" x14ac:dyDescent="0.25">
      <c r="A83" s="49" t="s">
        <v>74</v>
      </c>
      <c r="B83" s="49"/>
      <c r="C83" s="2"/>
      <c r="D83" s="2"/>
      <c r="E83" s="52"/>
      <c r="F83" s="52"/>
      <c r="G83" s="52"/>
      <c r="H83" s="52"/>
      <c r="I83" s="52">
        <f>D72</f>
        <v>35000</v>
      </c>
      <c r="J83" s="2"/>
      <c r="K83" s="2"/>
      <c r="L83" s="2"/>
      <c r="M83" s="2"/>
      <c r="N83" s="2"/>
      <c r="O83" s="2"/>
      <c r="P83" s="2"/>
      <c r="Q83" s="2"/>
      <c r="R83" s="2"/>
      <c r="Z83" s="49" t="s">
        <v>74</v>
      </c>
      <c r="AA83" s="49"/>
      <c r="AB83" s="2"/>
      <c r="AC83" s="2"/>
      <c r="AD83" s="52"/>
      <c r="AE83" s="52"/>
      <c r="AF83" s="52"/>
      <c r="AG83" s="52"/>
      <c r="AH83" s="52">
        <f>AC72</f>
        <v>35000</v>
      </c>
      <c r="AI83" s="2"/>
      <c r="AJ83" s="2"/>
    </row>
    <row r="84" spans="1:36" ht="13.5" thickBot="1" x14ac:dyDescent="0.25">
      <c r="A84" s="2" t="s">
        <v>18</v>
      </c>
      <c r="B84" s="2"/>
      <c r="C84" s="2"/>
      <c r="D84" s="2"/>
      <c r="E84" s="53">
        <f>SUM(E80:E83)</f>
        <v>-260000</v>
      </c>
      <c r="F84" s="53">
        <f>SUM(F80:F83)</f>
        <v>79680</v>
      </c>
      <c r="G84" s="53">
        <f>SUM(G80:G83)</f>
        <v>91200</v>
      </c>
      <c r="H84" s="53">
        <f>SUM(H80:H83)</f>
        <v>62400</v>
      </c>
      <c r="I84" s="53">
        <f>SUM(I80:I83)</f>
        <v>89720</v>
      </c>
      <c r="J84" s="2"/>
      <c r="K84" s="2"/>
      <c r="L84" s="2"/>
      <c r="M84" s="2"/>
      <c r="N84" s="2"/>
      <c r="O84" s="2"/>
      <c r="P84" s="2"/>
      <c r="Q84" s="2"/>
      <c r="R84" s="2"/>
      <c r="Z84" s="2" t="s">
        <v>18</v>
      </c>
      <c r="AA84" s="2"/>
      <c r="AB84" s="2"/>
      <c r="AC84" s="2"/>
      <c r="AD84" s="53">
        <f>SUM(AD80:AD83)</f>
        <v>-260000</v>
      </c>
      <c r="AE84" s="53">
        <f>SUM(AE80:AE83)</f>
        <v>79680</v>
      </c>
      <c r="AF84" s="53">
        <f>SUM(AF80:AF83)</f>
        <v>91200</v>
      </c>
      <c r="AG84" s="53">
        <f>SUM(AG80:AG83)</f>
        <v>62400</v>
      </c>
      <c r="AH84" s="53">
        <f>SUM(AH80:AH83)</f>
        <v>89720</v>
      </c>
      <c r="AI84" s="2"/>
      <c r="AJ84" s="2"/>
    </row>
    <row r="85" spans="1:36" ht="14.25" thickTop="1" thickBot="1" x14ac:dyDescent="0.25">
      <c r="A85" s="2"/>
      <c r="B85" s="2"/>
      <c r="C85" s="2"/>
      <c r="D85" s="2"/>
      <c r="E85" s="2"/>
      <c r="F85" s="2"/>
      <c r="G85" s="54"/>
      <c r="H85" s="2"/>
      <c r="I85" s="2"/>
      <c r="J85" s="2"/>
      <c r="K85" s="2"/>
      <c r="L85" s="2"/>
      <c r="M85" s="2"/>
      <c r="N85" s="2"/>
      <c r="O85" s="2"/>
      <c r="P85" s="2"/>
      <c r="Q85" s="2"/>
      <c r="R85" s="2"/>
      <c r="Z85" s="2"/>
      <c r="AA85" s="2"/>
      <c r="AB85" s="2"/>
      <c r="AC85" s="2"/>
      <c r="AD85" s="2"/>
      <c r="AE85" s="2"/>
      <c r="AF85" s="54"/>
      <c r="AG85" s="2"/>
      <c r="AH85" s="2"/>
      <c r="AI85" s="2"/>
      <c r="AJ85" s="2"/>
    </row>
    <row r="86" spans="1:36" x14ac:dyDescent="0.2">
      <c r="A86" s="55" t="s">
        <v>19</v>
      </c>
      <c r="B86" s="56"/>
      <c r="C86" s="57">
        <f>NPV(D14,F84:I84)+E84</f>
        <v>-4029.7247455775796</v>
      </c>
      <c r="D86" s="2"/>
      <c r="E86" s="2"/>
      <c r="F86" s="2"/>
      <c r="G86" s="2"/>
      <c r="H86" s="2"/>
      <c r="I86" s="2"/>
      <c r="J86" s="2"/>
      <c r="K86" s="2"/>
      <c r="L86" s="2"/>
      <c r="M86" s="2"/>
      <c r="N86" s="2"/>
      <c r="O86" s="2"/>
      <c r="P86" s="2"/>
      <c r="Q86" s="2"/>
      <c r="R86" s="2"/>
      <c r="Z86" s="55" t="s">
        <v>19</v>
      </c>
      <c r="AA86" s="56"/>
      <c r="AB86" s="57">
        <f>NPV(AC14,AE84:AH84)+AD84</f>
        <v>-4029.7247455775796</v>
      </c>
      <c r="AC86" s="2"/>
      <c r="AD86" s="2"/>
      <c r="AE86" s="2"/>
      <c r="AF86" s="2"/>
      <c r="AG86" s="2"/>
      <c r="AH86" s="2"/>
      <c r="AI86" s="2"/>
      <c r="AJ86" s="2"/>
    </row>
    <row r="87" spans="1:36" ht="13.5" thickBot="1" x14ac:dyDescent="0.25">
      <c r="A87" s="58" t="s">
        <v>20</v>
      </c>
      <c r="B87" s="59"/>
      <c r="C87" s="60">
        <f>IRR(E84:I84)</f>
        <v>9.2813709650780396E-2</v>
      </c>
      <c r="D87" s="2"/>
      <c r="E87" s="61" t="s">
        <v>47</v>
      </c>
      <c r="F87" s="61" t="s">
        <v>48</v>
      </c>
      <c r="G87" s="2"/>
      <c r="H87" s="2"/>
      <c r="I87" s="2"/>
      <c r="J87" s="2"/>
      <c r="K87" s="2"/>
      <c r="L87" s="2"/>
      <c r="M87" s="2"/>
      <c r="N87" s="2"/>
      <c r="O87" s="2"/>
      <c r="P87" s="2"/>
      <c r="Q87" s="2"/>
      <c r="R87" s="2"/>
      <c r="Z87" s="58" t="s">
        <v>20</v>
      </c>
      <c r="AA87" s="59"/>
      <c r="AB87" s="60">
        <f>IRR(AD84:AH84)</f>
        <v>9.2813709650780396E-2</v>
      </c>
      <c r="AC87" s="2"/>
      <c r="AD87" s="61" t="s">
        <v>47</v>
      </c>
      <c r="AE87" s="61" t="s">
        <v>48</v>
      </c>
      <c r="AF87" s="2"/>
      <c r="AG87" s="2"/>
      <c r="AH87" s="2"/>
      <c r="AI87" s="2"/>
      <c r="AJ87" s="2"/>
    </row>
    <row r="88" spans="1:36" x14ac:dyDescent="0.2">
      <c r="A88" s="2"/>
      <c r="B88" s="2"/>
      <c r="C88" s="2"/>
      <c r="D88" s="2"/>
      <c r="E88" s="36">
        <f>NPV(D14,F91:I91)</f>
        <v>255970.27525442242</v>
      </c>
      <c r="F88" s="36">
        <f>E88*(1.1)^4</f>
        <v>374766.07999999996</v>
      </c>
      <c r="G88" s="2"/>
      <c r="H88" s="2"/>
      <c r="I88" s="2"/>
      <c r="J88" s="2"/>
      <c r="K88" s="2"/>
      <c r="L88" s="2"/>
      <c r="M88" s="2"/>
      <c r="N88" s="2"/>
      <c r="O88" s="2"/>
      <c r="P88" s="2"/>
      <c r="Q88" s="2"/>
      <c r="R88" s="2"/>
      <c r="Z88" s="2"/>
      <c r="AA88" s="2"/>
      <c r="AB88" s="2"/>
      <c r="AC88" s="2"/>
      <c r="AD88" s="36">
        <f>NPV(AC14,AE91:AH91)</f>
        <v>255970.27525442242</v>
      </c>
      <c r="AE88" s="36">
        <f>AD88*(1.1)^4</f>
        <v>374766.07999999996</v>
      </c>
      <c r="AF88" s="2"/>
      <c r="AG88" s="2"/>
      <c r="AH88" s="2"/>
      <c r="AI88" s="2"/>
      <c r="AJ88" s="2"/>
    </row>
    <row r="89" spans="1:36" ht="13.5" thickBot="1" x14ac:dyDescent="0.25">
      <c r="A89" s="2"/>
      <c r="B89" s="2"/>
      <c r="C89" s="2"/>
      <c r="D89" s="2"/>
      <c r="E89" s="97" t="s">
        <v>17</v>
      </c>
      <c r="F89" s="97"/>
      <c r="G89" s="97"/>
      <c r="H89" s="97"/>
      <c r="I89" s="97"/>
      <c r="J89" s="2"/>
      <c r="K89" s="2"/>
      <c r="L89" s="2"/>
      <c r="M89" s="2"/>
      <c r="N89" s="2"/>
      <c r="O89" s="2"/>
      <c r="P89" s="2"/>
      <c r="Q89" s="2"/>
      <c r="R89" s="2"/>
      <c r="Z89" s="2"/>
      <c r="AA89" s="2"/>
      <c r="AB89" s="2"/>
      <c r="AC89" s="2"/>
      <c r="AD89" s="97" t="s">
        <v>17</v>
      </c>
      <c r="AE89" s="97"/>
      <c r="AF89" s="97"/>
      <c r="AG89" s="97"/>
      <c r="AH89" s="97"/>
      <c r="AI89" s="2"/>
      <c r="AJ89" s="2"/>
    </row>
    <row r="90" spans="1:36" ht="15.75" x14ac:dyDescent="0.25">
      <c r="A90" s="45" t="s">
        <v>28</v>
      </c>
      <c r="B90" s="2"/>
      <c r="C90" s="2"/>
      <c r="D90" s="2"/>
      <c r="E90" s="62">
        <v>0</v>
      </c>
      <c r="F90" s="62">
        <v>1</v>
      </c>
      <c r="G90" s="62">
        <v>2</v>
      </c>
      <c r="H90" s="62">
        <v>3</v>
      </c>
      <c r="I90" s="62">
        <v>4</v>
      </c>
      <c r="J90" s="2"/>
      <c r="K90" s="2"/>
      <c r="L90" s="2"/>
      <c r="M90" s="2"/>
      <c r="N90" s="2"/>
      <c r="O90" s="2"/>
      <c r="P90" s="2"/>
      <c r="Q90" s="2"/>
      <c r="R90" s="2"/>
      <c r="Z90" s="45" t="s">
        <v>28</v>
      </c>
      <c r="AA90" s="2"/>
      <c r="AB90" s="2"/>
      <c r="AC90" s="2"/>
      <c r="AD90" s="62">
        <v>0</v>
      </c>
      <c r="AE90" s="62">
        <v>1</v>
      </c>
      <c r="AF90" s="62">
        <v>2</v>
      </c>
      <c r="AG90" s="62">
        <v>3</v>
      </c>
      <c r="AH90" s="62">
        <v>4</v>
      </c>
      <c r="AI90" s="2"/>
      <c r="AJ90" s="2"/>
    </row>
    <row r="91" spans="1:36" x14ac:dyDescent="0.2">
      <c r="A91" s="2" t="s">
        <v>18</v>
      </c>
      <c r="B91" s="2"/>
      <c r="C91" s="2"/>
      <c r="D91" s="2"/>
      <c r="E91" s="36">
        <f>E84</f>
        <v>-260000</v>
      </c>
      <c r="F91" s="36">
        <f>F84</f>
        <v>79680</v>
      </c>
      <c r="G91" s="36">
        <f>G84</f>
        <v>91200</v>
      </c>
      <c r="H91" s="36">
        <f>H84</f>
        <v>62400</v>
      </c>
      <c r="I91" s="36">
        <f>I84</f>
        <v>89720</v>
      </c>
      <c r="J91" s="2"/>
      <c r="K91" s="73">
        <f>NPV(10%,F91:I91)</f>
        <v>255970.27525442242</v>
      </c>
      <c r="L91" s="73"/>
      <c r="M91" s="73"/>
      <c r="N91" s="73"/>
      <c r="O91" s="73"/>
      <c r="P91" s="73"/>
      <c r="Q91" s="73"/>
      <c r="R91" s="73"/>
      <c r="Z91" s="2" t="s">
        <v>18</v>
      </c>
      <c r="AA91" s="2"/>
      <c r="AB91" s="2"/>
      <c r="AC91" s="2"/>
      <c r="AD91" s="36">
        <f>AD84</f>
        <v>-260000</v>
      </c>
      <c r="AE91" s="36">
        <f>AE84</f>
        <v>79680</v>
      </c>
      <c r="AF91" s="36">
        <f>AF84</f>
        <v>91200</v>
      </c>
      <c r="AG91" s="36">
        <f>AG84</f>
        <v>62400</v>
      </c>
      <c r="AH91" s="36">
        <f>AH84</f>
        <v>89720</v>
      </c>
      <c r="AI91" s="2"/>
      <c r="AJ91" s="73">
        <f>NPV(10%,AE91:AH91)</f>
        <v>255970.27525442242</v>
      </c>
    </row>
    <row r="92" spans="1:36" x14ac:dyDescent="0.2">
      <c r="A92" s="2"/>
      <c r="B92" s="2"/>
      <c r="C92" s="2"/>
      <c r="D92" s="2"/>
      <c r="E92" s="2"/>
      <c r="F92" s="2"/>
      <c r="G92" s="2"/>
      <c r="H92" s="2"/>
      <c r="I92" s="37">
        <f>H91*(1+D14)</f>
        <v>68640</v>
      </c>
      <c r="J92" s="2"/>
      <c r="K92" s="73">
        <f>FV(0.1,4,0,K91)</f>
        <v>-374766.07999999996</v>
      </c>
      <c r="L92" s="73"/>
      <c r="M92" s="73"/>
      <c r="N92" s="73"/>
      <c r="O92" s="73"/>
      <c r="P92" s="73"/>
      <c r="Q92" s="73"/>
      <c r="R92" s="73"/>
      <c r="Z92" s="2"/>
      <c r="AA92" s="2"/>
      <c r="AB92" s="2"/>
      <c r="AC92" s="2"/>
      <c r="AD92" s="2"/>
      <c r="AE92" s="2"/>
      <c r="AF92" s="2"/>
      <c r="AG92" s="2"/>
      <c r="AH92" s="37">
        <f>AG91*(1+AC14)</f>
        <v>68640</v>
      </c>
      <c r="AI92" s="2"/>
      <c r="AJ92" s="73">
        <f>FV(0.1,4,0,AJ91)</f>
        <v>-374766.07999999996</v>
      </c>
    </row>
    <row r="93" spans="1:36" x14ac:dyDescent="0.2">
      <c r="A93" s="2"/>
      <c r="B93" s="2"/>
      <c r="C93" s="2"/>
      <c r="D93" s="2"/>
      <c r="E93" s="2"/>
      <c r="F93" s="2"/>
      <c r="G93" s="2"/>
      <c r="H93" s="2"/>
      <c r="I93" s="37">
        <f>G91*(1+D14)^2</f>
        <v>110352.00000000001</v>
      </c>
      <c r="J93" s="2"/>
      <c r="K93" s="2"/>
      <c r="L93" s="2"/>
      <c r="M93" s="2"/>
      <c r="N93" s="2"/>
      <c r="O93" s="2"/>
      <c r="P93" s="2"/>
      <c r="Q93" s="2"/>
      <c r="R93" s="2"/>
      <c r="Z93" s="2"/>
      <c r="AA93" s="2"/>
      <c r="AB93" s="2"/>
      <c r="AC93" s="2"/>
      <c r="AD93" s="2"/>
      <c r="AE93" s="2"/>
      <c r="AF93" s="2"/>
      <c r="AG93" s="2"/>
      <c r="AH93" s="37">
        <f>AF91*(1+AC14)^2</f>
        <v>110352.00000000001</v>
      </c>
      <c r="AI93" s="2"/>
      <c r="AJ93" s="2"/>
    </row>
    <row r="94" spans="1:36" ht="15" x14ac:dyDescent="0.35">
      <c r="A94" s="2"/>
      <c r="B94" s="2"/>
      <c r="C94" s="2"/>
      <c r="D94" s="2"/>
      <c r="E94" s="2"/>
      <c r="F94" s="2"/>
      <c r="G94" s="2"/>
      <c r="H94" s="2"/>
      <c r="I94" s="63">
        <f>F91*(1+D14)^3</f>
        <v>106054.08000000003</v>
      </c>
      <c r="J94" s="2"/>
      <c r="K94" s="64"/>
      <c r="L94" s="64"/>
      <c r="M94" s="64"/>
      <c r="N94" s="64"/>
      <c r="O94" s="64"/>
      <c r="P94" s="64"/>
      <c r="Q94" s="64"/>
      <c r="R94" s="64"/>
      <c r="Z94" s="2"/>
      <c r="AA94" s="2"/>
      <c r="AB94" s="2"/>
      <c r="AC94" s="2"/>
      <c r="AD94" s="2"/>
      <c r="AE94" s="2"/>
      <c r="AF94" s="2"/>
      <c r="AG94" s="2"/>
      <c r="AH94" s="63">
        <f>AE91*(1+AC14)^3</f>
        <v>106054.08000000003</v>
      </c>
      <c r="AI94" s="2"/>
      <c r="AJ94" s="64"/>
    </row>
    <row r="95" spans="1:36" x14ac:dyDescent="0.2">
      <c r="A95" s="2"/>
      <c r="B95" s="2"/>
      <c r="C95" s="2"/>
      <c r="D95" s="65" t="s">
        <v>29</v>
      </c>
      <c r="E95" s="36">
        <f>E91</f>
        <v>-260000</v>
      </c>
      <c r="F95" s="2"/>
      <c r="G95" s="2"/>
      <c r="H95" s="65" t="s">
        <v>21</v>
      </c>
      <c r="I95" s="36">
        <f>SUM(I91:I94)</f>
        <v>374766.08000000002</v>
      </c>
      <c r="J95" s="2"/>
      <c r="K95" s="2"/>
      <c r="L95" s="2"/>
      <c r="M95" s="2"/>
      <c r="N95" s="2"/>
      <c r="O95" s="2"/>
      <c r="P95" s="2"/>
      <c r="Q95" s="2"/>
      <c r="R95" s="2"/>
      <c r="Z95" s="2"/>
      <c r="AA95" s="2"/>
      <c r="AB95" s="2"/>
      <c r="AC95" s="65" t="s">
        <v>29</v>
      </c>
      <c r="AD95" s="36">
        <f>AD91</f>
        <v>-260000</v>
      </c>
      <c r="AE95" s="2"/>
      <c r="AF95" s="2"/>
      <c r="AG95" s="65" t="s">
        <v>21</v>
      </c>
      <c r="AH95" s="36">
        <f>SUM(AH91:AH94)</f>
        <v>374766.08000000002</v>
      </c>
      <c r="AI95" s="2"/>
      <c r="AJ95" s="2"/>
    </row>
    <row r="96" spans="1:36" x14ac:dyDescent="0.2">
      <c r="A96" s="2"/>
      <c r="B96" s="2"/>
      <c r="C96" s="2"/>
      <c r="D96" s="3"/>
      <c r="E96" s="3"/>
      <c r="F96" s="3"/>
      <c r="G96" s="3"/>
      <c r="H96" s="3"/>
      <c r="I96" s="3"/>
      <c r="J96" s="2"/>
      <c r="K96" s="2"/>
      <c r="L96" s="2"/>
      <c r="M96" s="2"/>
      <c r="N96" s="2"/>
      <c r="O96" s="2"/>
      <c r="P96" s="2"/>
      <c r="Q96" s="2"/>
      <c r="R96" s="2"/>
      <c r="Z96" s="2"/>
      <c r="AA96" s="2"/>
      <c r="AB96" s="2"/>
      <c r="AC96" s="3"/>
      <c r="AD96" s="3"/>
      <c r="AE96" s="3"/>
      <c r="AF96" s="3"/>
      <c r="AG96" s="3"/>
      <c r="AH96" s="3"/>
      <c r="AI96" s="2"/>
      <c r="AJ96" s="2"/>
    </row>
    <row r="97" spans="1:36" ht="26.25" customHeight="1" thickBot="1" x14ac:dyDescent="0.25">
      <c r="A97" s="98" t="s">
        <v>30</v>
      </c>
      <c r="B97" s="99"/>
      <c r="C97" s="99"/>
      <c r="D97" s="99"/>
      <c r="E97" s="99"/>
      <c r="F97" s="99"/>
      <c r="G97" s="99"/>
      <c r="H97" s="99"/>
      <c r="I97" s="99"/>
      <c r="J97" s="66"/>
      <c r="K97" s="2"/>
      <c r="L97" s="2"/>
      <c r="M97" s="2"/>
      <c r="N97" s="2"/>
      <c r="O97" s="2"/>
      <c r="P97" s="2"/>
      <c r="Q97" s="2"/>
      <c r="R97" s="2"/>
      <c r="Z97" s="98" t="s">
        <v>30</v>
      </c>
      <c r="AA97" s="99"/>
      <c r="AB97" s="99"/>
      <c r="AC97" s="99"/>
      <c r="AD97" s="99"/>
      <c r="AE97" s="99"/>
      <c r="AF97" s="99"/>
      <c r="AG97" s="99"/>
      <c r="AH97" s="99"/>
      <c r="AI97" s="66"/>
      <c r="AJ97" s="2"/>
    </row>
    <row r="98" spans="1:36" ht="13.5" thickBot="1" x14ac:dyDescent="0.25">
      <c r="A98" s="67" t="s">
        <v>31</v>
      </c>
      <c r="B98" s="68">
        <f>MIRR(E91:I91,D14,D14)</f>
        <v>9.5712792354514242E-2</v>
      </c>
      <c r="C98" s="3"/>
      <c r="D98" s="2"/>
      <c r="E98" s="2"/>
      <c r="F98" s="2"/>
      <c r="G98" s="2"/>
      <c r="H98" s="2"/>
      <c r="I98" s="2"/>
      <c r="J98" s="2"/>
      <c r="K98" s="2"/>
      <c r="L98" s="2"/>
      <c r="M98" s="2"/>
      <c r="N98" s="2"/>
      <c r="O98" s="2"/>
      <c r="P98" s="2"/>
      <c r="Q98" s="2"/>
      <c r="R98" s="2"/>
      <c r="Z98" s="67" t="s">
        <v>31</v>
      </c>
      <c r="AA98" s="68">
        <f>MIRR(AD91:AH91,AC14,AC14)</f>
        <v>9.5712792354514242E-2</v>
      </c>
      <c r="AB98" s="3"/>
      <c r="AC98" s="2"/>
      <c r="AD98" s="2"/>
      <c r="AE98" s="2"/>
      <c r="AF98" s="2"/>
      <c r="AG98" s="2"/>
      <c r="AH98" s="2"/>
      <c r="AI98" s="2"/>
      <c r="AJ98" s="2"/>
    </row>
    <row r="99" spans="1:36" x14ac:dyDescent="0.2">
      <c r="A99" s="2"/>
      <c r="B99" s="2"/>
      <c r="C99" s="2"/>
      <c r="D99" s="2"/>
      <c r="E99" s="2"/>
      <c r="F99" s="2"/>
      <c r="G99" s="2"/>
      <c r="H99" s="2"/>
      <c r="I99" s="2"/>
      <c r="J99" s="2"/>
      <c r="K99" s="2"/>
      <c r="L99" s="2"/>
      <c r="M99" s="2"/>
      <c r="N99" s="2"/>
      <c r="O99" s="2"/>
      <c r="P99" s="2"/>
      <c r="Q99" s="2"/>
      <c r="R99" s="2"/>
      <c r="Z99" s="2"/>
      <c r="AA99" s="2"/>
      <c r="AB99" s="2"/>
      <c r="AC99" s="2"/>
      <c r="AD99" s="2"/>
      <c r="AE99" s="2"/>
      <c r="AF99" s="2"/>
      <c r="AG99" s="2"/>
      <c r="AH99" s="2"/>
      <c r="AI99" s="2"/>
      <c r="AJ99" s="2"/>
    </row>
    <row r="100" spans="1:36" ht="16.5" thickBot="1" x14ac:dyDescent="0.3">
      <c r="A100" s="45" t="s">
        <v>32</v>
      </c>
      <c r="B100" s="2"/>
      <c r="C100" s="2"/>
      <c r="D100" s="2"/>
      <c r="E100" s="97" t="s">
        <v>17</v>
      </c>
      <c r="F100" s="97"/>
      <c r="G100" s="97"/>
      <c r="H100" s="97"/>
      <c r="I100" s="97"/>
      <c r="J100" s="2"/>
      <c r="K100" s="2"/>
      <c r="L100" s="2"/>
      <c r="M100" s="2"/>
      <c r="N100" s="2"/>
      <c r="O100" s="2"/>
      <c r="P100" s="2"/>
      <c r="Q100" s="2"/>
      <c r="R100" s="2"/>
      <c r="Z100" s="45" t="s">
        <v>32</v>
      </c>
      <c r="AA100" s="2"/>
      <c r="AB100" s="2"/>
      <c r="AC100" s="2"/>
      <c r="AD100" s="97" t="s">
        <v>17</v>
      </c>
      <c r="AE100" s="97"/>
      <c r="AF100" s="97"/>
      <c r="AG100" s="97"/>
      <c r="AH100" s="97"/>
      <c r="AI100" s="2"/>
      <c r="AJ100" s="2"/>
    </row>
    <row r="101" spans="1:36" x14ac:dyDescent="0.2">
      <c r="A101" s="2"/>
      <c r="B101" s="2"/>
      <c r="C101" s="2"/>
      <c r="D101" s="2"/>
      <c r="E101" s="62">
        <v>0</v>
      </c>
      <c r="F101" s="62">
        <v>1</v>
      </c>
      <c r="G101" s="62">
        <v>2</v>
      </c>
      <c r="H101" s="62">
        <v>3</v>
      </c>
      <c r="I101" s="62">
        <v>4</v>
      </c>
      <c r="J101" s="2"/>
      <c r="K101" s="2"/>
      <c r="L101" s="2"/>
      <c r="M101" s="2"/>
      <c r="N101" s="2"/>
      <c r="O101" s="2"/>
      <c r="P101" s="2"/>
      <c r="Q101" s="2"/>
      <c r="R101" s="2"/>
      <c r="Z101" s="2"/>
      <c r="AA101" s="2"/>
      <c r="AB101" s="2"/>
      <c r="AC101" s="2"/>
      <c r="AD101" s="62">
        <v>0</v>
      </c>
      <c r="AE101" s="62">
        <v>1</v>
      </c>
      <c r="AF101" s="62">
        <v>2</v>
      </c>
      <c r="AG101" s="62">
        <v>3</v>
      </c>
      <c r="AH101" s="62">
        <v>4</v>
      </c>
      <c r="AI101" s="2"/>
      <c r="AJ101" s="2"/>
    </row>
    <row r="102" spans="1:36" x14ac:dyDescent="0.2">
      <c r="A102" s="2" t="s">
        <v>44</v>
      </c>
      <c r="B102" s="2"/>
      <c r="C102" s="2"/>
      <c r="D102" s="2"/>
      <c r="E102" s="69">
        <f>E84</f>
        <v>-260000</v>
      </c>
      <c r="F102" s="69">
        <f>F84</f>
        <v>79680</v>
      </c>
      <c r="G102" s="69">
        <f>G84</f>
        <v>91200</v>
      </c>
      <c r="H102" s="69">
        <f>H84</f>
        <v>62400</v>
      </c>
      <c r="I102" s="69">
        <f>I84</f>
        <v>89720</v>
      </c>
      <c r="J102" s="2"/>
      <c r="K102" s="2"/>
      <c r="L102" s="2"/>
      <c r="M102" s="2"/>
      <c r="N102" s="2"/>
      <c r="O102" s="2"/>
      <c r="P102" s="2"/>
      <c r="Q102" s="2"/>
      <c r="R102" s="2"/>
      <c r="Z102" s="2" t="s">
        <v>44</v>
      </c>
      <c r="AA102" s="2"/>
      <c r="AB102" s="2"/>
      <c r="AC102" s="2"/>
      <c r="AD102" s="69">
        <f>AD84</f>
        <v>-260000</v>
      </c>
      <c r="AE102" s="69">
        <f>AE84</f>
        <v>79680</v>
      </c>
      <c r="AF102" s="69">
        <f>AF84</f>
        <v>91200</v>
      </c>
      <c r="AG102" s="69">
        <f>AG84</f>
        <v>62400</v>
      </c>
      <c r="AH102" s="69">
        <f>AH84</f>
        <v>89720</v>
      </c>
      <c r="AI102" s="2"/>
      <c r="AJ102" s="2"/>
    </row>
    <row r="103" spans="1:36" ht="12.75" customHeight="1" x14ac:dyDescent="0.2">
      <c r="A103" s="2" t="s">
        <v>22</v>
      </c>
      <c r="B103" s="2"/>
      <c r="C103" s="2"/>
      <c r="D103" s="2"/>
      <c r="E103" s="69">
        <f>E102</f>
        <v>-260000</v>
      </c>
      <c r="F103" s="69">
        <f>E103+F102</f>
        <v>-180320</v>
      </c>
      <c r="G103" s="69">
        <f>F103+G102</f>
        <v>-89120</v>
      </c>
      <c r="H103" s="69">
        <f>G103+H102</f>
        <v>-26720</v>
      </c>
      <c r="I103" s="69">
        <f>H103+I102</f>
        <v>63000</v>
      </c>
      <c r="J103" s="2"/>
      <c r="K103" s="2"/>
      <c r="L103" s="2"/>
      <c r="M103" s="2"/>
      <c r="N103" s="2"/>
      <c r="O103" s="2"/>
      <c r="P103" s="2"/>
      <c r="Q103" s="2"/>
      <c r="R103" s="2"/>
      <c r="Z103" s="2" t="s">
        <v>22</v>
      </c>
      <c r="AA103" s="2"/>
      <c r="AB103" s="2"/>
      <c r="AC103" s="2"/>
      <c r="AD103" s="69">
        <f>AD102</f>
        <v>-260000</v>
      </c>
      <c r="AE103" s="69">
        <f>AD103+AE102</f>
        <v>-180320</v>
      </c>
      <c r="AF103" s="69">
        <f>AE103+AF102</f>
        <v>-89120</v>
      </c>
      <c r="AG103" s="69">
        <f>AF103+AG102</f>
        <v>-26720</v>
      </c>
      <c r="AH103" s="69">
        <f>AG103+AH102</f>
        <v>63000</v>
      </c>
      <c r="AI103" s="2"/>
      <c r="AJ103" s="2"/>
    </row>
    <row r="104" spans="1:36" ht="13.5" thickBot="1" x14ac:dyDescent="0.25">
      <c r="A104" s="70"/>
      <c r="B104" s="71"/>
      <c r="C104" s="71"/>
      <c r="D104" s="2"/>
      <c r="E104" s="2"/>
      <c r="F104" s="2"/>
      <c r="G104" s="2"/>
      <c r="H104" s="2"/>
      <c r="I104" s="2"/>
      <c r="J104" s="2"/>
      <c r="K104" s="2"/>
      <c r="L104" s="2"/>
      <c r="M104" s="2"/>
      <c r="N104" s="2"/>
      <c r="O104" s="2"/>
      <c r="P104" s="2"/>
      <c r="Q104" s="2"/>
      <c r="R104" s="2"/>
      <c r="Z104" s="70"/>
      <c r="AA104" s="71"/>
      <c r="AB104" s="71"/>
      <c r="AC104" s="2"/>
      <c r="AD104" s="2"/>
      <c r="AE104" s="2"/>
      <c r="AF104" s="2"/>
      <c r="AG104" s="2"/>
      <c r="AH104" s="2"/>
      <c r="AI104" s="2"/>
      <c r="AJ104" s="2"/>
    </row>
    <row r="105" spans="1:36" ht="13.5" thickBot="1" x14ac:dyDescent="0.25">
      <c r="A105" s="2"/>
      <c r="B105" s="2" t="s">
        <v>23</v>
      </c>
      <c r="C105" s="72">
        <f>PERCENTRANK(E103:I103,0,6)*I101</f>
        <v>3.297812</v>
      </c>
      <c r="D105" s="2"/>
      <c r="E105" s="2"/>
      <c r="F105" s="2"/>
      <c r="G105" s="2"/>
      <c r="H105" s="2"/>
      <c r="I105" s="2"/>
      <c r="J105" s="2"/>
      <c r="K105" s="2"/>
      <c r="L105" s="2"/>
      <c r="M105" s="2"/>
      <c r="N105" s="2"/>
      <c r="O105" s="2"/>
      <c r="P105" s="2"/>
      <c r="Q105" s="2"/>
      <c r="R105" s="2"/>
      <c r="Z105" s="2"/>
      <c r="AA105" s="2" t="s">
        <v>23</v>
      </c>
      <c r="AB105" s="72">
        <f>PERCENTRANK(AD103:AH103,0,6)*AH101</f>
        <v>3.297812</v>
      </c>
      <c r="AC105" s="2"/>
      <c r="AD105" s="2"/>
      <c r="AE105" s="2"/>
      <c r="AF105" s="2"/>
      <c r="AG105" s="2"/>
      <c r="AH105" s="2"/>
      <c r="AI105" s="2"/>
      <c r="AJ105" s="2"/>
    </row>
    <row r="106" spans="1:36" x14ac:dyDescent="0.2">
      <c r="A106" s="2"/>
      <c r="B106" s="2"/>
      <c r="C106" s="2"/>
      <c r="D106" s="2"/>
      <c r="E106" s="2"/>
      <c r="F106" s="2"/>
      <c r="G106" s="2"/>
      <c r="H106" s="2"/>
      <c r="I106" s="2"/>
      <c r="J106" s="2"/>
      <c r="K106" s="2"/>
      <c r="L106" s="2"/>
      <c r="M106" s="2"/>
      <c r="N106" s="2"/>
      <c r="O106" s="2"/>
      <c r="P106" s="2"/>
      <c r="Q106" s="2"/>
      <c r="R106" s="2"/>
      <c r="Z106" s="2"/>
      <c r="AA106" s="2"/>
      <c r="AB106" s="2"/>
      <c r="AC106" s="2"/>
      <c r="AD106" s="2"/>
      <c r="AE106" s="2"/>
      <c r="AF106" s="2"/>
      <c r="AG106" s="2"/>
      <c r="AH106" s="2"/>
      <c r="AI106" s="2"/>
      <c r="AJ106" s="2"/>
    </row>
    <row r="107" spans="1:36" x14ac:dyDescent="0.2">
      <c r="A107" s="3"/>
      <c r="B107" s="3"/>
      <c r="C107" s="3"/>
      <c r="D107" s="3"/>
      <c r="E107" s="3"/>
      <c r="F107" s="3"/>
      <c r="G107" s="3"/>
      <c r="H107" s="3"/>
      <c r="I107" s="3"/>
      <c r="J107" s="3"/>
      <c r="K107" s="3"/>
      <c r="L107" s="3"/>
      <c r="M107" s="3"/>
      <c r="N107" s="3"/>
      <c r="O107" s="3"/>
      <c r="P107" s="3"/>
      <c r="Q107" s="3"/>
      <c r="R107" s="3"/>
      <c r="Z107" s="3"/>
      <c r="AA107" s="3"/>
      <c r="AB107" s="3"/>
      <c r="AC107" s="3"/>
      <c r="AD107" s="3"/>
      <c r="AE107" s="3"/>
      <c r="AF107" s="3"/>
      <c r="AG107" s="3"/>
      <c r="AH107" s="3"/>
      <c r="AI107" s="3"/>
      <c r="AJ107" s="3"/>
    </row>
    <row r="108" spans="1:36" x14ac:dyDescent="0.2">
      <c r="A108" s="3"/>
      <c r="B108" s="3"/>
      <c r="C108" s="3"/>
      <c r="D108" s="3"/>
      <c r="E108" s="3"/>
      <c r="F108" s="3"/>
      <c r="G108" s="3"/>
      <c r="H108" s="3"/>
      <c r="I108" s="3"/>
      <c r="J108" s="3"/>
      <c r="K108" s="3"/>
      <c r="L108" s="3"/>
      <c r="M108" s="3"/>
      <c r="N108" s="3"/>
      <c r="O108" s="3"/>
      <c r="P108" s="3"/>
      <c r="Q108" s="3"/>
      <c r="R108" s="3"/>
      <c r="Z108" s="3"/>
      <c r="AA108" s="3"/>
      <c r="AB108" s="3"/>
      <c r="AC108" s="3"/>
      <c r="AD108" s="3"/>
      <c r="AE108" s="3"/>
      <c r="AF108" s="3"/>
      <c r="AG108" s="3"/>
      <c r="AH108" s="3"/>
      <c r="AI108" s="3"/>
      <c r="AJ108" s="3"/>
    </row>
    <row r="109" spans="1:36" x14ac:dyDescent="0.2">
      <c r="A109" s="3"/>
      <c r="B109" s="3"/>
      <c r="C109" s="3"/>
      <c r="D109" s="3"/>
      <c r="E109" s="3"/>
      <c r="F109" s="3"/>
      <c r="G109" s="3"/>
      <c r="H109" s="3"/>
      <c r="I109" s="3"/>
      <c r="J109" s="3"/>
      <c r="K109" s="3"/>
      <c r="L109" s="3"/>
      <c r="M109" s="3"/>
      <c r="N109" s="3"/>
      <c r="O109" s="3"/>
      <c r="P109" s="3"/>
      <c r="Q109" s="3"/>
      <c r="R109" s="3"/>
      <c r="Z109" s="3"/>
      <c r="AA109" s="3"/>
      <c r="AB109" s="3"/>
      <c r="AC109" s="3"/>
      <c r="AD109" s="3"/>
      <c r="AE109" s="3"/>
      <c r="AF109" s="3"/>
      <c r="AG109" s="3"/>
      <c r="AH109" s="3"/>
      <c r="AI109" s="3"/>
      <c r="AJ109" s="3"/>
    </row>
    <row r="110" spans="1:36" x14ac:dyDescent="0.2">
      <c r="A110" s="3"/>
      <c r="B110" s="3"/>
      <c r="C110" s="3"/>
      <c r="D110" s="3"/>
      <c r="E110" s="3"/>
      <c r="F110" s="3"/>
      <c r="G110" s="3"/>
      <c r="H110" s="3"/>
      <c r="I110" s="3"/>
      <c r="J110" s="3"/>
      <c r="K110" s="3"/>
      <c r="L110" s="3"/>
      <c r="M110" s="3"/>
      <c r="N110" s="3"/>
      <c r="O110" s="3"/>
      <c r="P110" s="3"/>
      <c r="Q110" s="3"/>
      <c r="R110" s="3"/>
      <c r="Z110" s="3"/>
      <c r="AA110" s="3"/>
      <c r="AB110" s="3"/>
      <c r="AC110" s="3"/>
      <c r="AD110" s="3"/>
      <c r="AE110" s="3"/>
      <c r="AF110" s="3"/>
      <c r="AG110" s="3"/>
      <c r="AH110" s="3"/>
      <c r="AI110" s="3"/>
      <c r="AJ110" s="3"/>
    </row>
    <row r="111" spans="1:36" ht="16.5" customHeight="1" x14ac:dyDescent="0.25">
      <c r="A111" s="45" t="s">
        <v>16</v>
      </c>
      <c r="B111" s="2"/>
      <c r="C111" s="46"/>
      <c r="D111" s="46"/>
      <c r="E111" s="2" t="s">
        <v>73</v>
      </c>
      <c r="F111" s="2"/>
      <c r="G111" s="2"/>
      <c r="H111" s="2"/>
      <c r="I111" s="2"/>
      <c r="J111" s="2"/>
      <c r="K111" s="2"/>
      <c r="L111" s="2"/>
      <c r="M111" s="2"/>
      <c r="N111" s="2"/>
      <c r="O111" s="2"/>
      <c r="P111" s="2"/>
      <c r="Q111" s="2"/>
      <c r="R111" s="2"/>
      <c r="Z111" s="45" t="s">
        <v>16</v>
      </c>
      <c r="AA111" s="2"/>
      <c r="AB111" s="46"/>
      <c r="AC111" s="46"/>
      <c r="AD111" s="2" t="s">
        <v>73</v>
      </c>
      <c r="AE111" s="2"/>
      <c r="AF111" s="2"/>
      <c r="AG111" s="2"/>
      <c r="AH111" s="2"/>
      <c r="AI111" s="2"/>
      <c r="AJ111" s="2"/>
    </row>
    <row r="112" spans="1:36" ht="13.5" thickBot="1" x14ac:dyDescent="0.25">
      <c r="A112" s="2"/>
      <c r="B112" s="2"/>
      <c r="C112" s="47"/>
      <c r="D112" s="3"/>
      <c r="E112" s="28" t="s">
        <v>38</v>
      </c>
      <c r="F112" s="28" t="s">
        <v>14</v>
      </c>
      <c r="G112" s="28" t="s">
        <v>25</v>
      </c>
      <c r="H112" s="28" t="s">
        <v>26</v>
      </c>
      <c r="I112" s="28"/>
      <c r="J112" s="2"/>
      <c r="K112" s="2"/>
      <c r="L112" s="2"/>
      <c r="M112" s="2"/>
      <c r="N112" s="2"/>
      <c r="O112" s="2"/>
      <c r="P112" s="2"/>
      <c r="Q112" s="2"/>
      <c r="R112" s="2"/>
      <c r="Z112" s="2"/>
      <c r="AA112" s="2"/>
      <c r="AB112" s="47"/>
      <c r="AC112" s="3"/>
      <c r="AD112" s="28" t="s">
        <v>38</v>
      </c>
      <c r="AE112" s="28" t="s">
        <v>14</v>
      </c>
      <c r="AF112" s="28" t="s">
        <v>25</v>
      </c>
      <c r="AG112" s="28" t="s">
        <v>26</v>
      </c>
      <c r="AH112" s="28"/>
      <c r="AI112" s="2"/>
      <c r="AJ112" s="2"/>
    </row>
    <row r="113" spans="1:36" x14ac:dyDescent="0.2">
      <c r="A113" s="48"/>
      <c r="B113" s="48"/>
      <c r="C113" s="48"/>
      <c r="D113" s="3"/>
      <c r="E113" s="48"/>
      <c r="F113" s="2"/>
      <c r="G113" s="2"/>
      <c r="H113" s="2"/>
      <c r="I113" s="2"/>
      <c r="J113" s="2"/>
      <c r="K113" s="2"/>
      <c r="L113" s="2"/>
      <c r="M113" s="2"/>
      <c r="N113" s="2"/>
      <c r="O113" s="2"/>
      <c r="P113" s="2"/>
      <c r="Q113" s="2"/>
      <c r="R113" s="2"/>
      <c r="Z113" s="48"/>
      <c r="AA113" s="48"/>
      <c r="AB113" s="48"/>
      <c r="AC113" s="3"/>
      <c r="AD113" s="48"/>
      <c r="AE113" s="2"/>
      <c r="AF113" s="2"/>
      <c r="AG113" s="2"/>
      <c r="AH113" s="2"/>
      <c r="AI113" s="2"/>
      <c r="AJ113" s="2"/>
    </row>
    <row r="114" spans="1:36" x14ac:dyDescent="0.2">
      <c r="A114" s="49" t="s">
        <v>75</v>
      </c>
      <c r="B114" s="2"/>
      <c r="C114" s="2"/>
      <c r="D114" s="3"/>
      <c r="E114" s="36">
        <f>E84</f>
        <v>-260000</v>
      </c>
      <c r="F114" s="50"/>
      <c r="G114" s="37"/>
      <c r="H114" s="37"/>
      <c r="I114" s="37"/>
      <c r="J114" s="2"/>
      <c r="K114" s="2"/>
      <c r="L114" s="2"/>
      <c r="M114" s="2"/>
      <c r="N114" s="2"/>
      <c r="O114" s="2"/>
      <c r="P114" s="2"/>
      <c r="Q114" s="2"/>
      <c r="R114" s="2"/>
      <c r="Z114" s="49" t="s">
        <v>75</v>
      </c>
      <c r="AA114" s="2"/>
      <c r="AB114" s="2"/>
      <c r="AC114" s="3"/>
      <c r="AD114" s="36">
        <f>AD84</f>
        <v>-260000</v>
      </c>
      <c r="AE114" s="50"/>
      <c r="AF114" s="37"/>
      <c r="AG114" s="37"/>
      <c r="AH114" s="37"/>
      <c r="AI114" s="2"/>
      <c r="AJ114" s="2"/>
    </row>
    <row r="115" spans="1:36" x14ac:dyDescent="0.2">
      <c r="A115" s="49" t="s">
        <v>13</v>
      </c>
      <c r="B115" s="49"/>
      <c r="C115" s="49"/>
      <c r="D115" s="3"/>
      <c r="E115" s="51"/>
      <c r="F115" s="36">
        <f>F84</f>
        <v>79680</v>
      </c>
      <c r="G115" s="36">
        <f>G84</f>
        <v>91200</v>
      </c>
      <c r="H115" s="36">
        <f>H84</f>
        <v>62400</v>
      </c>
      <c r="I115" s="36"/>
      <c r="J115" s="2"/>
      <c r="K115" s="2"/>
      <c r="L115" s="2"/>
      <c r="M115" s="2"/>
      <c r="N115" s="2"/>
      <c r="O115" s="2"/>
      <c r="P115" s="2"/>
      <c r="Q115" s="2"/>
      <c r="R115" s="2"/>
      <c r="Z115" s="49" t="s">
        <v>13</v>
      </c>
      <c r="AA115" s="49"/>
      <c r="AB115" s="49"/>
      <c r="AC115" s="3"/>
      <c r="AD115" s="51"/>
      <c r="AE115" s="36">
        <f>AE84</f>
        <v>79680</v>
      </c>
      <c r="AF115" s="36">
        <f>AF84</f>
        <v>91200</v>
      </c>
      <c r="AG115" s="36">
        <f>AG84</f>
        <v>62400</v>
      </c>
      <c r="AH115" s="36"/>
      <c r="AI115" s="2"/>
      <c r="AJ115" s="2"/>
    </row>
    <row r="116" spans="1:36" x14ac:dyDescent="0.2">
      <c r="A116" s="49"/>
      <c r="B116" s="49"/>
      <c r="C116" s="49"/>
      <c r="D116" s="3"/>
      <c r="E116" s="37"/>
      <c r="F116" s="37"/>
      <c r="G116" s="37"/>
      <c r="H116" s="37"/>
      <c r="I116" s="37"/>
      <c r="J116" s="2"/>
      <c r="K116" s="2"/>
      <c r="L116" s="2"/>
      <c r="M116" s="2"/>
      <c r="N116" s="2"/>
      <c r="O116" s="2"/>
      <c r="P116" s="2"/>
      <c r="Q116" s="2"/>
      <c r="R116" s="2"/>
      <c r="Z116" s="49"/>
      <c r="AA116" s="49"/>
      <c r="AB116" s="49"/>
      <c r="AC116" s="3"/>
      <c r="AD116" s="37"/>
      <c r="AE116" s="37"/>
      <c r="AF116" s="37"/>
      <c r="AG116" s="37"/>
      <c r="AH116" s="37"/>
      <c r="AI116" s="2"/>
      <c r="AJ116" s="2"/>
    </row>
    <row r="117" spans="1:36" ht="13.5" thickBot="1" x14ac:dyDescent="0.25">
      <c r="A117" s="49" t="s">
        <v>74</v>
      </c>
      <c r="B117" s="49"/>
      <c r="C117" s="2"/>
      <c r="D117" s="2"/>
      <c r="E117" s="52"/>
      <c r="F117" s="52"/>
      <c r="G117" s="52"/>
      <c r="H117" s="52">
        <f>F72</f>
        <v>41720</v>
      </c>
      <c r="I117" s="52"/>
      <c r="J117" s="2"/>
      <c r="K117" s="2"/>
      <c r="L117" s="2"/>
      <c r="M117" s="2"/>
      <c r="N117" s="2"/>
      <c r="O117" s="2"/>
      <c r="P117" s="2"/>
      <c r="Q117" s="2"/>
      <c r="R117" s="2"/>
      <c r="Z117" s="49" t="s">
        <v>74</v>
      </c>
      <c r="AA117" s="49"/>
      <c r="AB117" s="2"/>
      <c r="AC117" s="2"/>
      <c r="AD117" s="52"/>
      <c r="AE117" s="52"/>
      <c r="AF117" s="52"/>
      <c r="AG117" s="52">
        <f>AE72</f>
        <v>41720</v>
      </c>
      <c r="AH117" s="52"/>
      <c r="AI117" s="2"/>
      <c r="AJ117" s="2"/>
    </row>
    <row r="118" spans="1:36" ht="13.5" thickBot="1" x14ac:dyDescent="0.25">
      <c r="A118" s="2" t="s">
        <v>18</v>
      </c>
      <c r="B118" s="2"/>
      <c r="C118" s="2"/>
      <c r="D118" s="2"/>
      <c r="E118" s="53">
        <f>SUM(E114:E117)</f>
        <v>-260000</v>
      </c>
      <c r="F118" s="53">
        <f>SUM(F114:F117)</f>
        <v>79680</v>
      </c>
      <c r="G118" s="53">
        <f>SUM(G114:G117)</f>
        <v>91200</v>
      </c>
      <c r="H118" s="53">
        <f>SUM(H114:H117)</f>
        <v>104120</v>
      </c>
      <c r="I118" s="53"/>
      <c r="J118" s="2"/>
      <c r="K118" s="2"/>
      <c r="L118" s="2"/>
      <c r="M118" s="2"/>
      <c r="N118" s="2"/>
      <c r="O118" s="2"/>
      <c r="P118" s="2"/>
      <c r="Q118" s="2"/>
      <c r="R118" s="2"/>
      <c r="Z118" s="2" t="s">
        <v>18</v>
      </c>
      <c r="AA118" s="2"/>
      <c r="AB118" s="2"/>
      <c r="AC118" s="2"/>
      <c r="AD118" s="53">
        <f>SUM(AD114:AD117)</f>
        <v>-260000</v>
      </c>
      <c r="AE118" s="53">
        <f>SUM(AE114:AE117)</f>
        <v>79680</v>
      </c>
      <c r="AF118" s="53">
        <f>SUM(AF114:AF117)</f>
        <v>91200</v>
      </c>
      <c r="AG118" s="53">
        <f>SUM(AG114:AG117)</f>
        <v>104120</v>
      </c>
      <c r="AH118" s="53"/>
      <c r="AI118" s="2"/>
      <c r="AJ118" s="2"/>
    </row>
    <row r="119" spans="1:36" ht="14.25" thickTop="1" thickBot="1" x14ac:dyDescent="0.25">
      <c r="A119" s="2"/>
      <c r="B119" s="2"/>
      <c r="C119" s="2"/>
      <c r="D119" s="2"/>
      <c r="E119" s="2"/>
      <c r="F119" s="2"/>
      <c r="G119" s="54"/>
      <c r="H119" s="2"/>
      <c r="I119" s="2"/>
      <c r="J119" s="2"/>
      <c r="K119" s="2"/>
      <c r="L119" s="2"/>
      <c r="M119" s="2"/>
      <c r="N119" s="2"/>
      <c r="O119" s="2"/>
      <c r="P119" s="2"/>
      <c r="Q119" s="2"/>
      <c r="R119" s="2"/>
      <c r="Z119" s="2"/>
      <c r="AA119" s="2"/>
      <c r="AB119" s="2"/>
      <c r="AC119" s="2"/>
      <c r="AD119" s="2"/>
      <c r="AE119" s="2"/>
      <c r="AF119" s="54"/>
      <c r="AG119" s="2"/>
      <c r="AH119" s="2"/>
      <c r="AI119" s="2"/>
      <c r="AJ119" s="2"/>
    </row>
    <row r="120" spans="1:36" x14ac:dyDescent="0.2">
      <c r="A120" s="55" t="s">
        <v>19</v>
      </c>
      <c r="B120" s="56"/>
      <c r="C120" s="79">
        <f>NPV(D14,F118:I118)+E118</f>
        <v>-33964.838467317866</v>
      </c>
      <c r="D120" s="2"/>
      <c r="E120" s="2"/>
      <c r="F120" s="2"/>
      <c r="G120" s="2"/>
      <c r="H120" s="2"/>
      <c r="I120" s="2"/>
      <c r="J120" s="2"/>
      <c r="K120" s="2"/>
      <c r="L120" s="2"/>
      <c r="M120" s="2"/>
      <c r="N120" s="2"/>
      <c r="O120" s="2"/>
      <c r="P120" s="2"/>
      <c r="Q120" s="2"/>
      <c r="R120" s="2"/>
      <c r="Z120" s="55" t="s">
        <v>19</v>
      </c>
      <c r="AA120" s="56"/>
      <c r="AB120" s="79">
        <f>NPV(AC14,AE118:AH118)+AD118</f>
        <v>-33964.838467317866</v>
      </c>
      <c r="AC120" s="2"/>
      <c r="AD120" s="2"/>
      <c r="AE120" s="2"/>
      <c r="AF120" s="2"/>
      <c r="AG120" s="2"/>
      <c r="AH120" s="2"/>
      <c r="AI120" s="2"/>
      <c r="AJ120" s="2"/>
    </row>
    <row r="121" spans="1:36" ht="13.5" thickBot="1" x14ac:dyDescent="0.25">
      <c r="A121" s="58" t="s">
        <v>20</v>
      </c>
      <c r="B121" s="59"/>
      <c r="C121" s="60">
        <f>IRR(E118:H118)</f>
        <v>2.7333533360830664E-2</v>
      </c>
      <c r="F121" s="61"/>
      <c r="G121" s="2"/>
      <c r="H121" s="2"/>
      <c r="I121" s="2"/>
      <c r="J121" s="2"/>
      <c r="K121" s="2"/>
      <c r="L121" s="2"/>
      <c r="M121" s="2"/>
      <c r="N121" s="2"/>
      <c r="O121" s="2"/>
      <c r="P121" s="2"/>
      <c r="Q121" s="2"/>
      <c r="R121" s="2"/>
      <c r="Z121" s="58" t="s">
        <v>20</v>
      </c>
      <c r="AA121" s="59"/>
      <c r="AB121" s="60">
        <f>IRR(AD118:AG118)</f>
        <v>2.7333533360830664E-2</v>
      </c>
      <c r="AE121" s="61"/>
      <c r="AF121" s="2"/>
      <c r="AG121" s="2"/>
      <c r="AH121" s="2"/>
      <c r="AI121" s="2"/>
      <c r="AJ121" s="2"/>
    </row>
    <row r="122" spans="1:36" x14ac:dyDescent="0.2">
      <c r="A122" s="2"/>
      <c r="B122" s="2"/>
      <c r="C122" s="2"/>
      <c r="D122" s="2"/>
      <c r="E122" s="36"/>
      <c r="F122" s="36"/>
      <c r="G122" s="2"/>
      <c r="H122" s="2"/>
      <c r="I122" s="2"/>
      <c r="J122" s="2"/>
      <c r="K122" s="2"/>
      <c r="L122" s="2"/>
      <c r="M122" s="2"/>
      <c r="N122" s="2"/>
      <c r="O122" s="2"/>
      <c r="P122" s="2"/>
      <c r="Q122" s="2"/>
      <c r="R122" s="2"/>
      <c r="Z122" s="2"/>
      <c r="AA122" s="2"/>
      <c r="AB122" s="2"/>
      <c r="AC122" s="2"/>
      <c r="AD122" s="36"/>
      <c r="AE122" s="36"/>
      <c r="AF122" s="2"/>
      <c r="AG122" s="2"/>
      <c r="AH122" s="2"/>
      <c r="AI122" s="2"/>
      <c r="AJ122" s="2"/>
    </row>
    <row r="123" spans="1:36" ht="13.5" thickBot="1" x14ac:dyDescent="0.25">
      <c r="A123" s="2"/>
      <c r="B123" s="2"/>
      <c r="C123" s="61" t="s">
        <v>76</v>
      </c>
      <c r="D123" s="2"/>
      <c r="E123" s="97" t="s">
        <v>17</v>
      </c>
      <c r="F123" s="97"/>
      <c r="G123" s="97"/>
      <c r="H123" s="97"/>
      <c r="I123" s="97"/>
      <c r="J123" s="2"/>
      <c r="K123" s="2"/>
      <c r="L123" s="2"/>
      <c r="M123" s="2"/>
      <c r="N123" s="2"/>
      <c r="O123" s="2"/>
      <c r="P123" s="2"/>
      <c r="Q123" s="2"/>
      <c r="R123" s="2"/>
      <c r="Z123" s="2"/>
      <c r="AA123" s="2"/>
      <c r="AB123" s="61" t="s">
        <v>76</v>
      </c>
      <c r="AC123" s="2"/>
      <c r="AD123" s="97" t="s">
        <v>17</v>
      </c>
      <c r="AE123" s="97"/>
      <c r="AF123" s="97"/>
      <c r="AG123" s="97"/>
      <c r="AH123" s="97"/>
      <c r="AI123" s="2"/>
      <c r="AJ123" s="2"/>
    </row>
    <row r="124" spans="1:36" ht="15.75" x14ac:dyDescent="0.25">
      <c r="A124" s="45" t="s">
        <v>28</v>
      </c>
      <c r="B124" s="2"/>
      <c r="C124" s="2"/>
      <c r="D124" s="2"/>
      <c r="E124" s="62">
        <v>0</v>
      </c>
      <c r="F124" s="62">
        <v>1</v>
      </c>
      <c r="G124" s="62">
        <v>2</v>
      </c>
      <c r="H124" s="62">
        <v>3</v>
      </c>
      <c r="I124" s="62"/>
      <c r="J124" s="2"/>
      <c r="K124" s="2"/>
      <c r="L124" s="2"/>
      <c r="M124" s="2"/>
      <c r="N124" s="2"/>
      <c r="O124" s="2"/>
      <c r="P124" s="2"/>
      <c r="Q124" s="2"/>
      <c r="R124" s="2"/>
      <c r="Z124" s="45" t="s">
        <v>28</v>
      </c>
      <c r="AA124" s="2"/>
      <c r="AB124" s="2"/>
      <c r="AC124" s="2"/>
      <c r="AD124" s="62">
        <v>0</v>
      </c>
      <c r="AE124" s="62">
        <v>1</v>
      </c>
      <c r="AF124" s="62">
        <v>2</v>
      </c>
      <c r="AG124" s="62">
        <v>3</v>
      </c>
      <c r="AH124" s="62"/>
      <c r="AI124" s="2"/>
      <c r="AJ124" s="2"/>
    </row>
    <row r="125" spans="1:36" x14ac:dyDescent="0.2">
      <c r="A125" s="2" t="s">
        <v>18</v>
      </c>
      <c r="B125" s="2"/>
      <c r="C125" s="2"/>
      <c r="D125" s="2"/>
      <c r="E125" s="36">
        <f>E118</f>
        <v>-260000</v>
      </c>
      <c r="F125" s="36">
        <f>F118</f>
        <v>79680</v>
      </c>
      <c r="G125" s="36">
        <f>G118</f>
        <v>91200</v>
      </c>
      <c r="H125" s="36">
        <f>H118</f>
        <v>104120</v>
      </c>
      <c r="I125" s="36"/>
      <c r="J125" s="2"/>
      <c r="K125" s="73"/>
      <c r="L125" s="73"/>
      <c r="M125" s="73"/>
      <c r="N125" s="73"/>
      <c r="O125" s="73"/>
      <c r="P125" s="73"/>
      <c r="Q125" s="73"/>
      <c r="R125" s="73"/>
      <c r="Z125" s="2" t="s">
        <v>18</v>
      </c>
      <c r="AA125" s="2"/>
      <c r="AB125" s="2"/>
      <c r="AC125" s="2"/>
      <c r="AD125" s="36">
        <f>AD118</f>
        <v>-260000</v>
      </c>
      <c r="AE125" s="36">
        <f>AE118</f>
        <v>79680</v>
      </c>
      <c r="AF125" s="36">
        <f>AF118</f>
        <v>91200</v>
      </c>
      <c r="AG125" s="36">
        <f>AG118</f>
        <v>104120</v>
      </c>
      <c r="AH125" s="36"/>
      <c r="AI125" s="2"/>
      <c r="AJ125" s="73"/>
    </row>
    <row r="126" spans="1:36" x14ac:dyDescent="0.2">
      <c r="A126" s="2"/>
      <c r="B126" s="2"/>
      <c r="C126" s="2"/>
      <c r="D126" s="2"/>
      <c r="E126" s="2"/>
      <c r="F126" s="2"/>
      <c r="G126" s="2"/>
      <c r="H126" s="80">
        <f>FV(D14,H124-G124,,-G125)</f>
        <v>100320.00000000001</v>
      </c>
      <c r="I126" s="37"/>
      <c r="J126" s="2"/>
      <c r="K126" s="73"/>
      <c r="L126" s="73"/>
      <c r="M126" s="73"/>
      <c r="N126" s="73"/>
      <c r="O126" s="73"/>
      <c r="P126" s="73"/>
      <c r="Q126" s="73"/>
      <c r="R126" s="73"/>
      <c r="Z126" s="2"/>
      <c r="AA126" s="2"/>
      <c r="AB126" s="2"/>
      <c r="AC126" s="2"/>
      <c r="AD126" s="2"/>
      <c r="AE126" s="2"/>
      <c r="AF126" s="2"/>
      <c r="AG126" s="80">
        <f>FV(AC14,AG124-AF124,,-AF125)</f>
        <v>100320.00000000001</v>
      </c>
      <c r="AH126" s="37"/>
      <c r="AI126" s="2"/>
      <c r="AJ126" s="73"/>
    </row>
    <row r="127" spans="1:36" x14ac:dyDescent="0.2">
      <c r="A127" s="2"/>
      <c r="B127" s="2"/>
      <c r="C127" s="2"/>
      <c r="D127" s="2"/>
      <c r="E127" s="2"/>
      <c r="F127" s="2"/>
      <c r="G127" s="2"/>
      <c r="H127" s="80">
        <f>FV(D14,H124-F124,,-F125)</f>
        <v>96412.800000000017</v>
      </c>
      <c r="I127" s="37"/>
      <c r="J127" s="2"/>
      <c r="K127" s="73"/>
      <c r="L127" s="73"/>
      <c r="M127" s="73"/>
      <c r="N127" s="73"/>
      <c r="O127" s="73"/>
      <c r="P127" s="73"/>
      <c r="Q127" s="73"/>
      <c r="R127" s="73"/>
      <c r="Z127" s="2"/>
      <c r="AA127" s="2"/>
      <c r="AB127" s="2"/>
      <c r="AC127" s="2"/>
      <c r="AD127" s="2"/>
      <c r="AE127" s="2"/>
      <c r="AF127" s="2"/>
      <c r="AG127" s="80">
        <f>FV(AC14,AG124-AE124,,-AE125)</f>
        <v>96412.800000000017</v>
      </c>
      <c r="AH127" s="37"/>
      <c r="AI127" s="2"/>
      <c r="AJ127" s="73"/>
    </row>
    <row r="128" spans="1:36" ht="15" x14ac:dyDescent="0.35">
      <c r="A128" s="2"/>
      <c r="B128" s="2"/>
      <c r="C128" s="2"/>
      <c r="D128" s="2"/>
      <c r="E128" s="2"/>
      <c r="F128" s="2"/>
      <c r="G128" s="2"/>
      <c r="H128" s="80"/>
      <c r="I128" s="63"/>
      <c r="J128" s="2"/>
      <c r="K128" s="64"/>
      <c r="L128" s="64"/>
      <c r="M128" s="64"/>
      <c r="N128" s="64"/>
      <c r="O128" s="64"/>
      <c r="P128" s="64"/>
      <c r="Q128" s="64"/>
      <c r="R128" s="64"/>
      <c r="S128" s="81"/>
      <c r="Z128" s="2"/>
      <c r="AA128" s="2"/>
      <c r="AB128" s="2"/>
      <c r="AC128" s="2"/>
      <c r="AD128" s="2"/>
      <c r="AE128" s="2"/>
      <c r="AF128" s="2"/>
      <c r="AG128" s="80"/>
      <c r="AH128" s="63"/>
      <c r="AI128" s="2"/>
      <c r="AJ128" s="64"/>
    </row>
    <row r="129" spans="1:36" x14ac:dyDescent="0.2">
      <c r="A129" s="2"/>
      <c r="B129" s="2"/>
      <c r="C129" s="2"/>
      <c r="D129" s="65" t="s">
        <v>29</v>
      </c>
      <c r="E129" s="36">
        <f>E125</f>
        <v>-260000</v>
      </c>
      <c r="F129" s="2"/>
      <c r="G129" s="65" t="s">
        <v>21</v>
      </c>
      <c r="H129" s="36">
        <f>SUM(H125:H128)</f>
        <v>300852.80000000005</v>
      </c>
      <c r="J129" s="2"/>
      <c r="K129" s="2"/>
      <c r="L129" s="2"/>
      <c r="M129" s="2"/>
      <c r="N129" s="2"/>
      <c r="O129" s="2"/>
      <c r="P129" s="2"/>
      <c r="Q129" s="2"/>
      <c r="R129" s="2"/>
      <c r="Z129" s="2"/>
      <c r="AA129" s="2"/>
      <c r="AB129" s="2"/>
      <c r="AC129" s="65" t="s">
        <v>29</v>
      </c>
      <c r="AD129" s="36">
        <f>AD125</f>
        <v>-260000</v>
      </c>
      <c r="AE129" s="2"/>
      <c r="AF129" s="65" t="s">
        <v>21</v>
      </c>
      <c r="AG129" s="36">
        <f>SUM(AG125:AG128)</f>
        <v>300852.80000000005</v>
      </c>
      <c r="AI129" s="2"/>
      <c r="AJ129" s="2"/>
    </row>
    <row r="130" spans="1:36" x14ac:dyDescent="0.2">
      <c r="A130" s="2"/>
      <c r="B130" s="2"/>
      <c r="C130" s="2"/>
      <c r="D130" s="3"/>
      <c r="E130" s="3"/>
      <c r="F130" s="3"/>
      <c r="G130" s="3"/>
      <c r="H130" s="3"/>
      <c r="I130" s="3"/>
      <c r="J130" s="2"/>
      <c r="K130" s="2"/>
      <c r="L130" s="2"/>
      <c r="M130" s="2"/>
      <c r="N130" s="2"/>
      <c r="O130" s="2"/>
      <c r="P130" s="2"/>
      <c r="Q130" s="2"/>
      <c r="R130" s="2"/>
      <c r="Z130" s="2"/>
      <c r="AA130" s="2"/>
      <c r="AB130" s="2"/>
      <c r="AC130" s="3"/>
      <c r="AD130" s="3"/>
      <c r="AE130" s="3"/>
      <c r="AF130" s="3"/>
      <c r="AG130" s="3"/>
      <c r="AH130" s="3"/>
      <c r="AI130" s="2"/>
      <c r="AJ130" s="2"/>
    </row>
    <row r="131" spans="1:36" ht="13.5" customHeight="1" thickBot="1" x14ac:dyDescent="0.25">
      <c r="A131" s="98" t="s">
        <v>30</v>
      </c>
      <c r="B131" s="99"/>
      <c r="C131" s="99"/>
      <c r="D131" s="99"/>
      <c r="E131" s="99"/>
      <c r="F131" s="99"/>
      <c r="G131" s="99"/>
      <c r="H131" s="99"/>
      <c r="I131" s="99"/>
      <c r="J131" s="66"/>
      <c r="K131" s="82"/>
      <c r="L131" s="82"/>
      <c r="M131" s="82"/>
      <c r="N131" s="82"/>
      <c r="O131" s="82"/>
      <c r="P131" s="82"/>
      <c r="Q131" s="82"/>
      <c r="R131" s="82"/>
      <c r="Z131" s="98" t="s">
        <v>30</v>
      </c>
      <c r="AA131" s="99"/>
      <c r="AB131" s="99"/>
      <c r="AC131" s="99"/>
      <c r="AD131" s="99"/>
      <c r="AE131" s="99"/>
      <c r="AF131" s="99"/>
      <c r="AG131" s="99"/>
      <c r="AH131" s="99"/>
      <c r="AI131" s="66"/>
      <c r="AJ131" s="82"/>
    </row>
    <row r="132" spans="1:36" ht="13.5" thickBot="1" x14ac:dyDescent="0.25">
      <c r="A132" s="67" t="s">
        <v>31</v>
      </c>
      <c r="B132" s="84">
        <f>MIRR(E125:I125,D14,D14)</f>
        <v>4.9849155608281182E-2</v>
      </c>
      <c r="C132" s="83"/>
      <c r="D132" s="2"/>
      <c r="E132" s="2"/>
      <c r="F132" s="2"/>
      <c r="G132" s="2"/>
      <c r="H132" s="2"/>
      <c r="I132" s="2"/>
      <c r="J132" s="2"/>
      <c r="K132" s="2"/>
      <c r="L132" s="2"/>
      <c r="M132" s="2"/>
      <c r="N132" s="2"/>
      <c r="O132" s="2"/>
      <c r="P132" s="2"/>
      <c r="Q132" s="2"/>
      <c r="R132" s="2"/>
      <c r="Z132" s="67" t="s">
        <v>31</v>
      </c>
      <c r="AA132" s="84">
        <f>MIRR(AD125:AH125,AC14,AC14)</f>
        <v>4.9849155608281182E-2</v>
      </c>
      <c r="AB132" s="83"/>
      <c r="AC132" s="2"/>
      <c r="AD132" s="2"/>
      <c r="AE132" s="2"/>
      <c r="AF132" s="2"/>
      <c r="AG132" s="2"/>
      <c r="AH132" s="2"/>
      <c r="AI132" s="2"/>
      <c r="AJ132" s="2"/>
    </row>
    <row r="133" spans="1:36" x14ac:dyDescent="0.2">
      <c r="A133" s="2"/>
      <c r="B133" s="2"/>
      <c r="C133" s="2"/>
      <c r="D133" s="2"/>
      <c r="E133" s="2"/>
      <c r="F133" s="2"/>
      <c r="G133" s="2"/>
      <c r="H133" s="2"/>
      <c r="I133" s="2"/>
      <c r="J133" s="2"/>
      <c r="K133" s="2"/>
      <c r="L133" s="2"/>
      <c r="M133" s="2"/>
      <c r="N133" s="2"/>
      <c r="O133" s="2"/>
      <c r="P133" s="2"/>
      <c r="Q133" s="2"/>
      <c r="R133" s="2"/>
      <c r="Z133" s="2"/>
      <c r="AA133" s="2"/>
      <c r="AB133" s="2"/>
      <c r="AC133" s="2"/>
      <c r="AD133" s="2"/>
      <c r="AE133" s="2"/>
      <c r="AF133" s="2"/>
      <c r="AG133" s="2"/>
      <c r="AH133" s="2"/>
      <c r="AI133" s="2"/>
      <c r="AJ133" s="2"/>
    </row>
    <row r="134" spans="1:36" ht="16.5" thickBot="1" x14ac:dyDescent="0.3">
      <c r="A134" s="45" t="s">
        <v>32</v>
      </c>
      <c r="B134" s="2"/>
      <c r="C134" s="2"/>
      <c r="D134" s="2"/>
      <c r="E134" s="97" t="s">
        <v>17</v>
      </c>
      <c r="F134" s="97"/>
      <c r="G134" s="97"/>
      <c r="H134" s="97"/>
      <c r="I134" s="97"/>
      <c r="J134" s="2"/>
      <c r="K134" s="2"/>
      <c r="L134" s="2"/>
      <c r="M134" s="2"/>
      <c r="N134" s="2"/>
      <c r="O134" s="2"/>
      <c r="P134" s="2"/>
      <c r="Q134" s="2"/>
      <c r="R134" s="2"/>
      <c r="Z134" s="45" t="s">
        <v>32</v>
      </c>
      <c r="AA134" s="2"/>
      <c r="AB134" s="2"/>
      <c r="AC134" s="2"/>
      <c r="AD134" s="97" t="s">
        <v>17</v>
      </c>
      <c r="AE134" s="97"/>
      <c r="AF134" s="97"/>
      <c r="AG134" s="97"/>
      <c r="AH134" s="97"/>
      <c r="AI134" s="2"/>
      <c r="AJ134" s="2"/>
    </row>
    <row r="135" spans="1:36" x14ac:dyDescent="0.2">
      <c r="A135" s="2"/>
      <c r="B135" s="2"/>
      <c r="C135" s="2"/>
      <c r="D135" s="2"/>
      <c r="E135" s="62">
        <v>0</v>
      </c>
      <c r="F135" s="62">
        <v>1</v>
      </c>
      <c r="G135" s="62">
        <v>2</v>
      </c>
      <c r="H135" s="62">
        <v>3</v>
      </c>
      <c r="I135" s="62"/>
      <c r="J135" s="2"/>
      <c r="K135" s="2"/>
      <c r="L135" s="2"/>
      <c r="M135" s="2"/>
      <c r="N135" s="2"/>
      <c r="O135" s="2"/>
      <c r="P135" s="2"/>
      <c r="Q135" s="2"/>
      <c r="R135" s="2"/>
      <c r="Z135" s="2"/>
      <c r="AA135" s="2"/>
      <c r="AB135" s="2"/>
      <c r="AC135" s="2"/>
      <c r="AD135" s="62">
        <v>0</v>
      </c>
      <c r="AE135" s="62">
        <v>1</v>
      </c>
      <c r="AF135" s="62">
        <v>2</v>
      </c>
      <c r="AG135" s="62">
        <v>3</v>
      </c>
      <c r="AH135" s="62"/>
      <c r="AI135" s="2"/>
      <c r="AJ135" s="2"/>
    </row>
    <row r="136" spans="1:36" x14ac:dyDescent="0.2">
      <c r="A136" s="2" t="s">
        <v>44</v>
      </c>
      <c r="B136" s="2"/>
      <c r="C136" s="2"/>
      <c r="D136" s="2"/>
      <c r="E136" s="69">
        <f>E118</f>
        <v>-260000</v>
      </c>
      <c r="F136" s="69">
        <f>F118</f>
        <v>79680</v>
      </c>
      <c r="G136" s="69">
        <f>G118</f>
        <v>91200</v>
      </c>
      <c r="H136" s="69">
        <f>H118</f>
        <v>104120</v>
      </c>
      <c r="I136" s="69"/>
      <c r="J136" s="2"/>
      <c r="K136" s="2"/>
      <c r="L136" s="2"/>
      <c r="M136" s="2"/>
      <c r="N136" s="2"/>
      <c r="O136" s="2"/>
      <c r="P136" s="2"/>
      <c r="Q136" s="2"/>
      <c r="R136" s="2"/>
      <c r="Z136" s="2" t="s">
        <v>44</v>
      </c>
      <c r="AA136" s="2"/>
      <c r="AB136" s="2"/>
      <c r="AC136" s="2"/>
      <c r="AD136" s="69">
        <f>AD118</f>
        <v>-260000</v>
      </c>
      <c r="AE136" s="69">
        <f>AE118</f>
        <v>79680</v>
      </c>
      <c r="AF136" s="69">
        <f>AF118</f>
        <v>91200</v>
      </c>
      <c r="AG136" s="69">
        <f>AG118</f>
        <v>104120</v>
      </c>
      <c r="AH136" s="69"/>
      <c r="AI136" s="2"/>
      <c r="AJ136" s="2"/>
    </row>
    <row r="137" spans="1:36" x14ac:dyDescent="0.2">
      <c r="A137" s="2" t="s">
        <v>22</v>
      </c>
      <c r="B137" s="2"/>
      <c r="C137" s="2"/>
      <c r="D137" s="2"/>
      <c r="E137" s="69">
        <f>E136</f>
        <v>-260000</v>
      </c>
      <c r="F137" s="69">
        <f>E137+F136</f>
        <v>-180320</v>
      </c>
      <c r="G137" s="69">
        <f>F137+G136</f>
        <v>-89120</v>
      </c>
      <c r="H137" s="69">
        <f>G137+H136</f>
        <v>15000</v>
      </c>
      <c r="I137" s="69"/>
      <c r="J137" s="2"/>
      <c r="K137" s="2"/>
      <c r="L137" s="2"/>
      <c r="M137" s="2"/>
      <c r="N137" s="2"/>
      <c r="O137" s="2"/>
      <c r="P137" s="2"/>
      <c r="Q137" s="2"/>
      <c r="R137" s="2"/>
      <c r="Z137" s="2" t="s">
        <v>22</v>
      </c>
      <c r="AA137" s="2"/>
      <c r="AB137" s="2"/>
      <c r="AC137" s="2"/>
      <c r="AD137" s="69">
        <f>AD136</f>
        <v>-260000</v>
      </c>
      <c r="AE137" s="69">
        <f>AD137+AE136</f>
        <v>-180320</v>
      </c>
      <c r="AF137" s="69">
        <f>AE137+AF136</f>
        <v>-89120</v>
      </c>
      <c r="AG137" s="69">
        <f>AF137+AG136</f>
        <v>15000</v>
      </c>
      <c r="AH137" s="69"/>
      <c r="AI137" s="2"/>
      <c r="AJ137" s="2"/>
    </row>
    <row r="138" spans="1:36" ht="13.5" thickBot="1" x14ac:dyDescent="0.25">
      <c r="A138" s="70"/>
      <c r="B138" s="71"/>
      <c r="C138" s="71"/>
      <c r="D138" s="2"/>
      <c r="E138" s="2"/>
      <c r="F138" s="2"/>
      <c r="G138" s="2"/>
      <c r="H138" s="2"/>
      <c r="I138" s="2"/>
      <c r="J138" s="2"/>
      <c r="K138" s="2"/>
      <c r="L138" s="2"/>
      <c r="M138" s="2"/>
      <c r="N138" s="2"/>
      <c r="O138" s="2"/>
      <c r="P138" s="2"/>
      <c r="Q138" s="2"/>
      <c r="R138" s="2"/>
      <c r="Z138" s="70"/>
      <c r="AA138" s="71"/>
      <c r="AB138" s="71"/>
      <c r="AC138" s="2"/>
      <c r="AD138" s="2"/>
      <c r="AE138" s="2"/>
      <c r="AF138" s="2"/>
      <c r="AG138" s="2"/>
      <c r="AH138" s="2"/>
      <c r="AI138" s="2"/>
      <c r="AJ138" s="2"/>
    </row>
    <row r="139" spans="1:36" ht="13.5" thickBot="1" x14ac:dyDescent="0.25">
      <c r="A139" s="2"/>
      <c r="B139" s="2" t="s">
        <v>23</v>
      </c>
      <c r="C139" s="72">
        <f>PERCENTRANK(E137:H137,0,6)*H135</f>
        <v>2.855934</v>
      </c>
      <c r="D139" s="2"/>
      <c r="E139" s="2"/>
      <c r="F139" s="2"/>
      <c r="G139" s="2"/>
      <c r="H139" s="2"/>
      <c r="I139" s="2"/>
      <c r="J139" s="2"/>
      <c r="K139" s="2"/>
      <c r="L139" s="2"/>
      <c r="M139" s="2"/>
      <c r="N139" s="2"/>
      <c r="O139" s="2"/>
      <c r="P139" s="2"/>
      <c r="Q139" s="2"/>
      <c r="R139" s="2"/>
      <c r="Z139" s="2"/>
      <c r="AA139" s="2" t="s">
        <v>23</v>
      </c>
      <c r="AB139" s="72">
        <f>PERCENTRANK(AD137:AG137,0,6)*AG135</f>
        <v>2.855934</v>
      </c>
      <c r="AC139" s="2"/>
      <c r="AD139" s="2"/>
      <c r="AE139" s="2"/>
      <c r="AF139" s="2"/>
      <c r="AG139" s="2"/>
      <c r="AH139" s="2"/>
      <c r="AI139" s="2"/>
      <c r="AJ139" s="2"/>
    </row>
    <row r="140" spans="1:36" x14ac:dyDescent="0.2">
      <c r="A140" s="3"/>
      <c r="B140" s="3"/>
      <c r="C140" s="3"/>
      <c r="D140" s="3"/>
      <c r="E140" s="3"/>
      <c r="F140" s="3"/>
      <c r="G140" s="3"/>
      <c r="H140" s="3"/>
      <c r="I140" s="3"/>
      <c r="J140" s="3"/>
      <c r="K140" s="3"/>
      <c r="L140" s="3"/>
      <c r="M140" s="3"/>
      <c r="N140" s="3"/>
      <c r="O140" s="3"/>
      <c r="P140" s="3"/>
      <c r="Q140" s="3"/>
      <c r="R140" s="3"/>
      <c r="Z140" s="3"/>
      <c r="AA140" s="3"/>
      <c r="AB140" s="3"/>
      <c r="AC140" s="3"/>
      <c r="AD140" s="3"/>
      <c r="AE140" s="3"/>
      <c r="AF140" s="3"/>
      <c r="AG140" s="3"/>
      <c r="AH140" s="3"/>
      <c r="AI140" s="3"/>
      <c r="AJ140" s="3"/>
    </row>
    <row r="141" spans="1:36" x14ac:dyDescent="0.2">
      <c r="A141" s="3"/>
      <c r="B141" s="3"/>
      <c r="C141" s="3"/>
      <c r="D141" s="3"/>
      <c r="E141" s="3"/>
      <c r="F141" s="3"/>
      <c r="G141" s="3"/>
      <c r="H141" s="3"/>
      <c r="I141" s="3"/>
      <c r="J141" s="3"/>
      <c r="K141" s="3"/>
      <c r="L141" s="3"/>
      <c r="M141" s="3"/>
      <c r="N141" s="3"/>
      <c r="O141" s="3"/>
      <c r="P141" s="3"/>
      <c r="Q141" s="3"/>
      <c r="R141" s="3"/>
      <c r="Z141" s="3"/>
      <c r="AA141" s="3"/>
      <c r="AB141" s="3"/>
      <c r="AC141" s="3"/>
      <c r="AD141" s="3"/>
      <c r="AE141" s="3"/>
      <c r="AF141" s="3"/>
      <c r="AG141" s="3"/>
      <c r="AH141" s="3"/>
      <c r="AI141" s="3"/>
      <c r="AJ141" s="3"/>
    </row>
    <row r="142" spans="1:36" x14ac:dyDescent="0.2">
      <c r="A142" s="3"/>
      <c r="B142" s="3"/>
      <c r="C142" s="3"/>
      <c r="D142" s="3"/>
      <c r="E142" s="3"/>
      <c r="F142" s="3"/>
      <c r="G142" s="3"/>
      <c r="H142" s="3"/>
      <c r="I142" s="3"/>
      <c r="J142" s="3"/>
      <c r="K142" s="3"/>
      <c r="L142" s="3"/>
      <c r="M142" s="3"/>
      <c r="N142" s="3"/>
      <c r="O142" s="3"/>
      <c r="P142" s="3"/>
      <c r="Q142" s="3"/>
      <c r="R142" s="3"/>
      <c r="Z142" s="3"/>
      <c r="AA142" s="3"/>
      <c r="AB142" s="3"/>
      <c r="AC142" s="3"/>
      <c r="AD142" s="3"/>
      <c r="AE142" s="3"/>
      <c r="AF142" s="3"/>
      <c r="AG142" s="3"/>
      <c r="AH142" s="3"/>
      <c r="AI142" s="3"/>
      <c r="AJ142" s="3"/>
    </row>
    <row r="143" spans="1:36" x14ac:dyDescent="0.2">
      <c r="A143" s="3"/>
      <c r="B143" s="3"/>
      <c r="C143" s="3"/>
      <c r="D143" s="3"/>
      <c r="E143" s="3"/>
      <c r="F143" s="3"/>
      <c r="G143" s="3"/>
      <c r="H143" s="3"/>
      <c r="I143" s="3"/>
      <c r="J143" s="3"/>
      <c r="K143" s="3"/>
      <c r="L143" s="3"/>
      <c r="M143" s="3"/>
      <c r="N143" s="3"/>
      <c r="O143" s="3"/>
      <c r="P143" s="3"/>
      <c r="Q143" s="3"/>
      <c r="R143" s="3"/>
      <c r="Z143" s="3"/>
      <c r="AA143" s="3"/>
      <c r="AB143" s="3"/>
      <c r="AC143" s="3"/>
      <c r="AD143" s="3"/>
      <c r="AE143" s="3"/>
      <c r="AF143" s="3"/>
      <c r="AG143" s="3"/>
      <c r="AH143" s="3"/>
      <c r="AI143" s="3"/>
      <c r="AJ143" s="3"/>
    </row>
    <row r="144" spans="1:36" x14ac:dyDescent="0.2">
      <c r="A144" s="3"/>
      <c r="B144" s="3"/>
      <c r="C144" s="3"/>
      <c r="D144" s="3"/>
      <c r="E144" s="3"/>
      <c r="F144" s="3"/>
      <c r="G144" s="3"/>
      <c r="H144" s="3"/>
      <c r="I144" s="3"/>
      <c r="J144" s="3"/>
      <c r="K144" s="3"/>
      <c r="L144" s="3"/>
      <c r="M144" s="3"/>
      <c r="N144" s="3"/>
      <c r="O144" s="3"/>
      <c r="P144" s="3"/>
      <c r="Q144" s="3"/>
      <c r="R144" s="3"/>
      <c r="Z144" s="3"/>
      <c r="AA144" s="3"/>
      <c r="AB144" s="3"/>
      <c r="AC144" s="3"/>
      <c r="AD144" s="3"/>
      <c r="AE144" s="3"/>
      <c r="AF144" s="3"/>
      <c r="AG144" s="3"/>
      <c r="AH144" s="3"/>
      <c r="AI144" s="3"/>
      <c r="AJ144" s="3"/>
    </row>
    <row r="145" spans="1:36" x14ac:dyDescent="0.2">
      <c r="A145" s="3"/>
      <c r="B145" s="3"/>
      <c r="C145" s="3"/>
      <c r="D145" s="3"/>
      <c r="E145" s="3"/>
      <c r="F145" s="3"/>
      <c r="G145" s="3"/>
      <c r="H145" s="3"/>
      <c r="I145" s="3"/>
      <c r="J145" s="3"/>
      <c r="K145" s="3"/>
      <c r="L145" s="3"/>
      <c r="M145" s="3"/>
      <c r="N145" s="3"/>
      <c r="O145" s="3"/>
      <c r="P145" s="3"/>
      <c r="Q145" s="3"/>
      <c r="R145" s="3"/>
      <c r="Z145" s="3"/>
      <c r="AA145" s="3"/>
      <c r="AB145" s="3"/>
      <c r="AC145" s="3"/>
      <c r="AD145" s="3"/>
      <c r="AE145" s="3"/>
      <c r="AF145" s="3"/>
      <c r="AG145" s="3"/>
      <c r="AH145" s="3"/>
      <c r="AI145" s="3"/>
      <c r="AJ145" s="3"/>
    </row>
    <row r="146" spans="1:36" x14ac:dyDescent="0.2">
      <c r="A146" s="3"/>
      <c r="B146" s="3"/>
      <c r="C146" s="3"/>
      <c r="D146" s="3"/>
      <c r="E146" s="3"/>
      <c r="F146" s="3"/>
      <c r="G146" s="3"/>
      <c r="H146" s="3"/>
      <c r="I146" s="3"/>
      <c r="J146" s="3"/>
      <c r="K146" s="3"/>
      <c r="L146" s="3"/>
      <c r="M146" s="3"/>
      <c r="N146" s="3"/>
      <c r="O146" s="3"/>
      <c r="P146" s="3"/>
      <c r="Q146" s="3"/>
      <c r="R146" s="3"/>
    </row>
    <row r="147" spans="1:36" x14ac:dyDescent="0.2">
      <c r="A147" s="3"/>
      <c r="B147" s="3"/>
      <c r="C147" s="3"/>
      <c r="D147" s="3"/>
      <c r="E147" s="3"/>
      <c r="F147" s="3"/>
      <c r="G147" s="3"/>
      <c r="H147" s="3"/>
      <c r="I147" s="3"/>
      <c r="J147" s="3"/>
      <c r="K147" s="3"/>
      <c r="L147" s="3"/>
      <c r="M147" s="3"/>
      <c r="N147" s="3"/>
      <c r="O147" s="3"/>
      <c r="P147" s="3"/>
      <c r="Q147" s="3"/>
      <c r="R147" s="3"/>
    </row>
    <row r="148" spans="1:36" x14ac:dyDescent="0.2">
      <c r="A148" s="3"/>
      <c r="B148" s="3"/>
      <c r="C148" s="3"/>
      <c r="D148" s="3"/>
      <c r="E148" s="3"/>
      <c r="F148" s="3"/>
      <c r="G148" s="3"/>
      <c r="H148" s="3"/>
      <c r="I148" s="3"/>
      <c r="J148" s="3"/>
      <c r="K148" s="3"/>
      <c r="L148" s="3"/>
      <c r="M148" s="3"/>
      <c r="N148" s="3"/>
      <c r="O148" s="3"/>
      <c r="P148" s="3"/>
      <c r="Q148" s="3"/>
      <c r="R148" s="3"/>
    </row>
    <row r="149" spans="1:36" x14ac:dyDescent="0.2">
      <c r="A149" s="3"/>
      <c r="B149" s="3"/>
      <c r="C149" s="3"/>
      <c r="D149" s="3"/>
      <c r="E149" s="3"/>
      <c r="F149" s="3"/>
      <c r="G149" s="3"/>
      <c r="H149" s="3"/>
      <c r="I149" s="3"/>
      <c r="J149" s="3"/>
      <c r="K149" s="3"/>
      <c r="L149" s="3"/>
      <c r="M149" s="3"/>
      <c r="N149" s="3"/>
      <c r="O149" s="3"/>
      <c r="P149" s="3"/>
      <c r="Q149" s="3"/>
      <c r="R149" s="3"/>
    </row>
    <row r="150" spans="1:36" x14ac:dyDescent="0.2">
      <c r="A150" s="3"/>
      <c r="B150" s="3"/>
      <c r="C150" s="3"/>
      <c r="D150" s="3"/>
      <c r="E150" s="3"/>
      <c r="F150" s="3"/>
      <c r="G150" s="3"/>
      <c r="H150" s="3"/>
      <c r="I150" s="3"/>
      <c r="J150" s="3"/>
      <c r="K150" s="3"/>
      <c r="L150" s="3"/>
      <c r="M150" s="3"/>
      <c r="N150" s="3"/>
      <c r="O150" s="3"/>
      <c r="P150" s="3"/>
      <c r="Q150" s="3"/>
      <c r="R150" s="3"/>
    </row>
    <row r="151" spans="1:36" x14ac:dyDescent="0.2">
      <c r="A151" s="3"/>
      <c r="B151" s="3"/>
      <c r="C151" s="3"/>
      <c r="D151" s="3"/>
      <c r="E151" s="3"/>
      <c r="F151" s="3"/>
      <c r="G151" s="3"/>
      <c r="H151" s="3"/>
      <c r="I151" s="3"/>
      <c r="J151" s="3"/>
      <c r="K151" s="3"/>
      <c r="L151" s="3"/>
      <c r="M151" s="3"/>
      <c r="N151" s="3"/>
      <c r="O151" s="3"/>
      <c r="P151" s="3"/>
      <c r="Q151" s="3"/>
      <c r="R151" s="3"/>
    </row>
    <row r="152" spans="1:36" x14ac:dyDescent="0.2">
      <c r="A152" s="3"/>
      <c r="B152" s="3"/>
      <c r="C152" s="3"/>
      <c r="D152" s="3"/>
      <c r="E152" s="3"/>
      <c r="F152" s="3"/>
      <c r="G152" s="3"/>
      <c r="H152" s="3"/>
      <c r="I152" s="3"/>
      <c r="J152" s="3"/>
      <c r="K152" s="3"/>
      <c r="L152" s="3"/>
      <c r="M152" s="3"/>
      <c r="N152" s="3"/>
      <c r="O152" s="3"/>
      <c r="P152" s="3"/>
      <c r="Q152" s="3"/>
      <c r="R152" s="3"/>
    </row>
    <row r="153" spans="1:36" x14ac:dyDescent="0.2">
      <c r="A153" s="3"/>
      <c r="B153" s="3"/>
      <c r="C153" s="3"/>
      <c r="D153" s="3"/>
      <c r="E153" s="3"/>
      <c r="F153" s="3"/>
      <c r="G153" s="3"/>
      <c r="H153" s="3"/>
      <c r="I153" s="3"/>
      <c r="J153" s="3"/>
      <c r="K153" s="3"/>
      <c r="L153" s="3"/>
      <c r="M153" s="3"/>
      <c r="N153" s="3"/>
      <c r="O153" s="3"/>
      <c r="P153" s="3"/>
      <c r="Q153" s="3"/>
      <c r="R153" s="3"/>
    </row>
    <row r="154" spans="1:36" x14ac:dyDescent="0.2">
      <c r="A154" s="3"/>
      <c r="B154" s="3"/>
      <c r="C154" s="3"/>
      <c r="D154" s="3"/>
      <c r="E154" s="3"/>
      <c r="F154" s="3"/>
      <c r="G154" s="3"/>
      <c r="H154" s="3"/>
      <c r="I154" s="3"/>
      <c r="J154" s="3"/>
      <c r="K154" s="3"/>
      <c r="L154" s="3"/>
      <c r="M154" s="3"/>
      <c r="N154" s="3"/>
      <c r="O154" s="3"/>
      <c r="P154" s="3"/>
      <c r="Q154" s="3"/>
      <c r="R154" s="3"/>
    </row>
    <row r="155" spans="1:36" x14ac:dyDescent="0.2">
      <c r="A155" s="3"/>
      <c r="B155" s="3"/>
      <c r="C155" s="3"/>
      <c r="D155" s="3"/>
      <c r="E155" s="3"/>
      <c r="F155" s="3"/>
      <c r="G155" s="3"/>
      <c r="H155" s="3"/>
      <c r="I155" s="3"/>
      <c r="J155" s="3"/>
      <c r="K155" s="3"/>
      <c r="L155" s="3"/>
      <c r="M155" s="3"/>
      <c r="N155" s="3"/>
      <c r="O155" s="3"/>
      <c r="P155" s="3"/>
      <c r="Q155" s="3"/>
      <c r="R155" s="3"/>
    </row>
    <row r="156" spans="1:36" x14ac:dyDescent="0.2">
      <c r="A156" s="3"/>
      <c r="B156" s="3"/>
      <c r="C156" s="3"/>
      <c r="D156" s="3"/>
      <c r="E156" s="3"/>
      <c r="F156" s="3"/>
      <c r="G156" s="3"/>
      <c r="H156" s="3"/>
      <c r="I156" s="3"/>
      <c r="J156" s="3"/>
      <c r="K156" s="3"/>
      <c r="L156" s="3"/>
      <c r="M156" s="3"/>
      <c r="N156" s="3"/>
      <c r="O156" s="3"/>
      <c r="P156" s="3"/>
      <c r="Q156" s="3"/>
      <c r="R156" s="3"/>
    </row>
    <row r="157" spans="1:36" x14ac:dyDescent="0.2">
      <c r="A157" s="3"/>
      <c r="B157" s="3"/>
      <c r="C157" s="3"/>
      <c r="D157" s="3"/>
      <c r="E157" s="3"/>
      <c r="F157" s="3"/>
      <c r="G157" s="3"/>
      <c r="H157" s="3"/>
      <c r="I157" s="3"/>
      <c r="J157" s="3"/>
      <c r="K157" s="3"/>
      <c r="L157" s="3"/>
      <c r="M157" s="3"/>
      <c r="N157" s="3"/>
      <c r="O157" s="3"/>
      <c r="P157" s="3"/>
      <c r="Q157" s="3"/>
      <c r="R157" s="3"/>
    </row>
  </sheetData>
  <scenarios current="0" show="0" sqref="C113:C114">
    <scenario name="Base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250"/>
      <inputCells r="D16" val="200" numFmtId="6"/>
      <inputCells r="D17" val="100" numFmtId="6"/>
      <inputCells r="D18" val="0.12" numFmtId="9"/>
      <inputCells r="D19" val="0.03" numFmtId="9"/>
    </scenario>
    <scenario name="Best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600"/>
      <inputCells r="D16" val="240" numFmtId="6"/>
      <inputCells r="D17" val="100" numFmtId="6"/>
      <inputCells r="D18" val="0.12" numFmtId="9"/>
      <inputCells r="D19" val="0.03" numFmtId="9"/>
    </scenario>
    <scenario name="Worst Case" locked="1" count="12" user="Mike Ehrhardt" comment="Created by Michael C. Ehrhardt on 3/27/01_x000a_Modified by Michael C. Ehrhardt on 11/11/2001_x000a_Modifi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900"/>
      <inputCells r="D16" val="160" numFmtId="6"/>
      <inputCells r="D17" val="100" numFmtId="6"/>
      <inputCells r="D18" val="0.12" numFmtId="9"/>
      <inputCells r="D19" val="0.03" numFmtId="9"/>
    </scenario>
    <scenario name="Base-but forget inflation" locked="1" count="12" user="Mike Ehrhardt" comment="Created by Mike Ehrhardt on 5/22/2009">
      <inputCells r="D8" val="200000" numFmtId="164"/>
      <inputCells r="D9" val="10000" numFmtId="164"/>
      <inputCells r="D10" val="30000" numFmtId="164"/>
      <inputCells r="D11" val="4"/>
      <inputCells r="D12" val="25000" numFmtId="6"/>
      <inputCells r="D13" val="0.4" numFmtId="9"/>
      <inputCells r="D14" val="0.1" numFmtId="9"/>
      <inputCells r="D15" val="1250" numFmtId="3"/>
      <inputCells r="D16" val="200" numFmtId="6"/>
      <inputCells r="D17" val="100" numFmtId="6"/>
      <inputCells r="D18" val="0.12" numFmtId="9"/>
      <inputCells r="D19" val="0" numFmtId="9"/>
    </scenario>
  </scenarios>
  <mergeCells count="20">
    <mergeCell ref="A42:I43"/>
    <mergeCell ref="Z42:AH43"/>
    <mergeCell ref="A45:I45"/>
    <mergeCell ref="Z45:AH45"/>
    <mergeCell ref="F65:G65"/>
    <mergeCell ref="AE65:AF65"/>
    <mergeCell ref="A74:I75"/>
    <mergeCell ref="Z74:AH75"/>
    <mergeCell ref="E89:I89"/>
    <mergeCell ref="AD89:AH89"/>
    <mergeCell ref="A97:I97"/>
    <mergeCell ref="Z97:AH97"/>
    <mergeCell ref="E134:I134"/>
    <mergeCell ref="AD134:AH134"/>
    <mergeCell ref="E100:I100"/>
    <mergeCell ref="AD100:AH100"/>
    <mergeCell ref="E123:I123"/>
    <mergeCell ref="AD123:AH123"/>
    <mergeCell ref="A131:I131"/>
    <mergeCell ref="Z131:AH131"/>
  </mergeCells>
  <pageMargins left="0.75" right="0.75" top="1" bottom="1" header="0.5" footer="0.5"/>
  <pageSetup orientation="portrait" horizontalDpi="200" verticalDpi="200" r:id="rId1"/>
  <headerFooter alignWithMargins="0"/>
  <rowBreaks count="1" manualBreakCount="1">
    <brk id="63" max="8"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ALLIED Input sheet</vt:lpstr>
      <vt:lpstr>ALLIED LEMON </vt:lpstr>
      <vt:lpstr>ALLIED Solution</vt:lpstr>
      <vt:lpstr>'ALLIED Input sheet'!Print_Area</vt:lpstr>
      <vt:lpstr>'ALLIED LEMON '!Print_Area</vt:lpstr>
      <vt:lpstr>'ALLIED Solution'!Print_Area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Cash Flows and Risk Analysis, Mini Case Model</dc:title>
  <dc:subject>Mini Case Model</dc:subject>
  <dc:creator>Mike Ehrhardt and Bart Kreps</dc:creator>
  <cp:lastModifiedBy>Bob</cp:lastModifiedBy>
  <dcterms:created xsi:type="dcterms:W3CDTF">2001-03-19T01:06:39Z</dcterms:created>
  <dcterms:modified xsi:type="dcterms:W3CDTF">2020-11-12T21:07:56Z</dcterms:modified>
</cp:coreProperties>
</file>