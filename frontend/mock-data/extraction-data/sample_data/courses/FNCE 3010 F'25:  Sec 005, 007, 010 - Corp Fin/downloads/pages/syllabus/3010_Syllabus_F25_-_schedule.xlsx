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Z:\AAAA Busdemeter Faculty\FNCE 3010\3010F25Admin\"/>
    </mc:Choice>
  </mc:AlternateContent>
  <xr:revisionPtr revIDLastSave="0" documentId="13_ncr:1_{95568901-81A3-4920-A1C8-A62946043EB7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F2025 (2)" sheetId="16" r:id="rId1"/>
    <sheet name="F2025" sheetId="15" r:id="rId2"/>
  </sheets>
  <definedNames>
    <definedName name="_xlnm.Print_Area" localSheetId="1">'F2025'!$A$1:$L$75</definedName>
    <definedName name="_xlnm.Print_Area" localSheetId="0">'F2025 (2)'!$A$1:$L$77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" i="16" l="1"/>
  <c r="F41" i="16"/>
  <c r="F45" i="16"/>
  <c r="F50" i="16"/>
  <c r="F53" i="16"/>
  <c r="F57" i="16"/>
  <c r="F65" i="16"/>
  <c r="E40" i="16"/>
  <c r="M60" i="16"/>
  <c r="K60" i="16"/>
  <c r="K55" i="16"/>
  <c r="B52" i="16"/>
  <c r="B55" i="16" s="1"/>
  <c r="B59" i="16" s="1"/>
  <c r="B67" i="16" s="1"/>
  <c r="K52" i="16"/>
  <c r="K46" i="16"/>
  <c r="M44" i="16"/>
  <c r="K49" i="16" s="1"/>
  <c r="K43" i="16"/>
  <c r="M36" i="16"/>
  <c r="K44" i="16" s="1"/>
  <c r="K34" i="16"/>
  <c r="M32" i="16"/>
  <c r="K36" i="16" s="1"/>
  <c r="B31" i="16"/>
  <c r="B35" i="16" s="1"/>
  <c r="B43" i="16" s="1"/>
  <c r="M25" i="16"/>
  <c r="K22" i="16"/>
  <c r="M19" i="16"/>
  <c r="K23" i="16" s="1"/>
  <c r="K18" i="16"/>
  <c r="M15" i="16"/>
  <c r="K19" i="16" s="1"/>
  <c r="K14" i="16"/>
  <c r="B13" i="16"/>
  <c r="B17" i="16" s="1"/>
  <c r="B21" i="16" s="1"/>
  <c r="B25" i="16" s="1"/>
  <c r="B29" i="16" s="1"/>
  <c r="B34" i="16" s="1"/>
  <c r="B42" i="16" s="1"/>
  <c r="B46" i="16" s="1"/>
  <c r="B51" i="16" s="1"/>
  <c r="B54" i="16" s="1"/>
  <c r="B58" i="16" s="1"/>
  <c r="B66" i="16" s="1"/>
  <c r="B62" i="16" s="1"/>
  <c r="M11" i="16"/>
  <c r="K15" i="16" s="1"/>
  <c r="B10" i="16"/>
  <c r="B14" i="16" s="1"/>
  <c r="B18" i="16" s="1"/>
  <c r="B22" i="16" s="1"/>
  <c r="A9" i="16"/>
  <c r="A13" i="16" s="1"/>
  <c r="F6" i="16"/>
  <c r="F6" i="15"/>
  <c r="M56" i="15"/>
  <c r="K56" i="15"/>
  <c r="K51" i="15"/>
  <c r="B51" i="15"/>
  <c r="B55" i="15" s="1"/>
  <c r="B60" i="15" s="1"/>
  <c r="B48" i="15"/>
  <c r="K46" i="15"/>
  <c r="K44" i="15"/>
  <c r="K43" i="15"/>
  <c r="M40" i="15"/>
  <c r="K40" i="15"/>
  <c r="K39" i="15"/>
  <c r="B39" i="15"/>
  <c r="M36" i="15"/>
  <c r="B35" i="15"/>
  <c r="K34" i="15"/>
  <c r="M32" i="15"/>
  <c r="K36" i="15" s="1"/>
  <c r="B31" i="15"/>
  <c r="M25" i="15"/>
  <c r="K22" i="15"/>
  <c r="B22" i="15"/>
  <c r="B21" i="15"/>
  <c r="B25" i="15" s="1"/>
  <c r="B29" i="15" s="1"/>
  <c r="B34" i="15" s="1"/>
  <c r="B38" i="15" s="1"/>
  <c r="B42" i="15" s="1"/>
  <c r="B46" i="15" s="1"/>
  <c r="B50" i="15" s="1"/>
  <c r="B54" i="15" s="1"/>
  <c r="B59" i="15" s="1"/>
  <c r="B62" i="15" s="1"/>
  <c r="B66" i="15" s="1"/>
  <c r="M19" i="15"/>
  <c r="K23" i="15" s="1"/>
  <c r="K18" i="15"/>
  <c r="B17" i="15"/>
  <c r="M15" i="15"/>
  <c r="K19" i="15" s="1"/>
  <c r="K15" i="15"/>
  <c r="E15" i="15"/>
  <c r="K14" i="15"/>
  <c r="B13" i="15"/>
  <c r="M11" i="15"/>
  <c r="B10" i="15"/>
  <c r="B14" i="15" s="1"/>
  <c r="B18" i="15" s="1"/>
  <c r="A9" i="15"/>
  <c r="A13" i="15" s="1"/>
  <c r="A14" i="15" s="1"/>
  <c r="B39" i="16" l="1"/>
  <c r="B38" i="16"/>
  <c r="A14" i="16"/>
  <c r="E15" i="16" s="1"/>
  <c r="A17" i="16"/>
  <c r="A10" i="16"/>
  <c r="A17" i="15"/>
  <c r="A10" i="15"/>
  <c r="A21" i="16" l="1"/>
  <c r="A18" i="16"/>
  <c r="E19" i="16" s="1"/>
  <c r="A18" i="15"/>
  <c r="E19" i="15" s="1"/>
  <c r="A21" i="15"/>
  <c r="A25" i="16" l="1"/>
  <c r="A22" i="16"/>
  <c r="E23" i="16" s="1"/>
  <c r="A25" i="15"/>
  <c r="A22" i="15"/>
  <c r="E23" i="15" s="1"/>
  <c r="A29" i="16" l="1"/>
  <c r="A26" i="16"/>
  <c r="E27" i="16" s="1"/>
  <c r="A29" i="15"/>
  <c r="A26" i="15"/>
  <c r="E27" i="15" s="1"/>
  <c r="A31" i="16" l="1"/>
  <c r="A30" i="16"/>
  <c r="A34" i="16"/>
  <c r="A42" i="16" s="1"/>
  <c r="A31" i="15"/>
  <c r="A30" i="15"/>
  <c r="A34" i="15"/>
  <c r="A35" i="16" l="1"/>
  <c r="E36" i="16" s="1"/>
  <c r="A38" i="15"/>
  <c r="A35" i="15"/>
  <c r="E36" i="15" s="1"/>
  <c r="A46" i="16" l="1"/>
  <c r="A47" i="16" s="1"/>
  <c r="A43" i="16"/>
  <c r="E44" i="16" s="1"/>
  <c r="A42" i="15"/>
  <c r="A39" i="15"/>
  <c r="E40" i="15" s="1"/>
  <c r="A51" i="16" l="1"/>
  <c r="A48" i="16"/>
  <c r="E49" i="16" s="1"/>
  <c r="A46" i="15"/>
  <c r="A43" i="15"/>
  <c r="E44" i="15" s="1"/>
  <c r="A54" i="16" l="1"/>
  <c r="A52" i="16"/>
  <c r="A48" i="15"/>
  <c r="A47" i="15"/>
  <c r="A50" i="15"/>
  <c r="A58" i="16" l="1"/>
  <c r="A55" i="16"/>
  <c r="E56" i="16" s="1"/>
  <c r="A54" i="15"/>
  <c r="A51" i="15"/>
  <c r="E52" i="15" s="1"/>
  <c r="A62" i="16" l="1"/>
  <c r="A59" i="16"/>
  <c r="E60" i="16" s="1"/>
  <c r="A55" i="15"/>
  <c r="E56" i="15" s="1"/>
  <c r="A59" i="15"/>
  <c r="A62" i="15" l="1"/>
  <c r="A60" i="15"/>
  <c r="A66" i="16" l="1"/>
  <c r="A67" i="16" s="1"/>
  <c r="A72" i="16" s="1"/>
  <c r="A63" i="16"/>
  <c r="A66" i="15"/>
  <c r="A67" i="15" s="1"/>
  <c r="A70" i="15" s="1"/>
  <c r="A63" i="15"/>
  <c r="A74" i="16" l="1"/>
  <c r="A73" i="16"/>
  <c r="A72" i="15"/>
  <c r="A71" i="15"/>
</calcChain>
</file>

<file path=xl/sharedStrings.xml><?xml version="1.0" encoding="utf-8"?>
<sst xmlns="http://schemas.openxmlformats.org/spreadsheetml/2006/main" count="476" uniqueCount="135">
  <si>
    <t>Day</t>
  </si>
  <si>
    <t>Lecture Assignment</t>
  </si>
  <si>
    <t>whether present or not during the announcement, will be held accountable for the changes.</t>
  </si>
  <si>
    <t>Th</t>
  </si>
  <si>
    <t>Changes to this syllabus will be announced during class sessions and all students</t>
  </si>
  <si>
    <t>T</t>
  </si>
  <si>
    <t>CORPORATE FINANCE</t>
  </si>
  <si>
    <t>FNCE 3010</t>
  </si>
  <si>
    <t xml:space="preserve">Ch 6 Risk and Return: </t>
  </si>
  <si>
    <t>Ch 5 Bonds, Valuation&amp; Interest Rates</t>
  </si>
  <si>
    <t>Ch 4 Time Value of Money</t>
  </si>
  <si>
    <t>Ch 9 The Cost of Capital</t>
  </si>
  <si>
    <t>Ch 10 Capital Budgeting</t>
  </si>
  <si>
    <t xml:space="preserve">Ch 11 Cash Flow Estimation &amp; Risk Analysis </t>
  </si>
  <si>
    <t>Ch 15 Cap. Structure Decisions</t>
  </si>
  <si>
    <t>Ch 14 Distribs to Shareholders: Div &amp; Repurch.</t>
  </si>
  <si>
    <t xml:space="preserve">            Problems, Questions and Exercises Due: Hard Copy</t>
  </si>
  <si>
    <t xml:space="preserve">Ch 3 Analysis of Finl Stmnts; </t>
  </si>
  <si>
    <t>Ch 3 Analysis of Fin Stmnts</t>
  </si>
  <si>
    <t>Ch 18 Pub &amp; Private Financing, IPOs, I-Banking</t>
  </si>
  <si>
    <t>Ch 7 Valuation of Stocks &amp; Corporations</t>
  </si>
  <si>
    <t>Ch. 22 Mergers &amp; Corp Control</t>
  </si>
  <si>
    <t>Ch 12 Financial Planning &amp; Corp Valuation</t>
  </si>
  <si>
    <t>Ch. 21 Dynamic Capital Structures</t>
  </si>
  <si>
    <t xml:space="preserve">Friday 4:00 p.m. </t>
  </si>
  <si>
    <t>#1</t>
  </si>
  <si>
    <t>#2</t>
  </si>
  <si>
    <t>#9</t>
  </si>
  <si>
    <t>#8</t>
  </si>
  <si>
    <t>#7</t>
  </si>
  <si>
    <t>#6</t>
  </si>
  <si>
    <t>#4</t>
  </si>
  <si>
    <t>#3</t>
  </si>
  <si>
    <t xml:space="preserve">     Q 15-4, 15-8; Probs  15-1, 15-2, 15-3, 15-8, 15-9</t>
  </si>
  <si>
    <t>EXAM TIME HOMEWORK SUBMISSION #1</t>
  </si>
  <si>
    <t>EXAM TIME HOMEWORK SUBMISSION #2</t>
  </si>
  <si>
    <t>EXAM TIME HOMEWORK SUBMISSION #3</t>
  </si>
  <si>
    <t>Ch 1 – Fin Overview; Ch 2 Fin Statements, CFs, and Taxes</t>
  </si>
  <si>
    <t>-Day 1</t>
  </si>
  <si>
    <t>-Day 2</t>
  </si>
  <si>
    <t>W</t>
  </si>
  <si>
    <r>
      <t>M-Tap Excel #</t>
    </r>
    <r>
      <rPr>
        <sz val="10"/>
        <rFont val="Berlin Sans FB Demi"/>
        <family val="2"/>
      </rPr>
      <t>5</t>
    </r>
  </si>
  <si>
    <r>
      <t>M-Tap Excel #</t>
    </r>
    <r>
      <rPr>
        <sz val="10"/>
        <rFont val="Berlin Sans FB Demi"/>
        <family val="2"/>
      </rPr>
      <t>2</t>
    </r>
  </si>
  <si>
    <r>
      <t>M-Tap Excel #</t>
    </r>
    <r>
      <rPr>
        <sz val="10"/>
        <rFont val="Berlin Sans FB Demi"/>
        <family val="2"/>
      </rPr>
      <t>3</t>
    </r>
  </si>
  <si>
    <r>
      <t>M-Tap Excel #</t>
    </r>
    <r>
      <rPr>
        <sz val="10"/>
        <rFont val="Berlin Sans FB Demi"/>
        <family val="2"/>
      </rPr>
      <t>4</t>
    </r>
  </si>
  <si>
    <r>
      <t>M-Tap Excel #</t>
    </r>
    <r>
      <rPr>
        <sz val="10"/>
        <rFont val="Berlin Sans FB Demi"/>
        <family val="2"/>
      </rPr>
      <t>6</t>
    </r>
  </si>
  <si>
    <r>
      <t>M-Tap Excel #</t>
    </r>
    <r>
      <rPr>
        <sz val="10"/>
        <rFont val="Berlin Sans FB Demi"/>
        <family val="2"/>
      </rPr>
      <t>7</t>
    </r>
  </si>
  <si>
    <r>
      <t>M-Tap Excel #</t>
    </r>
    <r>
      <rPr>
        <sz val="10"/>
        <rFont val="Berlin Sans FB Demi"/>
        <family val="2"/>
      </rPr>
      <t>8</t>
    </r>
  </si>
  <si>
    <t>M-Tap Excel #9</t>
  </si>
  <si>
    <t>Ch 12 Fin Plan</t>
  </si>
  <si>
    <t>Ch  2 Financial Statements, Cash Flow, and Taxes</t>
  </si>
  <si>
    <t xml:space="preserve"> Resumes Submitted: on-line 12:00 noon</t>
  </si>
  <si>
    <t>Ch  4 Time Value of Money</t>
  </si>
  <si>
    <t>Ch  9 The Cost of Capital</t>
  </si>
  <si>
    <t>Ch  7 Valuation of Stocks &amp; Corporations</t>
  </si>
  <si>
    <t>Ch 10 Cap Budg</t>
  </si>
  <si>
    <t>Ch 11 Cf Est</t>
  </si>
  <si>
    <t>Ch 15 Cap Struct</t>
  </si>
  <si>
    <t xml:space="preserve"> </t>
  </si>
  <si>
    <t>Ch  2 Fin Stmts</t>
  </si>
  <si>
    <t>Ch  3 Analys Fin Stmts</t>
  </si>
  <si>
    <t>Ch  5 bonds</t>
  </si>
  <si>
    <t>Ch  7 Equities</t>
  </si>
  <si>
    <t>Ch  9 Cost Cap</t>
  </si>
  <si>
    <t>Ch  6 Risk Return</t>
  </si>
  <si>
    <r>
      <t xml:space="preserve">    </t>
    </r>
    <r>
      <rPr>
        <b/>
        <u/>
        <sz val="8"/>
        <rFont val="Times New Roman"/>
        <family val="1"/>
      </rPr>
      <t>Date</t>
    </r>
  </si>
  <si>
    <r>
      <t xml:space="preserve">       </t>
    </r>
    <r>
      <rPr>
        <u/>
        <sz val="9"/>
        <color rgb="FFFF0000"/>
        <rFont val="Daytona"/>
        <family val="2"/>
      </rPr>
      <t>Week  1</t>
    </r>
  </si>
  <si>
    <r>
      <t xml:space="preserve">       </t>
    </r>
    <r>
      <rPr>
        <u/>
        <sz val="9"/>
        <color rgb="FFFF0000"/>
        <rFont val="Daytona"/>
        <family val="2"/>
      </rPr>
      <t>Week  2</t>
    </r>
  </si>
  <si>
    <r>
      <t xml:space="preserve">       </t>
    </r>
    <r>
      <rPr>
        <u/>
        <sz val="9"/>
        <color rgb="FFFF0000"/>
        <rFont val="Daytona"/>
        <family val="2"/>
      </rPr>
      <t>Week  3</t>
    </r>
  </si>
  <si>
    <r>
      <t xml:space="preserve">       </t>
    </r>
    <r>
      <rPr>
        <u/>
        <sz val="9"/>
        <color rgb="FFFF0000"/>
        <rFont val="Daytona"/>
        <family val="2"/>
      </rPr>
      <t>Week  4</t>
    </r>
  </si>
  <si>
    <r>
      <t xml:space="preserve">       </t>
    </r>
    <r>
      <rPr>
        <u/>
        <sz val="9"/>
        <color rgb="FFFF0000"/>
        <rFont val="Daytona"/>
        <family val="2"/>
      </rPr>
      <t>Week  5</t>
    </r>
  </si>
  <si>
    <r>
      <t xml:space="preserve">       </t>
    </r>
    <r>
      <rPr>
        <u/>
        <sz val="9"/>
        <color rgb="FFFF0000"/>
        <rFont val="Daytona"/>
        <family val="2"/>
      </rPr>
      <t>Week  6</t>
    </r>
  </si>
  <si>
    <r>
      <t xml:space="preserve">       </t>
    </r>
    <r>
      <rPr>
        <u/>
        <sz val="9"/>
        <color rgb="FFFF0000"/>
        <rFont val="Daytona"/>
        <family val="2"/>
      </rPr>
      <t>Week  7</t>
    </r>
  </si>
  <si>
    <r>
      <t xml:space="preserve">       </t>
    </r>
    <r>
      <rPr>
        <u/>
        <sz val="9"/>
        <color rgb="FFFF0000"/>
        <rFont val="Daytona"/>
        <family val="2"/>
      </rPr>
      <t>Week  8</t>
    </r>
  </si>
  <si>
    <r>
      <t xml:space="preserve">       </t>
    </r>
    <r>
      <rPr>
        <u/>
        <sz val="9"/>
        <color rgb="FFFF0000"/>
        <rFont val="Daytona"/>
        <family val="2"/>
      </rPr>
      <t>Week  9</t>
    </r>
  </si>
  <si>
    <r>
      <t xml:space="preserve">       </t>
    </r>
    <r>
      <rPr>
        <u/>
        <sz val="9"/>
        <color rgb="FFFF0000"/>
        <rFont val="Daytona"/>
        <family val="2"/>
      </rPr>
      <t>Week  10</t>
    </r>
  </si>
  <si>
    <t xml:space="preserve">       Week  10</t>
  </si>
  <si>
    <r>
      <t xml:space="preserve">       </t>
    </r>
    <r>
      <rPr>
        <u/>
        <sz val="9"/>
        <color rgb="FFFF0000"/>
        <rFont val="Daytona"/>
        <family val="2"/>
      </rPr>
      <t>Week  11</t>
    </r>
  </si>
  <si>
    <r>
      <t xml:space="preserve">       </t>
    </r>
    <r>
      <rPr>
        <u/>
        <sz val="9"/>
        <color rgb="FFFF0000"/>
        <rFont val="Daytona"/>
        <family val="2"/>
      </rPr>
      <t>Week  12</t>
    </r>
  </si>
  <si>
    <r>
      <t xml:space="preserve">       </t>
    </r>
    <r>
      <rPr>
        <u/>
        <sz val="9"/>
        <color rgb="FFFF0000"/>
        <rFont val="Daytona"/>
        <family val="2"/>
      </rPr>
      <t>Week  13</t>
    </r>
  </si>
  <si>
    <r>
      <t xml:space="preserve">       </t>
    </r>
    <r>
      <rPr>
        <u/>
        <sz val="9"/>
        <color rgb="FFFF0000"/>
        <rFont val="Daytona"/>
        <family val="2"/>
      </rPr>
      <t>Week  14</t>
    </r>
  </si>
  <si>
    <r>
      <t xml:space="preserve">       </t>
    </r>
    <r>
      <rPr>
        <u/>
        <sz val="9"/>
        <color rgb="FFFF0000"/>
        <rFont val="Daytona"/>
        <family val="2"/>
      </rPr>
      <t>Week  15</t>
    </r>
  </si>
  <si>
    <t xml:space="preserve">Due: MindTap On-Line Quiz </t>
  </si>
  <si>
    <t xml:space="preserve">     Probs 3-6, 3-8, 3-9, 3-10, 3-11, 3-13.   Ch. 3 Handout P-set</t>
  </si>
  <si>
    <t xml:space="preserve">     Question 1-1: Finance Definitions</t>
  </si>
  <si>
    <t xml:space="preserve">     Q's 3-1, 3-2, 3-3, 3-4; Probs 3-2, 3-3, 3-4, 3-5, 3-7, </t>
  </si>
  <si>
    <t>M-Tap Excel #1</t>
  </si>
  <si>
    <t xml:space="preserve">    Probs 2-2, 2-9, 2-10, 2-13, 2-14, 2-18. Ch 2 Handout P-set</t>
  </si>
  <si>
    <t xml:space="preserve">     Q 12-1, 12-2, 12-6; Probs 12-1, 12-2, 12-3, 12-4</t>
  </si>
  <si>
    <t xml:space="preserve">     Q 7-1; Probs 7-6, 7-7, 7-8, 7-9, 7-10;  </t>
  </si>
  <si>
    <t xml:space="preserve">    Probs 7-3, 7-12, 7-13, 7-14, 7-15, 7-22, 7-23;  Ch 7 Handout P-set</t>
  </si>
  <si>
    <t xml:space="preserve">     Q 9-1, 9-3; Probs 9-2,9-4, 9-9, 9-10, 9-11; </t>
  </si>
  <si>
    <t xml:space="preserve">     Q 11-1; Probs 11-1, 11-2, 11-3, 11-6</t>
  </si>
  <si>
    <t>Q 15-1</t>
  </si>
  <si>
    <t>THANKSGIVING BREAK</t>
  </si>
  <si>
    <t xml:space="preserve">      Q 21-1; Probs  21-3, 21-4, 21-5 </t>
  </si>
  <si>
    <t xml:space="preserve">      Q 22-1: Probs 22-1, 22-2, 22-3, 22-4, 22-5 </t>
  </si>
  <si>
    <t xml:space="preserve">   "           "        "      </t>
  </si>
  <si>
    <t xml:space="preserve">      "    </t>
  </si>
  <si>
    <t>Fall 2025</t>
  </si>
  <si>
    <t>EXAM 1 -  7:00 pm - ECCS 201</t>
  </si>
  <si>
    <t>EXAM 2 -  7:00 pm - ECCS 201</t>
  </si>
  <si>
    <t>Wed</t>
  </si>
  <si>
    <t>Thu</t>
  </si>
  <si>
    <t>FNCE 3010-010 (2:00 class) FINAL EXAM  1:30 - 4:00 p.m. - KBL 125</t>
  </si>
  <si>
    <t>FNCE 3010-005 (8:00 class) FINAL EXAM  7:30 -10:00 p.m. - KBL 140</t>
  </si>
  <si>
    <t>No Class - Reading Day Break</t>
  </si>
  <si>
    <t>FNCE 3010-007 (11:00 class) FINAL EXAM 10:30 am  - 1:00 pm - KBL 140</t>
  </si>
  <si>
    <r>
      <t xml:space="preserve">  Probs  14-6,  14-7, 14-9, 14-10;   Q 18-1, Probs 18-1, 18-2,</t>
    </r>
    <r>
      <rPr>
        <b/>
        <sz val="8"/>
        <color rgb="FFFF0000"/>
        <rFont val="Times New Roman"/>
        <family val="1"/>
      </rPr>
      <t xml:space="preserve"> </t>
    </r>
    <r>
      <rPr>
        <b/>
        <u val="double"/>
        <sz val="8"/>
        <rFont val="Times New Roman"/>
        <family val="1"/>
      </rPr>
      <t>18-4</t>
    </r>
  </si>
  <si>
    <t xml:space="preserve">  Q 14-1, 14-2, 14-5; Probs 14-2, 14-3, 14-5</t>
  </si>
  <si>
    <t xml:space="preserve">     Probs 15-10, 15-11, 15-13, 15-14;  </t>
  </si>
  <si>
    <t xml:space="preserve">     Probs 10-9, 10-15, 10-17, 10-21.  Ch. 10 Handout P-set</t>
  </si>
  <si>
    <t xml:space="preserve">     Probs 9-12, 9-15, 9-16.  Ch 9 Handout P-set; Q 10-1 </t>
  </si>
  <si>
    <t xml:space="preserve">  Probs 11-7,   Ch. 11 Handout P-set</t>
  </si>
  <si>
    <t xml:space="preserve">  Q 6-1, 6-2, 6-3 6-5; Probs 6-1, 6-2, 6-3, 6-7, 6-9 thru 6-12.  Ch 6 Handout P-set.</t>
  </si>
  <si>
    <t xml:space="preserve">   Q 4-1 thru 4-5; Ps 4-14 thru 4-19</t>
  </si>
  <si>
    <t xml:space="preserve">    Probs  2-3, 2-4, 2-5, 2-6, 2-7, 2-8</t>
  </si>
  <si>
    <t xml:space="preserve">     Q 2-1 - Definitions</t>
  </si>
  <si>
    <t>Friday 4:00 p.m.                 Due:</t>
  </si>
  <si>
    <t xml:space="preserve">MindTap On-Line Quiz #5 &amp; </t>
  </si>
  <si>
    <t xml:space="preserve">     Probs 4-24, 4-25,4-26, 4-29, 4-31.  Ch 4 Handout P-set.  Q 5-1</t>
  </si>
  <si>
    <t xml:space="preserve">     Q 5-3,  Probs 5-1, 5-2, 5-3, 5-4, 5-5,  5-7, 5-8</t>
  </si>
  <si>
    <t xml:space="preserve">     Probs 12-5, 12-8.    Ch 12 Handout  P-set;   Q 6-1</t>
  </si>
  <si>
    <t xml:space="preserve">    Probs 5-11, 5-12, 5-15, 5-18, 5-19, 5-20, 5-21; Ch 5 Handout P-set. </t>
  </si>
  <si>
    <t>Ch 4 TVM</t>
  </si>
  <si>
    <t>Ch 11</t>
  </si>
  <si>
    <t>Review syllabus, schedule, &amp; admin</t>
  </si>
  <si>
    <t>Course intro, overview, requirements, &amp; expectations</t>
  </si>
  <si>
    <t xml:space="preserve">Ch 6 </t>
  </si>
  <si>
    <t>Koelbel 140 &amp; 125</t>
  </si>
  <si>
    <t>Ch 5 Bonds; Ch  7 Stocks</t>
  </si>
  <si>
    <t>Ch  7 Stocks;  Ch 9 Cost of Capital</t>
  </si>
  <si>
    <t xml:space="preserve">    Probs 7-3, 7-12, 7-13, 7-14, 7-15, 7-22, 7-23;  </t>
  </si>
  <si>
    <t>Ch 7 Handout P-set</t>
  </si>
  <si>
    <t xml:space="preserve">     Probs 10-1 thru 10-6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</si>
</sst>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>
    <font>
      <sz val="10"/>
      <name val="Arial"/>
    </font>
    <font>
      <sz val="8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u/>
      <sz val="8"/>
      <name val="Times New Roman"/>
      <family val="1"/>
    </font>
    <font>
      <b/>
      <sz val="8"/>
      <name val="Times New Roman"/>
      <family val="1"/>
    </font>
    <font>
      <i/>
      <sz val="8"/>
      <name val="Verdana"/>
      <family val="2"/>
    </font>
    <font>
      <sz val="8"/>
      <name val="Verdana"/>
      <family val="2"/>
    </font>
    <font>
      <i/>
      <sz val="8"/>
      <name val="Verdana Ref"/>
    </font>
    <font>
      <b/>
      <sz val="9"/>
      <name val="Arial"/>
      <family val="2"/>
    </font>
    <font>
      <sz val="8"/>
      <name val="Times New Roman"/>
      <family val="1"/>
    </font>
    <font>
      <b/>
      <u/>
      <sz val="10"/>
      <name val="Times New Roman"/>
      <family val="1"/>
    </font>
    <font>
      <sz val="8"/>
      <name val="Arial"/>
      <family val="2"/>
    </font>
    <font>
      <b/>
      <i/>
      <u/>
      <sz val="8"/>
      <name val="Times New Roman"/>
      <family val="1"/>
    </font>
    <font>
      <b/>
      <i/>
      <u/>
      <sz val="11"/>
      <name val="Times New Roman"/>
      <family val="1"/>
    </font>
    <font>
      <sz val="8"/>
      <name val="Berlin Sans FB Demi"/>
      <family val="2"/>
    </font>
    <font>
      <sz val="10"/>
      <name val="Berlin Sans FB Demi"/>
      <family val="2"/>
    </font>
    <font>
      <b/>
      <sz val="8"/>
      <name val="Times New Roman "/>
    </font>
    <font>
      <b/>
      <sz val="7"/>
      <name val="Times New Roman"/>
      <family val="1"/>
    </font>
    <font>
      <sz val="7"/>
      <name val="Arial"/>
      <family val="2"/>
    </font>
    <font>
      <b/>
      <u/>
      <sz val="7"/>
      <name val="Times New Roman"/>
      <family val="1"/>
    </font>
    <font>
      <i/>
      <sz val="7"/>
      <name val="Verdana"/>
      <family val="2"/>
    </font>
    <font>
      <u/>
      <sz val="9"/>
      <name val="Daytona"/>
      <family val="2"/>
    </font>
    <font>
      <sz val="9"/>
      <color rgb="FFFF0000"/>
      <name val="Daytona"/>
      <family val="2"/>
    </font>
    <font>
      <u/>
      <sz val="9"/>
      <color rgb="FFFF0000"/>
      <name val="Daytona"/>
      <family val="2"/>
    </font>
    <font>
      <b/>
      <sz val="9"/>
      <name val="Times New Roman"/>
      <family val="1"/>
    </font>
    <font>
      <b/>
      <sz val="8"/>
      <color rgb="FFFF0000"/>
      <name val="Times New Roman"/>
      <family val="1"/>
    </font>
    <font>
      <b/>
      <sz val="8"/>
      <name val="Berlin Sans FB Demi"/>
      <family val="2"/>
    </font>
    <font>
      <b/>
      <u val="double"/>
      <sz val="8"/>
      <name val="Times New Roman"/>
      <family val="1"/>
    </font>
    <font>
      <sz val="8"/>
      <color theme="0"/>
      <name val="Berlin Sans FB Demi"/>
      <family val="2"/>
    </font>
    <font>
      <b/>
      <i/>
      <sz val="12"/>
      <name val="Times New Roman"/>
      <family val="1"/>
    </font>
    <font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u/>
      <sz val="9"/>
      <name val="Times New Roman"/>
      <family val="1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16" fontId="5" fillId="0" borderId="0" xfId="0" applyNumberFormat="1" applyFont="1"/>
    <xf numFmtId="0" fontId="6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16" fontId="4" fillId="0" borderId="0" xfId="0" applyNumberFormat="1" applyFont="1" applyAlignment="1">
      <alignment horizontal="right"/>
    </xf>
    <xf numFmtId="0" fontId="11" fillId="0" borderId="0" xfId="0" applyFont="1"/>
    <xf numFmtId="0" fontId="12" fillId="0" borderId="0" xfId="0" applyFont="1"/>
    <xf numFmtId="0" fontId="3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13" fillId="0" borderId="0" xfId="0" applyFont="1"/>
    <xf numFmtId="0" fontId="4" fillId="0" borderId="0" xfId="0" applyFont="1" applyAlignment="1">
      <alignment horizontal="center"/>
    </xf>
    <xf numFmtId="0" fontId="14" fillId="0" borderId="0" xfId="0" applyFont="1"/>
    <xf numFmtId="0" fontId="11" fillId="2" borderId="0" xfId="0" applyFont="1" applyFill="1"/>
    <xf numFmtId="0" fontId="4" fillId="2" borderId="0" xfId="0" applyFont="1" applyFill="1"/>
    <xf numFmtId="0" fontId="8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0" fontId="1" fillId="0" borderId="0" xfId="0" applyFont="1"/>
    <xf numFmtId="0" fontId="17" fillId="0" borderId="0" xfId="0" applyFont="1"/>
    <xf numFmtId="0" fontId="17" fillId="0" borderId="0" xfId="0" applyFont="1" applyAlignment="1">
      <alignment horizontal="center"/>
    </xf>
    <xf numFmtId="0" fontId="0" fillId="0" borderId="0" xfId="0" quotePrefix="1"/>
    <xf numFmtId="0" fontId="18" fillId="0" borderId="0" xfId="0" applyFont="1"/>
    <xf numFmtId="0" fontId="19" fillId="0" borderId="0" xfId="0" applyFont="1"/>
    <xf numFmtId="16" fontId="20" fillId="0" borderId="0" xfId="0" applyNumberFormat="1" applyFont="1" applyAlignment="1">
      <alignment horizontal="right"/>
    </xf>
    <xf numFmtId="0" fontId="21" fillId="0" borderId="0" xfId="0" applyFont="1"/>
    <xf numFmtId="0" fontId="10" fillId="0" borderId="0" xfId="0" quotePrefix="1" applyFont="1"/>
    <xf numFmtId="0" fontId="7" fillId="0" borderId="0" xfId="0" applyFont="1"/>
    <xf numFmtId="0" fontId="22" fillId="0" borderId="0" xfId="0" applyFont="1" applyAlignment="1">
      <alignment horizontal="right"/>
    </xf>
    <xf numFmtId="0" fontId="23" fillId="0" borderId="0" xfId="0" applyFont="1" applyAlignment="1">
      <alignment horizontal="left"/>
    </xf>
    <xf numFmtId="16" fontId="20" fillId="2" borderId="0" xfId="0" applyNumberFormat="1" applyFont="1" applyFill="1" applyAlignment="1">
      <alignment horizontal="right"/>
    </xf>
    <xf numFmtId="0" fontId="15" fillId="3" borderId="0" xfId="0" applyFont="1" applyFill="1"/>
    <xf numFmtId="0" fontId="25" fillId="0" borderId="0" xfId="0" quotePrefix="1" applyFont="1"/>
    <xf numFmtId="16" fontId="18" fillId="0" borderId="0" xfId="0" applyNumberFormat="1" applyFont="1"/>
    <xf numFmtId="0" fontId="27" fillId="3" borderId="0" xfId="0" applyFont="1" applyFill="1"/>
    <xf numFmtId="0" fontId="29" fillId="0" borderId="0" xfId="0" applyFont="1"/>
    <xf numFmtId="0" fontId="30" fillId="0" borderId="0" xfId="0" applyFont="1"/>
    <xf numFmtId="0" fontId="31" fillId="0" borderId="0" xfId="0" applyFont="1"/>
    <xf numFmtId="0" fontId="33" fillId="0" borderId="0" xfId="0" applyFont="1"/>
    <xf numFmtId="0" fontId="32" fillId="0" borderId="0" xfId="0" applyFont="1"/>
    <xf numFmtId="0" fontId="34" fillId="2" borderId="0" xfId="0" applyFont="1" applyFill="1"/>
    <xf numFmtId="0" fontId="27" fillId="0" borderId="0" xfId="0" applyFont="1"/>
    <xf numFmtId="0" fontId="15" fillId="0" borderId="0" xfId="0" applyFont="1"/>
    <xf numFmtId="0" fontId="35" fillId="0" borderId="0" xfId="0" applyFont="1"/>
    <xf numFmtId="0" fontId="5" fillId="0" borderId="0" xfId="0" applyFont="1" applyAlignment="1">
      <alignment horizontal="left"/>
    </xf>
    <xf numFmtId="0" fontId="18" fillId="0" borderId="0" xfId="0" applyFont="1" applyFill="1"/>
    <xf numFmtId="0" fontId="10" fillId="0" borderId="0" xfId="0" applyFont="1" applyFill="1"/>
    <xf numFmtId="0" fontId="15" fillId="0" borderId="0" xfId="0" applyFont="1" applyFill="1"/>
    <xf numFmtId="16" fontId="20" fillId="0" borderId="0" xfId="0" applyNumberFormat="1" applyFont="1" applyFill="1" applyAlignment="1">
      <alignment horizontal="right"/>
    </xf>
    <xf numFmtId="0" fontId="11" fillId="0" borderId="0" xfId="0" applyFont="1" applyFill="1"/>
    <xf numFmtId="0" fontId="4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9012F-87B9-4173-9186-8472715B4744}">
  <sheetPr>
    <pageSetUpPr fitToPage="1"/>
  </sheetPr>
  <dimension ref="A1:AF79"/>
  <sheetViews>
    <sheetView tabSelected="1" topLeftCell="A34" zoomScale="110" zoomScaleNormal="110" workbookViewId="0">
      <selection activeCell="E49" sqref="E49"/>
    </sheetView>
  </sheetViews>
  <sheetFormatPr defaultRowHeight="12.75"/>
  <cols>
    <col min="1" max="1" width="6.5703125" customWidth="1"/>
    <col min="2" max="2" width="5.140625" customWidth="1"/>
    <col min="3" max="3" width="36" customWidth="1"/>
    <col min="4" max="4" width="5.28515625" customWidth="1"/>
    <col min="5" max="5" width="6.140625" customWidth="1"/>
    <col min="6" max="6" width="24.85546875" customWidth="1"/>
    <col min="7" max="7" width="7.140625" customWidth="1"/>
    <col min="8" max="8" width="6.140625" customWidth="1"/>
    <col min="9" max="9" width="11.7109375" customWidth="1"/>
    <col min="10" max="10" width="13.28515625" customWidth="1"/>
    <col min="11" max="11" width="4.5703125" customWidth="1"/>
    <col min="12" max="12" width="5.42578125" customWidth="1"/>
    <col min="13" max="13" width="11" hidden="1" customWidth="1"/>
    <col min="16" max="16" width="6" customWidth="1"/>
    <col min="17" max="17" width="26.140625" customWidth="1"/>
    <col min="20" max="20" width="19.42578125" customWidth="1"/>
    <col min="22" max="22" width="22.7109375" customWidth="1"/>
  </cols>
  <sheetData>
    <row r="1" spans="1:31">
      <c r="A1" s="3"/>
      <c r="F1" s="14" t="s">
        <v>7</v>
      </c>
      <c r="J1" s="1"/>
      <c r="K1" s="1"/>
      <c r="L1" s="1"/>
      <c r="M1" s="1"/>
      <c r="N1" s="1"/>
      <c r="O1" s="1"/>
      <c r="P1" s="1"/>
      <c r="Q1" s="1"/>
      <c r="R1" s="1"/>
      <c r="S1" s="1"/>
    </row>
    <row r="2" spans="1:31">
      <c r="A2" s="3"/>
      <c r="F2" s="14" t="s">
        <v>6</v>
      </c>
      <c r="H2" s="2"/>
      <c r="J2" s="1"/>
      <c r="K2" s="1"/>
      <c r="L2" s="1"/>
      <c r="M2" s="1"/>
      <c r="N2" s="1"/>
      <c r="O2" s="1"/>
      <c r="P2" s="1"/>
      <c r="Q2" s="1"/>
      <c r="R2" s="1"/>
      <c r="S2" s="1"/>
    </row>
    <row r="3" spans="1:31">
      <c r="A3" s="3"/>
      <c r="E3" s="23"/>
      <c r="F3" s="14" t="s">
        <v>99</v>
      </c>
      <c r="J3" s="1"/>
      <c r="K3" s="1"/>
      <c r="L3" s="1"/>
      <c r="M3" s="1"/>
      <c r="N3" s="1"/>
      <c r="O3" s="1"/>
      <c r="P3" s="1"/>
      <c r="Q3" s="1"/>
      <c r="R3" s="1"/>
      <c r="S3" s="1"/>
    </row>
    <row r="4" spans="1:31">
      <c r="A4" s="3"/>
      <c r="E4" s="23"/>
      <c r="F4" s="14" t="s">
        <v>129</v>
      </c>
      <c r="J4" s="1"/>
      <c r="K4" s="1"/>
      <c r="L4" s="1"/>
      <c r="M4" s="1"/>
      <c r="N4" s="1"/>
      <c r="O4" s="1"/>
      <c r="P4" s="1"/>
      <c r="Q4" s="1"/>
      <c r="R4" s="1"/>
      <c r="S4" s="1"/>
    </row>
    <row r="5" spans="1:31">
      <c r="A5" s="5" t="s">
        <v>65</v>
      </c>
      <c r="B5" s="4" t="s">
        <v>0</v>
      </c>
      <c r="C5" s="4" t="s">
        <v>1</v>
      </c>
      <c r="D5" s="4"/>
      <c r="E5" s="4"/>
      <c r="F5" s="4" t="s">
        <v>16</v>
      </c>
      <c r="J5" s="1"/>
      <c r="K5" s="1"/>
      <c r="L5" s="1"/>
      <c r="M5" s="1"/>
      <c r="N5" s="1"/>
      <c r="O5" s="5"/>
      <c r="P5" s="4"/>
      <c r="Q5" s="4"/>
      <c r="R5" s="4"/>
      <c r="S5" s="4"/>
      <c r="T5" s="5"/>
      <c r="U5" s="4"/>
      <c r="V5" s="4"/>
      <c r="W5" s="4"/>
      <c r="X5" s="4"/>
      <c r="Y5" s="4"/>
      <c r="AC5" s="1"/>
      <c r="AD5" s="1"/>
      <c r="AE5" s="1"/>
    </row>
    <row r="6" spans="1:31" ht="15.75" customHeight="1">
      <c r="A6" s="6"/>
      <c r="B6" s="5"/>
      <c r="C6" s="34" t="s">
        <v>66</v>
      </c>
      <c r="D6" s="5"/>
      <c r="E6" s="5"/>
      <c r="F6" s="48" t="str">
        <f>C6</f>
        <v xml:space="preserve">       Week  1</v>
      </c>
      <c r="H6" s="49"/>
      <c r="I6" s="49"/>
      <c r="J6" s="10"/>
      <c r="K6" s="10"/>
      <c r="L6" s="1"/>
      <c r="M6" s="1"/>
      <c r="O6" s="6"/>
      <c r="P6" s="5"/>
      <c r="R6" s="5"/>
      <c r="S6" s="5"/>
      <c r="T6" s="6"/>
      <c r="U6" s="5"/>
      <c r="V6" s="5"/>
      <c r="W6" s="5"/>
      <c r="X6" s="5"/>
      <c r="AC6" s="1"/>
      <c r="AD6" s="1"/>
      <c r="AE6" s="1"/>
    </row>
    <row r="7" spans="1:31">
      <c r="A7" s="6">
        <v>45890</v>
      </c>
      <c r="B7" s="5" t="s">
        <v>3</v>
      </c>
      <c r="C7" s="49" t="s">
        <v>127</v>
      </c>
      <c r="D7" s="31"/>
      <c r="E7" s="27"/>
      <c r="F7" s="5" t="s">
        <v>126</v>
      </c>
      <c r="H7" s="5"/>
      <c r="I7" s="5"/>
      <c r="J7" s="31"/>
      <c r="K7" s="5"/>
      <c r="L7" s="1"/>
      <c r="M7" s="1"/>
      <c r="O7" s="6"/>
      <c r="P7" s="5"/>
      <c r="Q7" s="5"/>
      <c r="S7" s="31"/>
      <c r="T7" s="6"/>
      <c r="U7" s="5"/>
      <c r="V7" s="5"/>
      <c r="W7" s="31"/>
      <c r="X7" s="27"/>
      <c r="Y7" s="5"/>
      <c r="AC7" s="1"/>
      <c r="AD7" s="1"/>
      <c r="AE7" s="1"/>
    </row>
    <row r="8" spans="1:31" ht="14.25">
      <c r="A8" s="33"/>
      <c r="C8" s="34" t="s">
        <v>67</v>
      </c>
      <c r="D8" s="23"/>
      <c r="E8" s="28"/>
      <c r="F8" s="34" t="s">
        <v>67</v>
      </c>
      <c r="G8" s="10"/>
      <c r="H8" s="5"/>
      <c r="I8" s="5"/>
      <c r="J8" s="31"/>
      <c r="K8" s="5"/>
      <c r="L8" s="24"/>
      <c r="M8" s="24"/>
      <c r="O8" s="33"/>
      <c r="Q8" s="34"/>
      <c r="R8" s="23"/>
      <c r="S8" s="23"/>
      <c r="T8" s="33"/>
      <c r="V8" s="34"/>
      <c r="W8" s="23"/>
      <c r="X8" s="28"/>
      <c r="Y8" s="34"/>
      <c r="Z8" s="10"/>
      <c r="AA8" s="10"/>
      <c r="AB8" s="10"/>
      <c r="AC8" s="1"/>
      <c r="AD8" s="1"/>
      <c r="AE8" s="24"/>
    </row>
    <row r="9" spans="1:31">
      <c r="A9" s="6">
        <f>+A7+5</f>
        <v>45895</v>
      </c>
      <c r="B9" s="5" t="s">
        <v>5</v>
      </c>
      <c r="C9" s="5" t="s">
        <v>37</v>
      </c>
      <c r="D9" s="31"/>
      <c r="E9" s="27"/>
      <c r="F9" s="5" t="s">
        <v>84</v>
      </c>
      <c r="H9" s="10"/>
      <c r="I9" s="10"/>
      <c r="J9" s="10"/>
      <c r="K9" s="11"/>
      <c r="L9" s="24"/>
      <c r="M9" s="24"/>
      <c r="O9" s="6"/>
      <c r="P9" s="5"/>
      <c r="Q9" s="5"/>
      <c r="R9" s="31"/>
      <c r="S9" s="31"/>
      <c r="T9" s="6"/>
      <c r="U9" s="5"/>
      <c r="V9" s="5"/>
      <c r="W9" s="31"/>
      <c r="X9" s="27"/>
      <c r="Y9" s="5"/>
      <c r="Z9" s="10"/>
      <c r="AC9" s="1"/>
      <c r="AD9" s="5"/>
      <c r="AE9" s="24"/>
    </row>
    <row r="10" spans="1:31">
      <c r="A10" s="6">
        <f>+A9+2</f>
        <v>45897</v>
      </c>
      <c r="B10" s="5" t="str">
        <f>+B7</f>
        <v>Th</v>
      </c>
      <c r="C10" s="5" t="s">
        <v>50</v>
      </c>
      <c r="D10" s="31" t="s">
        <v>38</v>
      </c>
      <c r="E10" s="27"/>
      <c r="F10" s="5" t="s">
        <v>117</v>
      </c>
      <c r="L10" s="26" t="s">
        <v>58</v>
      </c>
      <c r="M10" s="24" t="s">
        <v>59</v>
      </c>
      <c r="O10" s="6"/>
      <c r="P10" s="5"/>
      <c r="Q10" s="5"/>
      <c r="S10" s="31"/>
      <c r="T10" s="6"/>
      <c r="U10" s="5"/>
      <c r="V10" s="5"/>
      <c r="W10" s="31"/>
      <c r="X10" s="27"/>
      <c r="Y10" s="5"/>
      <c r="Z10" s="10"/>
      <c r="AA10" s="10"/>
      <c r="AB10" s="10"/>
      <c r="AC10" s="46"/>
      <c r="AD10" s="5"/>
      <c r="AE10" s="26"/>
    </row>
    <row r="11" spans="1:31" ht="14.25">
      <c r="A11" s="33"/>
      <c r="D11" s="23"/>
      <c r="E11" s="29"/>
      <c r="L11" s="26" t="s">
        <v>58</v>
      </c>
      <c r="M11" s="24" t="str">
        <f>M10</f>
        <v>Ch  2 Fin Stmts</v>
      </c>
      <c r="O11" s="33"/>
      <c r="R11" s="23"/>
      <c r="S11" s="23"/>
      <c r="T11" s="33"/>
      <c r="W11" s="23"/>
      <c r="X11" s="29"/>
      <c r="Y11" s="12"/>
      <c r="Z11" s="12"/>
      <c r="AA11" s="4"/>
      <c r="AB11" s="12"/>
      <c r="AC11" s="12"/>
      <c r="AD11" s="5"/>
      <c r="AE11" s="26"/>
    </row>
    <row r="12" spans="1:31" ht="14.25">
      <c r="A12" s="33"/>
      <c r="C12" s="34" t="s">
        <v>68</v>
      </c>
      <c r="D12" s="23"/>
      <c r="E12" s="29"/>
      <c r="F12" s="34" t="s">
        <v>68</v>
      </c>
      <c r="G12" s="12"/>
      <c r="H12" s="4"/>
      <c r="I12" s="12"/>
      <c r="J12" s="12"/>
      <c r="K12" s="5"/>
      <c r="L12" s="26"/>
      <c r="M12" s="24"/>
      <c r="O12" s="33"/>
      <c r="Q12" s="34"/>
      <c r="R12" s="23"/>
      <c r="S12" s="23"/>
      <c r="T12" s="33"/>
      <c r="V12" s="34"/>
      <c r="W12" s="23"/>
      <c r="X12" s="29"/>
      <c r="Y12" s="34"/>
      <c r="Z12" s="12"/>
      <c r="AA12" s="4"/>
      <c r="AB12" s="12"/>
      <c r="AC12" s="12"/>
      <c r="AD12" s="5"/>
      <c r="AE12" s="26"/>
    </row>
    <row r="13" spans="1:31">
      <c r="A13" s="6">
        <f>+A9+7</f>
        <v>45902</v>
      </c>
      <c r="B13" s="5" t="str">
        <f>+B9</f>
        <v>T</v>
      </c>
      <c r="C13" s="5" t="s">
        <v>50</v>
      </c>
      <c r="D13" s="31" t="s">
        <v>39</v>
      </c>
      <c r="E13" s="27"/>
      <c r="F13" s="5" t="s">
        <v>116</v>
      </c>
      <c r="G13" s="10"/>
      <c r="J13" s="1"/>
      <c r="K13" s="5"/>
      <c r="L13" s="26" t="s">
        <v>58</v>
      </c>
      <c r="M13" s="24"/>
      <c r="O13" s="6"/>
      <c r="P13" s="5"/>
      <c r="Q13" s="5"/>
      <c r="R13" s="31"/>
      <c r="S13" s="31"/>
      <c r="T13" s="6"/>
      <c r="U13" s="5"/>
      <c r="V13" s="5"/>
      <c r="W13" s="31"/>
      <c r="X13" s="27"/>
      <c r="Y13" s="5"/>
      <c r="Z13" s="10"/>
      <c r="AA13" s="10"/>
      <c r="AB13" s="10"/>
      <c r="AD13" s="5"/>
      <c r="AE13" s="26"/>
    </row>
    <row r="14" spans="1:31">
      <c r="A14" s="6">
        <f>+A13+2</f>
        <v>45904</v>
      </c>
      <c r="B14" s="5" t="str">
        <f>+B10</f>
        <v>Th</v>
      </c>
      <c r="C14" s="5" t="s">
        <v>18</v>
      </c>
      <c r="D14" s="31" t="s">
        <v>38</v>
      </c>
      <c r="E14" s="27"/>
      <c r="F14" s="5" t="s">
        <v>87</v>
      </c>
      <c r="G14" s="10"/>
      <c r="H14" s="10"/>
      <c r="I14" s="10"/>
      <c r="J14" s="39" t="s">
        <v>86</v>
      </c>
      <c r="K14" s="5" t="str">
        <f>M10</f>
        <v>Ch  2 Fin Stmts</v>
      </c>
      <c r="L14" s="26" t="s">
        <v>58</v>
      </c>
      <c r="M14" s="24" t="s">
        <v>60</v>
      </c>
      <c r="O14" s="6"/>
      <c r="P14" s="5"/>
      <c r="Q14" s="5"/>
      <c r="R14" s="31"/>
      <c r="S14" s="31"/>
      <c r="T14" s="6"/>
      <c r="U14" s="5"/>
      <c r="V14" s="5"/>
      <c r="W14" s="31"/>
      <c r="X14" s="27"/>
      <c r="Y14" s="5"/>
      <c r="Z14" s="10"/>
      <c r="AA14" s="10"/>
      <c r="AB14" s="10"/>
      <c r="AC14" s="47"/>
      <c r="AD14" s="5"/>
      <c r="AE14" s="26"/>
    </row>
    <row r="15" spans="1:31" ht="14.25">
      <c r="A15" s="33"/>
      <c r="B15" s="5"/>
      <c r="D15" s="23"/>
      <c r="E15" s="35">
        <f>+A14+1</f>
        <v>45905</v>
      </c>
      <c r="F15" s="19" t="s">
        <v>24</v>
      </c>
      <c r="G15" s="19" t="s">
        <v>82</v>
      </c>
      <c r="H15" s="20"/>
      <c r="I15" s="19"/>
      <c r="J15" s="19" t="s">
        <v>25</v>
      </c>
      <c r="K15" s="5" t="str">
        <f>M11</f>
        <v>Ch  2 Fin Stmts</v>
      </c>
      <c r="L15" s="26" t="s">
        <v>58</v>
      </c>
      <c r="M15" s="24" t="str">
        <f>M14</f>
        <v>Ch  3 Analys Fin Stmts</v>
      </c>
      <c r="O15" s="33"/>
      <c r="P15" s="5"/>
      <c r="R15" s="23"/>
      <c r="S15" s="23"/>
      <c r="T15" s="33"/>
      <c r="U15" s="5"/>
      <c r="W15" s="23"/>
      <c r="X15" s="29"/>
      <c r="Y15" s="12"/>
      <c r="Z15" s="12"/>
      <c r="AA15" s="4"/>
      <c r="AB15" s="12"/>
      <c r="AC15" s="12"/>
      <c r="AD15" s="5"/>
      <c r="AE15" s="26"/>
    </row>
    <row r="16" spans="1:31" ht="14.25">
      <c r="A16" s="33"/>
      <c r="B16" s="5"/>
      <c r="C16" s="34" t="s">
        <v>69</v>
      </c>
      <c r="D16" s="23"/>
      <c r="E16" s="29"/>
      <c r="F16" s="34" t="s">
        <v>69</v>
      </c>
      <c r="G16" s="12"/>
      <c r="H16" s="4"/>
      <c r="I16" s="12"/>
      <c r="J16" s="12"/>
      <c r="K16" s="5"/>
      <c r="L16" s="26"/>
      <c r="M16" s="24"/>
      <c r="O16" s="33"/>
      <c r="P16" s="5"/>
      <c r="Q16" s="34"/>
      <c r="R16" s="23"/>
      <c r="S16" s="23"/>
      <c r="T16" s="33"/>
      <c r="U16" s="5"/>
      <c r="V16" s="34"/>
      <c r="W16" s="23"/>
      <c r="X16" s="29"/>
      <c r="Y16" s="34"/>
      <c r="Z16" s="12"/>
      <c r="AA16" s="4"/>
      <c r="AB16" s="12"/>
      <c r="AC16" s="12"/>
      <c r="AD16" s="5"/>
      <c r="AE16" s="26"/>
    </row>
    <row r="17" spans="1:31">
      <c r="A17" s="6">
        <f>+A13+7</f>
        <v>45909</v>
      </c>
      <c r="B17" s="5" t="str">
        <f>+B13</f>
        <v>T</v>
      </c>
      <c r="C17" s="5" t="s">
        <v>17</v>
      </c>
      <c r="D17" s="31" t="s">
        <v>39</v>
      </c>
      <c r="E17" s="27"/>
      <c r="F17" s="5" t="s">
        <v>85</v>
      </c>
      <c r="G17" s="10"/>
      <c r="H17" s="10"/>
      <c r="I17" s="10"/>
      <c r="K17" s="5"/>
      <c r="L17" s="26" t="s">
        <v>58</v>
      </c>
      <c r="M17" s="24"/>
      <c r="O17" s="6"/>
      <c r="P17" s="5"/>
      <c r="Q17" s="5"/>
      <c r="R17" s="31"/>
      <c r="S17" s="31"/>
      <c r="T17" s="6"/>
      <c r="U17" s="5"/>
      <c r="V17" s="5"/>
      <c r="W17" s="31"/>
      <c r="X17" s="27"/>
      <c r="Y17" s="5"/>
      <c r="Z17" s="10"/>
      <c r="AA17" s="10"/>
      <c r="AD17" s="5"/>
      <c r="AE17" s="26"/>
    </row>
    <row r="18" spans="1:31">
      <c r="A18" s="6">
        <f>+A17+2</f>
        <v>45911</v>
      </c>
      <c r="B18" s="5" t="str">
        <f>+B14</f>
        <v>Th</v>
      </c>
      <c r="C18" s="5" t="s">
        <v>22</v>
      </c>
      <c r="D18" s="31" t="s">
        <v>38</v>
      </c>
      <c r="E18" s="27"/>
      <c r="F18" s="5" t="s">
        <v>83</v>
      </c>
      <c r="G18" s="10"/>
      <c r="H18" s="10"/>
      <c r="I18" s="10"/>
      <c r="J18" s="36" t="s">
        <v>42</v>
      </c>
      <c r="K18" s="5" t="str">
        <f>M14</f>
        <v>Ch  3 Analys Fin Stmts</v>
      </c>
      <c r="L18" s="26" t="s">
        <v>58</v>
      </c>
      <c r="M18" s="24" t="s">
        <v>49</v>
      </c>
      <c r="O18" s="6"/>
      <c r="P18" s="5"/>
      <c r="Q18" s="5"/>
      <c r="R18" s="31"/>
      <c r="S18" s="31"/>
      <c r="T18" s="6"/>
      <c r="U18" s="5"/>
      <c r="V18" s="5"/>
      <c r="W18" s="31"/>
      <c r="X18" s="27"/>
      <c r="Y18" s="5"/>
      <c r="Z18" s="10"/>
      <c r="AA18" s="10"/>
      <c r="AC18" s="47"/>
      <c r="AD18" s="5"/>
      <c r="AE18" s="26"/>
    </row>
    <row r="19" spans="1:31" ht="14.25">
      <c r="A19" s="33"/>
      <c r="B19" s="5"/>
      <c r="D19" s="23"/>
      <c r="E19" s="35">
        <f>+A18+1</f>
        <v>45912</v>
      </c>
      <c r="F19" s="19" t="s">
        <v>24</v>
      </c>
      <c r="G19" s="19" t="s">
        <v>82</v>
      </c>
      <c r="H19" s="20"/>
      <c r="I19" s="19"/>
      <c r="J19" s="19" t="s">
        <v>26</v>
      </c>
      <c r="K19" s="5" t="str">
        <f>M15</f>
        <v>Ch  3 Analys Fin Stmts</v>
      </c>
      <c r="L19" s="26" t="s">
        <v>58</v>
      </c>
      <c r="M19" s="24" t="str">
        <f>M18</f>
        <v>Ch 12 Fin Plan</v>
      </c>
      <c r="O19" s="33"/>
      <c r="P19" s="5"/>
      <c r="R19" s="23"/>
      <c r="S19" s="23"/>
      <c r="T19" s="33"/>
      <c r="U19" s="5"/>
      <c r="W19" s="23"/>
      <c r="X19" s="29"/>
      <c r="Y19" s="12"/>
      <c r="Z19" s="12"/>
      <c r="AA19" s="4"/>
      <c r="AB19" s="12"/>
      <c r="AC19" s="12"/>
      <c r="AD19" s="5"/>
      <c r="AE19" s="26"/>
    </row>
    <row r="20" spans="1:31" ht="14.25">
      <c r="A20" s="33"/>
      <c r="B20" s="5"/>
      <c r="C20" s="34" t="s">
        <v>70</v>
      </c>
      <c r="D20" s="23"/>
      <c r="E20" s="29"/>
      <c r="F20" s="34" t="s">
        <v>70</v>
      </c>
      <c r="G20" s="12"/>
      <c r="H20" s="4"/>
      <c r="I20" s="12"/>
      <c r="J20" s="12"/>
      <c r="K20" s="5"/>
      <c r="L20" s="26"/>
      <c r="M20" s="24"/>
      <c r="O20" s="33"/>
      <c r="P20" s="5"/>
      <c r="Q20" s="34"/>
      <c r="R20" s="23"/>
      <c r="S20" s="23"/>
      <c r="T20" s="33"/>
      <c r="U20" s="5"/>
      <c r="V20" s="34"/>
      <c r="W20" s="23"/>
      <c r="X20" s="29"/>
      <c r="Y20" s="34"/>
      <c r="Z20" s="12"/>
      <c r="AA20" s="4"/>
      <c r="AB20" s="12"/>
      <c r="AC20" s="12"/>
      <c r="AD20" s="5"/>
      <c r="AE20" s="26"/>
    </row>
    <row r="21" spans="1:31">
      <c r="A21" s="6">
        <f>+A17+7</f>
        <v>45916</v>
      </c>
      <c r="B21" s="5" t="str">
        <f>+B17</f>
        <v>T</v>
      </c>
      <c r="C21" s="5" t="s">
        <v>22</v>
      </c>
      <c r="D21" s="31" t="s">
        <v>39</v>
      </c>
      <c r="E21" s="27"/>
      <c r="F21" s="5" t="s">
        <v>88</v>
      </c>
      <c r="G21" s="10"/>
      <c r="H21" s="10"/>
      <c r="K21" s="5"/>
      <c r="L21" s="26" t="s">
        <v>58</v>
      </c>
      <c r="M21" s="24"/>
      <c r="O21" s="6"/>
      <c r="P21" s="5"/>
      <c r="Q21" s="5"/>
      <c r="R21" s="31"/>
      <c r="S21" s="31"/>
      <c r="T21" s="6"/>
      <c r="U21" s="5"/>
      <c r="V21" s="5"/>
      <c r="W21" s="31"/>
      <c r="X21" s="27"/>
      <c r="Y21" s="5"/>
      <c r="Z21" s="10"/>
      <c r="AA21" s="10"/>
      <c r="AB21" s="10"/>
      <c r="AD21" s="5"/>
      <c r="AE21" s="26"/>
    </row>
    <row r="22" spans="1:31">
      <c r="A22" s="6">
        <f>+A21+2</f>
        <v>45918</v>
      </c>
      <c r="B22" s="5" t="str">
        <f>+B18</f>
        <v>Th</v>
      </c>
      <c r="C22" s="5" t="s">
        <v>8</v>
      </c>
      <c r="D22" s="31" t="s">
        <v>38</v>
      </c>
      <c r="E22" s="27"/>
      <c r="F22" s="5" t="s">
        <v>122</v>
      </c>
      <c r="G22" s="10"/>
      <c r="H22" s="10"/>
      <c r="J22" s="36" t="s">
        <v>43</v>
      </c>
      <c r="K22" s="5" t="str">
        <f>M18</f>
        <v>Ch 12 Fin Plan</v>
      </c>
      <c r="L22" s="26" t="s">
        <v>58</v>
      </c>
      <c r="M22" s="24"/>
      <c r="O22" s="6"/>
      <c r="P22" s="5"/>
      <c r="Q22" s="5"/>
      <c r="R22" s="31"/>
      <c r="S22" s="31"/>
      <c r="T22" s="6"/>
      <c r="U22" s="5"/>
      <c r="V22" s="5"/>
      <c r="W22" s="31"/>
      <c r="X22" s="27"/>
      <c r="Y22" s="5"/>
      <c r="Z22" s="10"/>
      <c r="AA22" s="5"/>
      <c r="AB22" s="10"/>
      <c r="AD22" s="5"/>
      <c r="AE22" s="26"/>
    </row>
    <row r="23" spans="1:31" ht="14.25">
      <c r="A23" s="33"/>
      <c r="B23" s="5"/>
      <c r="C23" s="17" t="s">
        <v>51</v>
      </c>
      <c r="D23" s="23"/>
      <c r="E23" s="35">
        <f>+A22+1</f>
        <v>45919</v>
      </c>
      <c r="F23" s="19" t="s">
        <v>24</v>
      </c>
      <c r="G23" s="19" t="s">
        <v>82</v>
      </c>
      <c r="H23" s="20"/>
      <c r="I23" s="19"/>
      <c r="J23" s="19" t="s">
        <v>32</v>
      </c>
      <c r="K23" s="5" t="str">
        <f>M19</f>
        <v>Ch 12 Fin Plan</v>
      </c>
      <c r="L23" s="26" t="s">
        <v>58</v>
      </c>
      <c r="M23" s="24" t="s">
        <v>64</v>
      </c>
      <c r="O23" s="33"/>
      <c r="P23" s="5"/>
      <c r="Q23" s="17"/>
      <c r="R23" s="23"/>
      <c r="S23" s="23"/>
      <c r="T23" s="33"/>
      <c r="U23" s="5"/>
      <c r="V23" s="17"/>
      <c r="W23" s="23"/>
      <c r="X23" s="29"/>
      <c r="Y23" s="12"/>
      <c r="Z23" s="12"/>
      <c r="AA23" s="4"/>
      <c r="AB23" s="12"/>
      <c r="AC23" s="12"/>
      <c r="AD23" s="5"/>
      <c r="AE23" s="26"/>
    </row>
    <row r="24" spans="1:31" ht="14.25">
      <c r="A24" s="33"/>
      <c r="B24" s="5"/>
      <c r="C24" s="34" t="s">
        <v>71</v>
      </c>
      <c r="D24" s="17"/>
      <c r="E24" s="29"/>
      <c r="F24" s="34" t="s">
        <v>71</v>
      </c>
      <c r="G24" s="12"/>
      <c r="H24" s="4"/>
      <c r="I24" s="12"/>
      <c r="J24" s="12"/>
      <c r="K24" s="5"/>
      <c r="L24" s="26"/>
      <c r="M24" s="24"/>
      <c r="O24" s="33"/>
      <c r="P24" s="5"/>
      <c r="Q24" s="34"/>
      <c r="R24" s="17"/>
      <c r="S24" s="17"/>
      <c r="T24" s="33"/>
      <c r="U24" s="5"/>
      <c r="V24" s="34"/>
      <c r="W24" s="17"/>
      <c r="X24" s="29"/>
      <c r="Y24" s="34"/>
      <c r="Z24" s="12"/>
      <c r="AA24" s="4"/>
      <c r="AB24" s="12"/>
      <c r="AC24" s="12"/>
      <c r="AD24" s="5"/>
      <c r="AE24" s="26"/>
    </row>
    <row r="25" spans="1:31">
      <c r="A25" s="6">
        <f>+A21+7</f>
        <v>45923</v>
      </c>
      <c r="B25" s="5" t="str">
        <f>+B21</f>
        <v>T</v>
      </c>
      <c r="C25" s="5" t="s">
        <v>52</v>
      </c>
      <c r="D25" s="31" t="s">
        <v>38</v>
      </c>
      <c r="E25" s="27"/>
      <c r="F25" s="5" t="s">
        <v>114</v>
      </c>
      <c r="L25" s="26" t="s">
        <v>58</v>
      </c>
      <c r="M25" s="24" t="str">
        <f>M23</f>
        <v>Ch  6 Risk Return</v>
      </c>
      <c r="O25" s="6"/>
      <c r="P25" s="5"/>
      <c r="Q25" s="5"/>
      <c r="R25" s="31"/>
      <c r="S25" s="31"/>
      <c r="T25" s="6"/>
      <c r="U25" s="5"/>
      <c r="V25" s="5"/>
      <c r="W25" s="31"/>
      <c r="X25" s="27"/>
      <c r="Y25" s="5"/>
      <c r="Z25" s="10"/>
      <c r="AA25" s="10"/>
      <c r="AB25" s="10"/>
      <c r="AC25" s="47"/>
      <c r="AD25" s="5"/>
      <c r="AE25" s="26"/>
    </row>
    <row r="26" spans="1:31">
      <c r="A26" s="6">
        <f>+A25+2</f>
        <v>45925</v>
      </c>
      <c r="B26" s="5" t="s">
        <v>3</v>
      </c>
      <c r="C26" s="5" t="s">
        <v>10</v>
      </c>
      <c r="D26" s="31" t="s">
        <v>39</v>
      </c>
      <c r="E26" s="27"/>
      <c r="F26" s="5" t="s">
        <v>115</v>
      </c>
      <c r="G26" s="10"/>
      <c r="H26" s="10"/>
      <c r="L26" s="26" t="s">
        <v>58</v>
      </c>
      <c r="M26" s="24"/>
      <c r="O26" s="6"/>
      <c r="P26" s="5"/>
      <c r="Q26" s="5"/>
      <c r="R26" s="31"/>
      <c r="S26" s="31"/>
      <c r="T26" s="6"/>
      <c r="U26" s="5"/>
      <c r="V26" s="5"/>
      <c r="W26" s="31"/>
      <c r="X26" s="27"/>
      <c r="Y26" s="27"/>
      <c r="Z26" s="10"/>
      <c r="AA26" s="10"/>
      <c r="AD26" s="5"/>
      <c r="AE26" s="26"/>
    </row>
    <row r="27" spans="1:31">
      <c r="A27" s="6"/>
      <c r="B27" s="5"/>
      <c r="C27" s="5"/>
      <c r="D27" s="31"/>
      <c r="E27" s="35">
        <f>+A26+1</f>
        <v>45926</v>
      </c>
      <c r="F27" s="19" t="s">
        <v>24</v>
      </c>
      <c r="G27" s="19" t="s">
        <v>82</v>
      </c>
      <c r="H27" s="20"/>
      <c r="I27" s="19"/>
      <c r="J27" s="19" t="s">
        <v>31</v>
      </c>
      <c r="K27" s="5" t="s">
        <v>128</v>
      </c>
      <c r="L27" s="26"/>
      <c r="M27" s="24"/>
      <c r="O27" s="6"/>
      <c r="P27" s="5"/>
      <c r="Q27" s="5"/>
      <c r="R27" s="31"/>
      <c r="S27" s="31"/>
      <c r="T27" s="6"/>
      <c r="U27" s="5"/>
      <c r="V27" s="5"/>
      <c r="W27" s="31"/>
      <c r="X27" s="27"/>
      <c r="Y27" s="27"/>
      <c r="Z27" s="10"/>
      <c r="AA27" s="10"/>
      <c r="AD27" s="5"/>
      <c r="AE27" s="26"/>
    </row>
    <row r="28" spans="1:31" ht="14.25">
      <c r="A28" s="6"/>
      <c r="B28" s="5"/>
      <c r="C28" s="34" t="s">
        <v>72</v>
      </c>
      <c r="D28" s="23"/>
      <c r="E28" s="29"/>
      <c r="F28" s="34" t="s">
        <v>72</v>
      </c>
      <c r="G28" s="12"/>
      <c r="H28" s="4"/>
      <c r="I28" s="12"/>
      <c r="K28" s="5"/>
      <c r="L28" s="26"/>
      <c r="M28" s="24"/>
      <c r="O28" s="6"/>
      <c r="P28" s="5"/>
      <c r="Q28" s="34"/>
      <c r="R28" s="23"/>
      <c r="S28" s="23"/>
      <c r="T28" s="6"/>
      <c r="U28" s="5"/>
      <c r="V28" s="34"/>
      <c r="W28" s="23"/>
      <c r="X28" s="29"/>
      <c r="Y28" s="34"/>
      <c r="Z28" s="12"/>
      <c r="AA28" s="4"/>
      <c r="AB28" s="12"/>
      <c r="AD28" s="5"/>
      <c r="AE28" s="26"/>
    </row>
    <row r="29" spans="1:31">
      <c r="A29" s="6">
        <f>+A25+7</f>
        <v>45930</v>
      </c>
      <c r="B29" s="5" t="str">
        <f>+B25</f>
        <v>T</v>
      </c>
      <c r="C29" s="5" t="s">
        <v>9</v>
      </c>
      <c r="D29" s="31" t="s">
        <v>38</v>
      </c>
      <c r="E29" s="27"/>
      <c r="F29" s="5" t="s">
        <v>120</v>
      </c>
      <c r="G29" s="10"/>
      <c r="H29" s="10"/>
      <c r="I29" s="10"/>
      <c r="J29" s="36" t="s">
        <v>44</v>
      </c>
      <c r="K29" s="5" t="s">
        <v>124</v>
      </c>
      <c r="L29" s="26" t="s">
        <v>58</v>
      </c>
      <c r="M29" s="24"/>
      <c r="O29" s="6"/>
      <c r="P29" s="5"/>
      <c r="Q29" s="5"/>
      <c r="R29" s="31"/>
      <c r="S29" s="31"/>
      <c r="T29" s="6"/>
      <c r="U29" s="5"/>
      <c r="V29" s="5"/>
      <c r="W29" s="31"/>
      <c r="X29" s="27"/>
      <c r="Y29" s="5"/>
      <c r="Z29" s="10"/>
      <c r="AA29" s="10"/>
      <c r="AB29" s="10"/>
      <c r="AC29" s="13"/>
      <c r="AD29" s="5"/>
      <c r="AE29" s="26"/>
    </row>
    <row r="30" spans="1:31" ht="15">
      <c r="A30" s="6">
        <f>A29+1</f>
        <v>45931</v>
      </c>
      <c r="B30" s="5" t="s">
        <v>40</v>
      </c>
      <c r="C30" s="7" t="s">
        <v>100</v>
      </c>
      <c r="D30" s="32"/>
      <c r="E30" s="27"/>
      <c r="F30" s="18" t="s">
        <v>34</v>
      </c>
      <c r="G30" s="10"/>
      <c r="H30" s="10"/>
      <c r="I30" s="10"/>
      <c r="J30" s="40"/>
      <c r="K30" s="5"/>
      <c r="L30" s="26"/>
      <c r="M30" s="24"/>
      <c r="O30" s="6"/>
      <c r="P30" s="5"/>
      <c r="Q30" s="5"/>
      <c r="R30" s="31"/>
      <c r="S30" s="31"/>
      <c r="T30" s="6"/>
      <c r="U30" s="5"/>
      <c r="V30" s="5"/>
      <c r="W30" s="31"/>
      <c r="X30" s="27"/>
      <c r="Y30" s="5"/>
      <c r="Z30" s="10"/>
      <c r="AA30" s="10"/>
      <c r="AB30" s="10"/>
      <c r="AC30" s="13"/>
      <c r="AD30" s="5"/>
      <c r="AE30" s="26"/>
    </row>
    <row r="31" spans="1:31">
      <c r="A31" s="6">
        <f>+A29+2</f>
        <v>45932</v>
      </c>
      <c r="B31" s="5" t="str">
        <f>B26</f>
        <v>Th</v>
      </c>
      <c r="C31" s="5" t="s">
        <v>9</v>
      </c>
      <c r="D31" s="31" t="s">
        <v>39</v>
      </c>
      <c r="E31" s="27"/>
      <c r="F31" s="5" t="s">
        <v>121</v>
      </c>
      <c r="G31" s="10"/>
      <c r="H31" s="10"/>
      <c r="L31" s="26" t="s">
        <v>58</v>
      </c>
      <c r="M31" s="24" t="s">
        <v>61</v>
      </c>
      <c r="O31" s="6"/>
      <c r="P31" s="5"/>
      <c r="Q31" s="7"/>
      <c r="R31" s="32"/>
      <c r="S31" s="31"/>
      <c r="T31" s="6"/>
      <c r="U31" s="5"/>
      <c r="V31" s="5"/>
      <c r="W31" s="31"/>
      <c r="X31" s="27"/>
      <c r="Y31" s="27"/>
      <c r="Z31" s="10"/>
      <c r="AC31" s="47"/>
      <c r="AD31" s="5"/>
      <c r="AE31" s="26"/>
    </row>
    <row r="32" spans="1:31">
      <c r="A32" s="5"/>
      <c r="D32" s="23"/>
      <c r="E32" s="29"/>
      <c r="L32" s="26" t="s">
        <v>58</v>
      </c>
      <c r="M32" s="24" t="str">
        <f>M31</f>
        <v>Ch  5 bonds</v>
      </c>
      <c r="O32" s="6"/>
      <c r="P32" s="5"/>
      <c r="Q32" s="5"/>
      <c r="R32" s="31"/>
      <c r="S32" s="23"/>
      <c r="T32" s="5"/>
      <c r="W32" s="23"/>
      <c r="X32" s="29"/>
      <c r="Y32" s="12"/>
      <c r="Z32" s="12"/>
      <c r="AA32" s="4"/>
      <c r="AB32" s="12"/>
      <c r="AC32" s="12"/>
      <c r="AD32" s="5"/>
      <c r="AE32" s="26"/>
    </row>
    <row r="33" spans="1:32" ht="14.25">
      <c r="A33" s="5"/>
      <c r="C33" s="34" t="s">
        <v>73</v>
      </c>
      <c r="D33" s="23"/>
      <c r="E33" s="29"/>
      <c r="F33" s="34" t="s">
        <v>73</v>
      </c>
      <c r="G33" s="12"/>
      <c r="H33" s="4"/>
      <c r="I33" s="12"/>
      <c r="J33" s="12"/>
      <c r="K33" s="5"/>
      <c r="L33" s="26"/>
      <c r="M33" s="24"/>
      <c r="O33" s="5"/>
      <c r="Q33" s="34"/>
      <c r="R33" s="23"/>
      <c r="S33" s="23"/>
      <c r="T33" s="5"/>
      <c r="V33" s="34"/>
      <c r="W33" s="23"/>
      <c r="X33" s="29"/>
      <c r="Y33" s="34"/>
      <c r="Z33" s="12"/>
      <c r="AA33" s="4"/>
      <c r="AB33" s="5"/>
      <c r="AC33" s="31"/>
      <c r="AD33" s="27"/>
      <c r="AE33" s="5"/>
      <c r="AF33" s="10"/>
    </row>
    <row r="34" spans="1:32">
      <c r="A34" s="6">
        <f>+A29+7</f>
        <v>45937</v>
      </c>
      <c r="B34" s="5" t="str">
        <f>+B29</f>
        <v>T</v>
      </c>
      <c r="C34" s="5" t="s">
        <v>9</v>
      </c>
      <c r="D34" s="31" t="s">
        <v>38</v>
      </c>
      <c r="E34" s="27"/>
      <c r="F34" s="5" t="s">
        <v>123</v>
      </c>
      <c r="G34" s="10"/>
      <c r="K34" s="5" t="str">
        <f>M31</f>
        <v>Ch  5 bonds</v>
      </c>
      <c r="L34" s="26" t="s">
        <v>58</v>
      </c>
      <c r="M34" s="24"/>
      <c r="O34" s="6"/>
      <c r="P34" s="5"/>
      <c r="Q34" s="5"/>
      <c r="R34" s="31"/>
      <c r="S34" s="31"/>
      <c r="T34" s="6"/>
      <c r="U34" s="5"/>
      <c r="V34" s="5"/>
      <c r="W34" s="31"/>
      <c r="X34" s="27"/>
      <c r="Y34" s="5"/>
      <c r="Z34" s="10"/>
      <c r="AD34" s="5"/>
      <c r="AE34" s="26"/>
    </row>
    <row r="35" spans="1:32">
      <c r="A35" s="6">
        <f>+A34+2</f>
        <v>45939</v>
      </c>
      <c r="B35" s="5" t="str">
        <f>+B31</f>
        <v>Th</v>
      </c>
      <c r="C35" s="43" t="s">
        <v>106</v>
      </c>
      <c r="D35" s="31"/>
      <c r="E35" s="27"/>
      <c r="L35" s="26" t="s">
        <v>58</v>
      </c>
      <c r="M35" s="24" t="s">
        <v>62</v>
      </c>
      <c r="O35" s="6"/>
      <c r="P35" s="5"/>
      <c r="Q35" s="43"/>
      <c r="S35" s="31"/>
      <c r="T35" s="6"/>
      <c r="U35" s="5"/>
      <c r="V35" s="5"/>
      <c r="W35" s="31"/>
      <c r="X35" s="27"/>
      <c r="Y35" s="27"/>
      <c r="Z35" s="10"/>
      <c r="AA35" s="10"/>
      <c r="AB35" s="10"/>
      <c r="AC35" s="47"/>
      <c r="AD35" s="5"/>
      <c r="AE35" s="26"/>
    </row>
    <row r="36" spans="1:32">
      <c r="A36" s="5"/>
      <c r="B36" s="38"/>
      <c r="C36" s="37"/>
      <c r="D36" s="23"/>
      <c r="E36" s="35">
        <f>+A35+1</f>
        <v>45940</v>
      </c>
      <c r="F36" s="19" t="s">
        <v>118</v>
      </c>
      <c r="G36" s="45" t="s">
        <v>119</v>
      </c>
      <c r="H36" s="20"/>
      <c r="I36" s="19"/>
      <c r="J36" s="36" t="s">
        <v>41</v>
      </c>
      <c r="K36" s="5" t="str">
        <f>M32</f>
        <v>Ch  5 bonds</v>
      </c>
      <c r="L36" s="26" t="s">
        <v>58</v>
      </c>
      <c r="M36" s="24" t="str">
        <f>M35</f>
        <v>Ch  7 Equities</v>
      </c>
      <c r="O36" s="5"/>
      <c r="P36" s="38"/>
      <c r="Q36" s="37"/>
      <c r="R36" s="23"/>
      <c r="S36" s="23"/>
      <c r="T36" s="5"/>
      <c r="U36" s="38"/>
      <c r="V36" s="37"/>
      <c r="W36" s="23"/>
      <c r="X36" s="29"/>
      <c r="Y36" s="12"/>
      <c r="Z36" s="12"/>
      <c r="AA36" s="4"/>
      <c r="AB36" s="12"/>
      <c r="AC36" s="12"/>
      <c r="AD36" s="5"/>
      <c r="AE36" s="26"/>
    </row>
    <row r="37" spans="1:32" ht="14.25">
      <c r="A37" s="5"/>
      <c r="C37" s="34" t="s">
        <v>74</v>
      </c>
      <c r="D37" s="23"/>
      <c r="E37" s="29"/>
      <c r="F37" s="34" t="str">
        <f>C37</f>
        <v xml:space="preserve">       Week  9</v>
      </c>
      <c r="G37" s="12"/>
      <c r="H37" s="4"/>
      <c r="I37" s="12"/>
      <c r="J37" s="12"/>
      <c r="K37" s="5"/>
      <c r="L37" s="26"/>
      <c r="M37" s="24"/>
      <c r="O37" s="5"/>
      <c r="P37" s="38"/>
      <c r="Q37" s="37"/>
      <c r="R37" s="23"/>
      <c r="S37" s="23"/>
      <c r="T37" s="5"/>
      <c r="U37" s="38"/>
      <c r="V37" s="37"/>
      <c r="W37" s="23"/>
      <c r="X37" s="29"/>
      <c r="Y37" s="12"/>
      <c r="Z37" s="12"/>
      <c r="AA37" s="4"/>
      <c r="AB37" s="12"/>
      <c r="AC37" s="12"/>
      <c r="AD37" s="5"/>
      <c r="AE37" s="26"/>
    </row>
    <row r="38" spans="1:32">
      <c r="A38" s="6">
        <v>45944</v>
      </c>
      <c r="B38" s="5" t="str">
        <f>+B34</f>
        <v>T</v>
      </c>
      <c r="C38" s="5" t="s">
        <v>130</v>
      </c>
      <c r="D38" s="31" t="s">
        <v>39</v>
      </c>
      <c r="E38" s="27"/>
      <c r="F38" s="5"/>
      <c r="H38" s="10"/>
      <c r="K38" s="5"/>
      <c r="L38" s="26"/>
      <c r="M38" s="24"/>
      <c r="O38" s="5"/>
      <c r="P38" s="38"/>
      <c r="Q38" s="37"/>
      <c r="R38" s="23"/>
      <c r="S38" s="23"/>
      <c r="T38" s="5"/>
      <c r="U38" s="38"/>
      <c r="V38" s="37"/>
      <c r="W38" s="23"/>
      <c r="X38" s="29"/>
      <c r="Y38" s="12"/>
      <c r="Z38" s="12"/>
      <c r="AA38" s="4"/>
      <c r="AB38" s="12"/>
      <c r="AC38" s="12"/>
      <c r="AD38" s="5"/>
      <c r="AE38" s="26"/>
    </row>
    <row r="39" spans="1:32">
      <c r="A39" s="6">
        <v>45946</v>
      </c>
      <c r="B39" s="5" t="str">
        <f>+B31</f>
        <v>Th</v>
      </c>
      <c r="C39" s="5" t="s">
        <v>54</v>
      </c>
      <c r="D39" s="31" t="s">
        <v>38</v>
      </c>
      <c r="E39" s="50"/>
      <c r="F39" s="5" t="s">
        <v>89</v>
      </c>
      <c r="G39" s="51"/>
      <c r="H39" s="51"/>
      <c r="I39" s="51"/>
      <c r="J39" s="52"/>
      <c r="K39" s="5"/>
      <c r="L39" s="26"/>
      <c r="M39" s="24"/>
      <c r="O39" s="5"/>
      <c r="P39" s="38"/>
      <c r="Q39" s="37"/>
      <c r="R39" s="23"/>
      <c r="S39" s="23"/>
      <c r="T39" s="5"/>
      <c r="U39" s="38"/>
      <c r="V39" s="37"/>
      <c r="W39" s="23"/>
      <c r="X39" s="29"/>
      <c r="Y39" s="12"/>
      <c r="Z39" s="12"/>
      <c r="AA39" s="4"/>
      <c r="AB39" s="12"/>
      <c r="AC39" s="12"/>
      <c r="AD39" s="5"/>
      <c r="AE39" s="26"/>
    </row>
    <row r="40" spans="1:32">
      <c r="A40" s="5"/>
      <c r="D40" s="23"/>
      <c r="E40" s="53">
        <f>+A39+1</f>
        <v>45947</v>
      </c>
      <c r="F40" s="54"/>
      <c r="G40" s="54"/>
      <c r="H40" s="55"/>
      <c r="I40" s="54"/>
      <c r="J40" s="54"/>
      <c r="K40" s="5"/>
      <c r="L40" s="26"/>
      <c r="M40" s="24"/>
      <c r="O40" s="5"/>
      <c r="P40" s="38"/>
      <c r="Q40" s="37"/>
      <c r="R40" s="23"/>
      <c r="S40" s="23"/>
      <c r="T40" s="5"/>
      <c r="U40" s="38"/>
      <c r="V40" s="37"/>
      <c r="W40" s="23"/>
      <c r="X40" s="29"/>
      <c r="Y40" s="12"/>
      <c r="Z40" s="12"/>
      <c r="AA40" s="4"/>
      <c r="AB40" s="12"/>
      <c r="AC40" s="12"/>
      <c r="AD40" s="5"/>
      <c r="AE40" s="26"/>
    </row>
    <row r="41" spans="1:32" ht="14.25">
      <c r="A41" s="5"/>
      <c r="C41" s="34" t="s">
        <v>75</v>
      </c>
      <c r="D41" s="23"/>
      <c r="E41" s="29"/>
      <c r="F41" s="34" t="str">
        <f>C41</f>
        <v xml:space="preserve">       Week  10</v>
      </c>
      <c r="G41" s="12"/>
      <c r="H41" s="4"/>
      <c r="I41" s="12"/>
      <c r="J41" s="12"/>
      <c r="K41" s="5"/>
      <c r="L41" s="26"/>
      <c r="M41" s="24"/>
      <c r="O41" s="5"/>
      <c r="Q41" s="34"/>
      <c r="R41" s="23"/>
      <c r="S41" s="23"/>
      <c r="T41" s="5"/>
      <c r="V41" s="34"/>
      <c r="W41" s="23"/>
      <c r="X41" s="29"/>
      <c r="Y41" s="34"/>
      <c r="Z41" s="12"/>
      <c r="AA41" s="4"/>
      <c r="AB41" s="12"/>
      <c r="AC41" s="12"/>
      <c r="AD41" s="5"/>
      <c r="AE41" s="26"/>
    </row>
    <row r="42" spans="1:32">
      <c r="A42" s="6">
        <f>+A34+7+7</f>
        <v>45951</v>
      </c>
      <c r="B42" s="5" t="str">
        <f>+B34</f>
        <v>T</v>
      </c>
      <c r="C42" s="5" t="s">
        <v>131</v>
      </c>
      <c r="D42" s="31" t="s">
        <v>39</v>
      </c>
      <c r="E42" s="27"/>
      <c r="F42" s="27" t="s">
        <v>132</v>
      </c>
      <c r="G42" s="10"/>
      <c r="H42" s="10"/>
      <c r="I42" s="10"/>
      <c r="K42" s="5"/>
      <c r="L42" s="26" t="s">
        <v>58</v>
      </c>
      <c r="M42" s="24"/>
      <c r="O42" s="6"/>
      <c r="P42" s="5"/>
      <c r="Q42" s="5"/>
      <c r="R42" s="31"/>
      <c r="S42" s="31"/>
      <c r="T42" s="6"/>
      <c r="U42" s="5"/>
      <c r="V42" s="5"/>
      <c r="W42" s="31"/>
      <c r="X42" s="27"/>
      <c r="Y42" s="5"/>
      <c r="Z42" s="10"/>
      <c r="AA42" s="10"/>
      <c r="AD42" s="5"/>
      <c r="AE42" s="26"/>
    </row>
    <row r="43" spans="1:32">
      <c r="A43" s="6">
        <f>+A42+2</f>
        <v>45953</v>
      </c>
      <c r="B43" s="5" t="str">
        <f>+B35</f>
        <v>Th</v>
      </c>
      <c r="C43" s="5" t="s">
        <v>11</v>
      </c>
      <c r="D43" s="31" t="s">
        <v>38</v>
      </c>
      <c r="E43" s="27"/>
      <c r="F43" s="5" t="s">
        <v>91</v>
      </c>
      <c r="G43" s="10"/>
      <c r="H43" s="5" t="s">
        <v>133</v>
      </c>
      <c r="I43" s="10"/>
      <c r="J43" s="36" t="s">
        <v>45</v>
      </c>
      <c r="K43" s="5" t="str">
        <f>M35</f>
        <v>Ch  7 Equities</v>
      </c>
      <c r="L43" s="26" t="s">
        <v>58</v>
      </c>
      <c r="M43" s="25" t="s">
        <v>63</v>
      </c>
      <c r="O43" s="6"/>
      <c r="P43" s="5"/>
      <c r="Q43" s="5"/>
      <c r="R43" s="31"/>
      <c r="S43" s="31"/>
      <c r="T43" s="6"/>
      <c r="U43" s="5"/>
      <c r="V43" s="5"/>
      <c r="W43" s="31"/>
      <c r="X43" s="27"/>
      <c r="Y43" s="5"/>
      <c r="Z43" s="10"/>
      <c r="AA43" s="10"/>
      <c r="AB43" s="10"/>
      <c r="AC43" s="47"/>
      <c r="AD43" s="5"/>
      <c r="AE43" s="26"/>
    </row>
    <row r="44" spans="1:32">
      <c r="A44" s="5"/>
      <c r="D44" s="23"/>
      <c r="E44" s="35">
        <f>+A43+1</f>
        <v>45954</v>
      </c>
      <c r="F44" s="19" t="s">
        <v>24</v>
      </c>
      <c r="G44" s="19" t="s">
        <v>82</v>
      </c>
      <c r="H44" s="20"/>
      <c r="I44" s="19"/>
      <c r="J44" s="19" t="s">
        <v>30</v>
      </c>
      <c r="K44" s="5" t="str">
        <f>M36</f>
        <v>Ch  7 Equities</v>
      </c>
      <c r="L44" s="26" t="s">
        <v>58</v>
      </c>
      <c r="M44" s="24" t="str">
        <f>M43</f>
        <v>Ch  9 Cost Cap</v>
      </c>
      <c r="O44" s="5"/>
      <c r="S44" s="23"/>
      <c r="T44" s="5"/>
      <c r="W44" s="23"/>
      <c r="X44" s="29"/>
      <c r="Y44" s="12"/>
      <c r="Z44" s="12"/>
      <c r="AA44" s="4"/>
      <c r="AB44" s="12"/>
      <c r="AC44" s="12"/>
      <c r="AD44" s="5"/>
      <c r="AE44" s="26"/>
    </row>
    <row r="45" spans="1:32" ht="14.25">
      <c r="A45" s="5"/>
      <c r="C45" s="34" t="s">
        <v>77</v>
      </c>
      <c r="D45" s="23"/>
      <c r="E45" s="29"/>
      <c r="F45" s="34" t="str">
        <f>C45</f>
        <v xml:space="preserve">       Week  11</v>
      </c>
      <c r="G45" s="12"/>
      <c r="H45" s="4"/>
      <c r="I45" s="12"/>
      <c r="J45" s="12"/>
      <c r="K45" s="5"/>
      <c r="L45" s="26"/>
      <c r="M45" s="24"/>
      <c r="O45" s="5"/>
      <c r="Q45" s="34"/>
      <c r="R45" s="23"/>
      <c r="S45" s="23"/>
      <c r="T45" s="5"/>
      <c r="V45" s="34"/>
      <c r="W45" s="23"/>
      <c r="X45" s="29"/>
      <c r="Y45" s="34"/>
      <c r="Z45" s="12"/>
      <c r="AA45" s="4"/>
      <c r="AB45" s="12"/>
      <c r="AC45" s="12"/>
      <c r="AD45" s="5"/>
      <c r="AE45" s="26"/>
    </row>
    <row r="46" spans="1:32">
      <c r="A46" s="6">
        <f>+A42+7</f>
        <v>45958</v>
      </c>
      <c r="B46" s="5" t="str">
        <f>+B42</f>
        <v>T</v>
      </c>
      <c r="C46" s="5" t="s">
        <v>53</v>
      </c>
      <c r="D46" s="31" t="s">
        <v>39</v>
      </c>
      <c r="E46" s="27"/>
      <c r="F46" s="5" t="s">
        <v>112</v>
      </c>
      <c r="G46" s="10"/>
      <c r="H46" s="10"/>
      <c r="I46" s="10"/>
      <c r="J46" s="36" t="s">
        <v>46</v>
      </c>
      <c r="K46" s="5" t="str">
        <f>M43</f>
        <v>Ch  9 Cost Cap</v>
      </c>
      <c r="L46" s="26" t="s">
        <v>58</v>
      </c>
      <c r="M46" s="24"/>
      <c r="O46" s="6"/>
      <c r="P46" s="5"/>
      <c r="Q46" s="5"/>
      <c r="R46" s="31"/>
      <c r="S46" s="31"/>
      <c r="T46" s="6"/>
      <c r="U46" s="5"/>
      <c r="V46" s="5"/>
      <c r="W46" s="31"/>
      <c r="X46" s="27"/>
      <c r="Y46" s="5"/>
      <c r="Z46" s="10"/>
      <c r="AA46" s="10"/>
      <c r="AB46" s="10"/>
      <c r="AD46" s="5"/>
      <c r="AE46" s="26"/>
    </row>
    <row r="47" spans="1:32" ht="15">
      <c r="A47" s="6">
        <f>A46+1</f>
        <v>45959</v>
      </c>
      <c r="B47" s="5" t="s">
        <v>40</v>
      </c>
      <c r="C47" s="7" t="s">
        <v>101</v>
      </c>
      <c r="D47" s="32"/>
      <c r="E47" s="30"/>
      <c r="F47" s="18" t="s">
        <v>35</v>
      </c>
      <c r="G47" s="10"/>
      <c r="H47" s="10"/>
      <c r="I47" s="10"/>
      <c r="K47" s="5"/>
      <c r="L47" s="26"/>
      <c r="M47" s="24"/>
      <c r="O47" s="6"/>
      <c r="P47" s="5"/>
      <c r="Q47" s="5"/>
      <c r="R47" s="31"/>
      <c r="S47" s="31"/>
      <c r="T47" s="6"/>
      <c r="U47" s="5"/>
      <c r="V47" s="5"/>
      <c r="W47" s="31"/>
      <c r="X47" s="27"/>
      <c r="Y47" s="5"/>
      <c r="Z47" s="10"/>
      <c r="AA47" s="10"/>
      <c r="AB47" s="10"/>
      <c r="AD47" s="5"/>
      <c r="AE47" s="26"/>
    </row>
    <row r="48" spans="1:32">
      <c r="A48" s="6">
        <f>A46+2</f>
        <v>45960</v>
      </c>
      <c r="B48" s="5" t="s">
        <v>3</v>
      </c>
      <c r="C48" s="5" t="s">
        <v>12</v>
      </c>
      <c r="D48" s="31" t="s">
        <v>38</v>
      </c>
      <c r="E48" s="27"/>
      <c r="L48" s="26" t="s">
        <v>58</v>
      </c>
      <c r="M48" s="24" t="s">
        <v>55</v>
      </c>
      <c r="O48" s="6"/>
      <c r="P48" s="5"/>
      <c r="Q48" s="5"/>
      <c r="R48" s="31"/>
      <c r="S48" s="31"/>
      <c r="T48" s="6"/>
      <c r="U48" s="5"/>
      <c r="V48" s="5"/>
      <c r="W48" s="31"/>
      <c r="X48" s="27"/>
      <c r="Y48" s="5"/>
      <c r="Z48" s="10"/>
      <c r="AA48" s="10"/>
      <c r="AB48" s="10"/>
      <c r="AC48" s="47"/>
      <c r="AD48" s="5"/>
      <c r="AE48" s="26"/>
    </row>
    <row r="49" spans="1:31">
      <c r="A49" s="6"/>
      <c r="B49" s="5"/>
      <c r="C49" s="5"/>
      <c r="D49" s="5"/>
      <c r="E49" s="35">
        <f>A48+1</f>
        <v>45961</v>
      </c>
      <c r="F49" s="19" t="s">
        <v>24</v>
      </c>
      <c r="G49" s="19" t="s">
        <v>82</v>
      </c>
      <c r="H49" s="20"/>
      <c r="I49" s="19"/>
      <c r="J49" s="19" t="s">
        <v>29</v>
      </c>
      <c r="K49" s="5" t="str">
        <f>M44</f>
        <v>Ch  9 Cost Cap</v>
      </c>
      <c r="L49" s="26" t="s">
        <v>58</v>
      </c>
      <c r="M49" s="24"/>
      <c r="O49" s="6"/>
      <c r="P49" s="5"/>
      <c r="Q49" s="5"/>
      <c r="R49" s="5"/>
      <c r="S49" s="5"/>
      <c r="T49" s="6"/>
      <c r="U49" s="5"/>
      <c r="V49" s="5"/>
      <c r="W49" s="5"/>
      <c r="AE49" s="26"/>
    </row>
    <row r="50" spans="1:31" ht="14.25">
      <c r="A50" s="6"/>
      <c r="B50" s="5"/>
      <c r="C50" s="34" t="s">
        <v>78</v>
      </c>
      <c r="D50" s="32"/>
      <c r="E50" s="30"/>
      <c r="F50" s="34" t="str">
        <f>C50</f>
        <v xml:space="preserve">       Week  12</v>
      </c>
      <c r="G50" s="12"/>
      <c r="H50" s="4"/>
      <c r="I50" s="12"/>
      <c r="J50" s="12"/>
      <c r="K50" s="5"/>
      <c r="L50" s="26"/>
      <c r="M50" s="24"/>
      <c r="O50" s="6"/>
      <c r="P50" s="5"/>
      <c r="Q50" s="34"/>
      <c r="R50" s="32"/>
      <c r="S50" s="32"/>
      <c r="T50" s="6"/>
      <c r="U50" s="5"/>
      <c r="V50" s="34"/>
      <c r="W50" s="32"/>
      <c r="X50" s="30"/>
      <c r="Y50" s="34"/>
      <c r="Z50" s="12"/>
      <c r="AA50" s="4"/>
      <c r="AB50" s="12"/>
      <c r="AC50" s="12"/>
      <c r="AD50" s="5"/>
      <c r="AE50" s="26"/>
    </row>
    <row r="51" spans="1:31">
      <c r="A51" s="6">
        <f>+A46+7</f>
        <v>45965</v>
      </c>
      <c r="B51" s="5" t="str">
        <f>+B46</f>
        <v>T</v>
      </c>
      <c r="C51" s="5" t="s">
        <v>12</v>
      </c>
      <c r="D51" s="31" t="s">
        <v>39</v>
      </c>
      <c r="E51" s="28"/>
      <c r="F51" s="5" t="s">
        <v>134</v>
      </c>
      <c r="L51" s="26" t="s">
        <v>58</v>
      </c>
      <c r="M51" s="24"/>
      <c r="O51" s="6"/>
      <c r="P51" s="5"/>
      <c r="Q51" s="5"/>
      <c r="R51" s="31"/>
      <c r="S51" s="23"/>
      <c r="T51" s="6"/>
      <c r="U51" s="5"/>
      <c r="V51" s="5"/>
      <c r="W51" s="23"/>
      <c r="X51" s="28"/>
      <c r="Y51" s="5"/>
      <c r="AD51" s="5"/>
      <c r="AE51" s="26"/>
    </row>
    <row r="52" spans="1:31">
      <c r="A52" s="6">
        <f>+A51+2</f>
        <v>45967</v>
      </c>
      <c r="B52" s="5" t="str">
        <f>+B48</f>
        <v>Th</v>
      </c>
      <c r="C52" s="5" t="s">
        <v>13</v>
      </c>
      <c r="D52" s="31" t="s">
        <v>38</v>
      </c>
      <c r="E52" s="28"/>
      <c r="F52" s="5" t="s">
        <v>111</v>
      </c>
      <c r="J52" s="36" t="s">
        <v>47</v>
      </c>
      <c r="K52" s="5" t="str">
        <f>M48</f>
        <v>Ch 10 Cap Budg</v>
      </c>
      <c r="L52" s="26" t="s">
        <v>58</v>
      </c>
      <c r="M52" s="24"/>
      <c r="O52" s="6"/>
      <c r="P52" s="5"/>
      <c r="Q52" s="5"/>
      <c r="R52" s="31"/>
      <c r="S52" s="31"/>
      <c r="T52" s="6"/>
      <c r="U52" s="5"/>
      <c r="V52" s="5"/>
      <c r="W52" s="31"/>
      <c r="X52" s="28"/>
      <c r="Z52" s="10"/>
      <c r="AA52" s="10"/>
      <c r="AD52" s="5"/>
      <c r="AE52" s="26"/>
    </row>
    <row r="53" spans="1:31" ht="14.25">
      <c r="A53" s="6"/>
      <c r="B53" s="5"/>
      <c r="C53" s="34" t="s">
        <v>79</v>
      </c>
      <c r="D53" s="23"/>
      <c r="E53" s="28"/>
      <c r="F53" s="34" t="str">
        <f>C53</f>
        <v xml:space="preserve">       Week  13</v>
      </c>
      <c r="I53" s="10"/>
      <c r="J53" s="12"/>
      <c r="K53" s="5"/>
      <c r="L53" s="26" t="s">
        <v>58</v>
      </c>
      <c r="M53" s="24"/>
      <c r="O53" s="6"/>
      <c r="P53" s="5"/>
      <c r="Q53" s="34"/>
      <c r="R53" s="23"/>
      <c r="S53" s="23"/>
      <c r="T53" s="6"/>
      <c r="U53" s="5"/>
      <c r="V53" s="34"/>
      <c r="W53" s="23"/>
      <c r="X53" s="28"/>
      <c r="Y53" s="34"/>
      <c r="AB53" s="10"/>
      <c r="AC53" s="12"/>
      <c r="AD53" s="5"/>
      <c r="AE53" s="26"/>
    </row>
    <row r="54" spans="1:31">
      <c r="A54" s="6">
        <f>+A51+7</f>
        <v>45972</v>
      </c>
      <c r="B54" s="5" t="str">
        <f>+B51</f>
        <v>T</v>
      </c>
      <c r="C54" s="5" t="s">
        <v>13</v>
      </c>
      <c r="D54" s="31" t="s">
        <v>39</v>
      </c>
      <c r="E54" s="27"/>
      <c r="F54" s="5" t="s">
        <v>92</v>
      </c>
      <c r="I54" s="10"/>
      <c r="K54" s="5"/>
      <c r="L54" s="26" t="s">
        <v>58</v>
      </c>
      <c r="M54" s="24"/>
      <c r="O54" s="6"/>
      <c r="P54" s="5"/>
      <c r="Q54" s="5"/>
      <c r="R54" s="23"/>
      <c r="S54" s="31"/>
      <c r="T54" s="6"/>
      <c r="U54" s="5"/>
      <c r="V54" s="5"/>
      <c r="W54" s="31"/>
      <c r="X54" s="27"/>
      <c r="Y54" s="5"/>
      <c r="AA54" s="5"/>
      <c r="AB54" s="10"/>
      <c r="AD54" s="5"/>
      <c r="AE54" s="26"/>
    </row>
    <row r="55" spans="1:31">
      <c r="A55" s="6">
        <f>+A54+2</f>
        <v>45974</v>
      </c>
      <c r="B55" s="5" t="str">
        <f>+B52</f>
        <v>Th</v>
      </c>
      <c r="C55" s="5" t="s">
        <v>14</v>
      </c>
      <c r="D55" s="31" t="s">
        <v>38</v>
      </c>
      <c r="E55" s="27"/>
      <c r="F55" s="5" t="s">
        <v>113</v>
      </c>
      <c r="H55" s="5" t="s">
        <v>93</v>
      </c>
      <c r="I55" s="10"/>
      <c r="J55" s="36" t="s">
        <v>48</v>
      </c>
      <c r="K55" s="5" t="str">
        <f>M59</f>
        <v>Ch 11 Cf Est</v>
      </c>
      <c r="L55" s="26" t="s">
        <v>58</v>
      </c>
      <c r="M55" s="24"/>
      <c r="O55" s="6"/>
      <c r="P55" s="5"/>
      <c r="Q55" s="5"/>
      <c r="R55" s="31"/>
      <c r="S55" s="31"/>
      <c r="T55" s="6"/>
      <c r="U55" s="5"/>
      <c r="V55" s="5"/>
      <c r="W55" s="31"/>
      <c r="X55" s="27"/>
      <c r="Y55" s="5"/>
      <c r="Z55" s="10"/>
      <c r="AA55" s="10"/>
      <c r="AB55" s="10"/>
      <c r="AC55" s="47"/>
      <c r="AD55" s="5"/>
      <c r="AE55" s="26"/>
    </row>
    <row r="56" spans="1:31">
      <c r="A56" s="6"/>
      <c r="B56" s="5"/>
      <c r="D56" s="31"/>
      <c r="E56" s="35">
        <f>A55+1</f>
        <v>45975</v>
      </c>
      <c r="F56" s="19" t="s">
        <v>24</v>
      </c>
      <c r="G56" s="19" t="s">
        <v>82</v>
      </c>
      <c r="H56" s="20"/>
      <c r="I56" s="19"/>
      <c r="J56" s="19" t="s">
        <v>28</v>
      </c>
      <c r="K56" s="5" t="s">
        <v>125</v>
      </c>
      <c r="L56" s="26"/>
      <c r="M56" s="24"/>
      <c r="O56" s="6"/>
      <c r="P56" s="5"/>
      <c r="S56" s="31"/>
      <c r="T56" s="6"/>
      <c r="U56" s="5"/>
      <c r="V56" s="5"/>
      <c r="W56" s="31"/>
      <c r="X56" s="29"/>
      <c r="Y56" s="12"/>
      <c r="Z56" s="12"/>
      <c r="AA56" s="4"/>
      <c r="AB56" s="12"/>
      <c r="AC56" s="12"/>
      <c r="AD56" s="5"/>
      <c r="AE56" s="26"/>
    </row>
    <row r="57" spans="1:31" ht="14.25">
      <c r="A57" s="5"/>
      <c r="C57" s="34" t="s">
        <v>80</v>
      </c>
      <c r="D57" s="11"/>
      <c r="E57" s="29"/>
      <c r="F57" s="34" t="str">
        <f>C57</f>
        <v xml:space="preserve">       Week  14</v>
      </c>
      <c r="K57" s="5"/>
      <c r="L57" s="26" t="s">
        <v>58</v>
      </c>
      <c r="M57" s="24"/>
      <c r="O57" s="5"/>
      <c r="Q57" s="34"/>
      <c r="R57" s="11"/>
      <c r="S57" s="11"/>
      <c r="T57" s="5"/>
      <c r="V57" s="34"/>
      <c r="W57" s="11"/>
      <c r="X57" s="29"/>
      <c r="Y57" s="34"/>
      <c r="AD57" s="5"/>
      <c r="AE57" s="26"/>
    </row>
    <row r="58" spans="1:31">
      <c r="A58" s="6">
        <f>+A54+7</f>
        <v>45979</v>
      </c>
      <c r="B58" s="5" t="str">
        <f>+B54</f>
        <v>T</v>
      </c>
      <c r="C58" s="5" t="s">
        <v>14</v>
      </c>
      <c r="D58" s="31" t="s">
        <v>39</v>
      </c>
      <c r="E58" s="27"/>
      <c r="F58" s="5" t="s">
        <v>33</v>
      </c>
      <c r="K58" s="5"/>
      <c r="L58" s="26" t="s">
        <v>58</v>
      </c>
      <c r="M58" s="24"/>
      <c r="O58" s="6"/>
      <c r="P58" s="5"/>
      <c r="Q58" s="5"/>
      <c r="R58" s="31"/>
      <c r="S58" s="31"/>
      <c r="T58" s="6"/>
      <c r="U58" s="5"/>
      <c r="V58" s="5"/>
      <c r="W58" s="31"/>
      <c r="X58" s="27"/>
      <c r="Y58" s="5"/>
      <c r="AD58" s="5"/>
      <c r="AE58" s="26"/>
    </row>
    <row r="59" spans="1:31">
      <c r="A59" s="6">
        <f>+A58+2</f>
        <v>45981</v>
      </c>
      <c r="B59" s="5" t="str">
        <f>+B55</f>
        <v>Th</v>
      </c>
      <c r="C59" s="5" t="s">
        <v>15</v>
      </c>
      <c r="D59" s="31" t="s">
        <v>38</v>
      </c>
      <c r="E59" s="27"/>
      <c r="F59" s="5" t="s">
        <v>110</v>
      </c>
      <c r="G59" s="10"/>
      <c r="H59" s="10"/>
      <c r="L59" s="26" t="s">
        <v>58</v>
      </c>
      <c r="M59" s="24" t="s">
        <v>56</v>
      </c>
      <c r="O59" s="6"/>
      <c r="P59" s="5"/>
      <c r="Q59" s="5"/>
      <c r="R59" s="31"/>
      <c r="S59" s="31"/>
      <c r="T59" s="6"/>
      <c r="U59" s="5"/>
      <c r="V59" s="5"/>
      <c r="W59" s="31"/>
      <c r="X59" s="27"/>
      <c r="Y59" s="5"/>
      <c r="Z59" s="10"/>
      <c r="AA59" s="10"/>
      <c r="AE59" s="26"/>
    </row>
    <row r="60" spans="1:31">
      <c r="A60" s="5"/>
      <c r="C60" s="11"/>
      <c r="D60" s="11"/>
      <c r="E60" s="35">
        <f>A59+1</f>
        <v>45982</v>
      </c>
      <c r="F60" s="19" t="s">
        <v>24</v>
      </c>
      <c r="G60" s="19" t="s">
        <v>82</v>
      </c>
      <c r="H60" s="20"/>
      <c r="I60" s="19"/>
      <c r="J60" s="19" t="s">
        <v>27</v>
      </c>
      <c r="K60" s="5" t="str">
        <f>M68</f>
        <v>Ch 15 Cap Struct</v>
      </c>
      <c r="L60" s="26" t="s">
        <v>58</v>
      </c>
      <c r="M60" s="24" t="str">
        <f>M59</f>
        <v>Ch 11 Cf Est</v>
      </c>
      <c r="O60" s="5"/>
      <c r="Q60" s="11"/>
      <c r="R60" s="11"/>
      <c r="S60" s="11"/>
      <c r="T60" s="5"/>
      <c r="V60" s="11"/>
      <c r="W60" s="11"/>
      <c r="X60" s="29"/>
      <c r="Y60" s="12"/>
      <c r="Z60" s="12"/>
      <c r="AA60" s="4"/>
      <c r="AB60" s="12"/>
      <c r="AC60" s="12"/>
      <c r="AD60" s="5"/>
      <c r="AE60" s="26"/>
    </row>
    <row r="61" spans="1:31">
      <c r="A61" s="5"/>
      <c r="C61" s="11"/>
      <c r="D61" s="11"/>
      <c r="E61" s="29"/>
      <c r="F61" s="12"/>
      <c r="G61" s="12"/>
      <c r="H61" s="4"/>
      <c r="I61" s="12"/>
      <c r="J61" s="12"/>
      <c r="K61" s="5"/>
      <c r="L61" s="26"/>
      <c r="M61" s="24"/>
      <c r="O61" s="5"/>
      <c r="Q61" s="11"/>
      <c r="R61" s="11"/>
      <c r="S61" s="11"/>
      <c r="T61" s="5"/>
      <c r="V61" s="11"/>
      <c r="W61" s="11"/>
      <c r="X61" s="29"/>
      <c r="Y61" s="12"/>
      <c r="Z61" s="12"/>
      <c r="AA61" s="4"/>
      <c r="AB61" s="12"/>
      <c r="AC61" s="12"/>
      <c r="AD61" s="5"/>
      <c r="AE61" s="26"/>
    </row>
    <row r="62" spans="1:31">
      <c r="A62" s="6">
        <f>+A58+7</f>
        <v>45986</v>
      </c>
      <c r="B62" s="5" t="str">
        <f>+B66</f>
        <v>T</v>
      </c>
      <c r="C62" s="5" t="s">
        <v>94</v>
      </c>
      <c r="D62" s="11"/>
      <c r="E62" s="29"/>
      <c r="F62" s="12"/>
      <c r="G62" s="12"/>
      <c r="H62" s="4"/>
      <c r="I62" s="12"/>
      <c r="J62" s="12"/>
      <c r="K62" s="5"/>
      <c r="L62" s="26"/>
      <c r="M62" s="24"/>
      <c r="O62" s="5"/>
      <c r="Q62" s="11"/>
      <c r="R62" s="11"/>
      <c r="S62" s="11"/>
      <c r="T62" s="5"/>
      <c r="V62" s="11"/>
      <c r="W62" s="11"/>
      <c r="X62" s="29"/>
      <c r="Y62" s="12"/>
      <c r="Z62" s="12"/>
      <c r="AA62" s="4"/>
      <c r="AB62" s="12"/>
      <c r="AC62" s="12"/>
      <c r="AD62" s="5"/>
      <c r="AE62" s="26"/>
    </row>
    <row r="63" spans="1:31">
      <c r="A63" s="6">
        <f>+A62+2</f>
        <v>45988</v>
      </c>
      <c r="B63" s="5" t="s">
        <v>3</v>
      </c>
      <c r="C63" s="5" t="s">
        <v>94</v>
      </c>
      <c r="D63" s="11"/>
      <c r="E63" s="29"/>
      <c r="F63" s="12"/>
      <c r="G63" s="12"/>
      <c r="H63" s="4"/>
      <c r="I63" s="12"/>
      <c r="J63" s="12"/>
      <c r="K63" s="5"/>
      <c r="L63" s="26"/>
      <c r="M63" s="24"/>
      <c r="O63" s="5"/>
      <c r="Q63" s="11"/>
      <c r="R63" s="11"/>
      <c r="S63" s="11"/>
      <c r="T63" s="5"/>
      <c r="V63" s="11"/>
      <c r="W63" s="11"/>
      <c r="X63" s="29"/>
      <c r="Y63" s="12"/>
      <c r="Z63" s="12"/>
      <c r="AA63" s="4"/>
      <c r="AB63" s="12"/>
      <c r="AC63" s="12"/>
      <c r="AD63" s="5"/>
      <c r="AE63" s="26"/>
    </row>
    <row r="64" spans="1:31">
      <c r="A64" s="5"/>
      <c r="C64" s="11"/>
      <c r="D64" s="11"/>
      <c r="E64" s="29"/>
      <c r="F64" s="12"/>
      <c r="G64" s="12"/>
      <c r="H64" s="4"/>
      <c r="I64" s="12"/>
      <c r="J64" s="12"/>
      <c r="K64" s="5"/>
      <c r="L64" s="26"/>
      <c r="M64" s="24"/>
      <c r="O64" s="5"/>
      <c r="Q64" s="11"/>
      <c r="R64" s="11"/>
      <c r="S64" s="11"/>
      <c r="T64" s="5"/>
      <c r="V64" s="11"/>
      <c r="W64" s="11"/>
      <c r="X64" s="29"/>
      <c r="Y64" s="12"/>
      <c r="Z64" s="12"/>
      <c r="AA64" s="4"/>
      <c r="AB64" s="12"/>
      <c r="AC64" s="12"/>
      <c r="AD64" s="5"/>
      <c r="AE64" s="26"/>
    </row>
    <row r="65" spans="1:31" ht="14.25">
      <c r="A65" s="5"/>
      <c r="C65" s="34" t="s">
        <v>81</v>
      </c>
      <c r="D65" s="11"/>
      <c r="E65" s="29"/>
      <c r="F65" s="34" t="str">
        <f>C65</f>
        <v xml:space="preserve">       Week  15</v>
      </c>
      <c r="G65" s="12"/>
      <c r="H65" s="4"/>
      <c r="I65" s="12"/>
      <c r="J65" s="12"/>
      <c r="K65" s="5"/>
      <c r="L65" s="26"/>
      <c r="M65" s="24"/>
      <c r="O65" s="5"/>
      <c r="Q65" s="34"/>
      <c r="T65" s="5"/>
      <c r="Z65" s="12"/>
      <c r="AA65" s="4"/>
      <c r="AB65" s="12"/>
      <c r="AC65" s="12"/>
      <c r="AD65" s="5"/>
      <c r="AE65" s="26"/>
    </row>
    <row r="66" spans="1:31">
      <c r="A66" s="6">
        <f>+A62+7</f>
        <v>45993</v>
      </c>
      <c r="B66" s="5" t="str">
        <f>+B58</f>
        <v>T</v>
      </c>
      <c r="C66" s="5" t="s">
        <v>15</v>
      </c>
      <c r="D66" s="31" t="s">
        <v>39</v>
      </c>
      <c r="E66" s="27"/>
      <c r="F66" s="5" t="s">
        <v>109</v>
      </c>
      <c r="I66" s="10"/>
      <c r="K66" s="5"/>
      <c r="L66" s="26" t="s">
        <v>58</v>
      </c>
      <c r="M66" s="24"/>
      <c r="O66" s="6"/>
      <c r="P66" s="5"/>
      <c r="Q66" s="5"/>
      <c r="R66" s="31"/>
      <c r="S66" s="31"/>
      <c r="T66" s="6"/>
      <c r="U66" s="5"/>
      <c r="V66" s="5"/>
      <c r="W66" s="31"/>
      <c r="X66" s="27"/>
      <c r="AB66" s="10"/>
      <c r="AD66" s="5"/>
      <c r="AE66" s="26"/>
    </row>
    <row r="67" spans="1:31">
      <c r="A67" s="6">
        <f>+A66+2</f>
        <v>45995</v>
      </c>
      <c r="B67" s="5" t="str">
        <f>+B59</f>
        <v>Th</v>
      </c>
      <c r="C67" s="5" t="s">
        <v>19</v>
      </c>
      <c r="D67" s="31" t="s">
        <v>38</v>
      </c>
      <c r="E67" s="27"/>
      <c r="F67" s="5" t="s">
        <v>108</v>
      </c>
      <c r="G67" s="10"/>
      <c r="H67" s="10"/>
      <c r="L67" s="26" t="s">
        <v>58</v>
      </c>
      <c r="M67" s="24"/>
      <c r="O67" s="6"/>
      <c r="P67" s="5"/>
      <c r="Q67" s="5"/>
      <c r="R67" s="31"/>
      <c r="S67" s="31"/>
      <c r="T67" s="6"/>
      <c r="U67" s="5"/>
      <c r="V67" s="5"/>
      <c r="W67" s="31"/>
      <c r="X67" s="27"/>
      <c r="Y67" s="5"/>
      <c r="Z67" s="10"/>
      <c r="AA67" s="10"/>
      <c r="AE67" s="26"/>
    </row>
    <row r="68" spans="1:31">
      <c r="A68" s="5"/>
      <c r="C68" s="5" t="s">
        <v>23</v>
      </c>
      <c r="D68" s="31" t="s">
        <v>38</v>
      </c>
      <c r="E68" s="27"/>
      <c r="F68" s="5" t="s">
        <v>95</v>
      </c>
      <c r="L68" s="26" t="s">
        <v>58</v>
      </c>
      <c r="M68" s="24" t="s">
        <v>57</v>
      </c>
      <c r="O68" s="5"/>
      <c r="Q68" s="11"/>
      <c r="R68" s="11"/>
      <c r="S68" s="11"/>
      <c r="T68" s="5"/>
      <c r="V68" s="11"/>
      <c r="W68" s="11"/>
      <c r="X68" s="29"/>
      <c r="AE68" s="26"/>
    </row>
    <row r="69" spans="1:31">
      <c r="C69" s="5" t="s">
        <v>21</v>
      </c>
      <c r="D69" s="31" t="s">
        <v>38</v>
      </c>
      <c r="E69" s="27"/>
      <c r="F69" s="5" t="s">
        <v>96</v>
      </c>
      <c r="G69" s="10"/>
      <c r="H69" s="10"/>
      <c r="I69" s="10"/>
      <c r="K69" s="5"/>
      <c r="L69" s="26" t="s">
        <v>58</v>
      </c>
      <c r="M69" s="24"/>
      <c r="O69" s="6"/>
      <c r="P69" s="5"/>
      <c r="Q69" s="5"/>
      <c r="S69" s="31"/>
      <c r="T69" s="6"/>
      <c r="U69" s="5"/>
      <c r="V69" s="5"/>
      <c r="W69" s="31"/>
      <c r="X69" s="27"/>
      <c r="Y69" s="5"/>
      <c r="Z69" s="10"/>
      <c r="AA69" s="10"/>
      <c r="AB69" s="10"/>
      <c r="AD69" s="5"/>
      <c r="AE69" s="26"/>
    </row>
    <row r="70" spans="1:31">
      <c r="D70" s="31"/>
      <c r="G70" s="10"/>
      <c r="H70" s="10"/>
      <c r="I70" s="10"/>
      <c r="K70" s="5"/>
      <c r="L70" s="26" t="s">
        <v>58</v>
      </c>
      <c r="M70" s="24"/>
      <c r="O70" s="6"/>
      <c r="P70" s="5"/>
      <c r="Q70" s="5"/>
      <c r="R70" s="31"/>
      <c r="S70" s="31"/>
      <c r="T70" s="6"/>
      <c r="U70" s="5"/>
      <c r="V70" s="5"/>
      <c r="W70" s="31"/>
      <c r="X70" s="27"/>
      <c r="Y70" s="5"/>
      <c r="Z70" s="10"/>
      <c r="AA70" s="10"/>
      <c r="AB70" s="10"/>
      <c r="AD70" s="5"/>
      <c r="AE70" s="26"/>
    </row>
    <row r="71" spans="1:31">
      <c r="A71" s="6"/>
      <c r="B71" s="5"/>
      <c r="C71" s="8"/>
      <c r="D71" s="8"/>
      <c r="E71" s="8"/>
      <c r="L71" s="26" t="s">
        <v>58</v>
      </c>
      <c r="N71" s="24"/>
      <c r="O71" s="6"/>
      <c r="P71" s="5"/>
      <c r="Q71" s="8"/>
      <c r="R71" s="8"/>
      <c r="S71" s="8"/>
      <c r="T71" s="6"/>
      <c r="U71" s="5"/>
      <c r="V71" s="8"/>
      <c r="W71" s="8"/>
      <c r="X71" s="8"/>
      <c r="AE71" s="26"/>
    </row>
    <row r="72" spans="1:31" ht="15">
      <c r="A72" s="6">
        <f>A67+6</f>
        <v>46001</v>
      </c>
      <c r="B72" s="5" t="s">
        <v>102</v>
      </c>
      <c r="C72" s="21" t="s">
        <v>104</v>
      </c>
      <c r="D72" s="15"/>
      <c r="E72" s="15"/>
      <c r="F72" s="18" t="s">
        <v>36</v>
      </c>
      <c r="I72" s="16"/>
      <c r="J72" s="44"/>
      <c r="L72" s="26" t="s">
        <v>58</v>
      </c>
      <c r="N72" s="24"/>
      <c r="O72" s="6"/>
      <c r="P72" s="5"/>
      <c r="Q72" s="21"/>
      <c r="R72" s="15"/>
      <c r="S72" s="15"/>
      <c r="T72" s="6"/>
      <c r="U72" s="5"/>
      <c r="V72" s="21"/>
      <c r="W72" s="15"/>
      <c r="X72" s="15"/>
      <c r="Y72" s="18"/>
      <c r="AB72" s="16"/>
      <c r="AC72" s="44"/>
      <c r="AE72" s="26"/>
    </row>
    <row r="73" spans="1:31" ht="15.75">
      <c r="A73" s="6">
        <f>A72+1</f>
        <v>46002</v>
      </c>
      <c r="B73" s="5" t="s">
        <v>103</v>
      </c>
      <c r="C73" s="21" t="s">
        <v>107</v>
      </c>
      <c r="D73" s="15"/>
      <c r="E73" s="15"/>
      <c r="F73" s="41" t="s">
        <v>97</v>
      </c>
      <c r="G73" s="41" t="s">
        <v>98</v>
      </c>
      <c r="H73" s="42"/>
      <c r="I73" s="41"/>
      <c r="J73" s="44"/>
      <c r="L73" s="26"/>
      <c r="N73" s="24"/>
      <c r="O73" s="6"/>
      <c r="P73" s="5"/>
      <c r="Q73" s="21"/>
      <c r="R73" s="15"/>
      <c r="S73" s="15"/>
      <c r="T73" s="6"/>
      <c r="U73" s="5"/>
      <c r="V73" s="21"/>
      <c r="W73" s="15"/>
      <c r="X73" s="15"/>
      <c r="Y73" s="41"/>
      <c r="Z73" s="41"/>
      <c r="AA73" s="42"/>
      <c r="AB73" s="41"/>
      <c r="AC73" s="44"/>
      <c r="AE73" s="26"/>
    </row>
    <row r="74" spans="1:31" ht="15.75">
      <c r="A74" s="6">
        <f>A72+1</f>
        <v>46002</v>
      </c>
      <c r="B74" s="22" t="s">
        <v>103</v>
      </c>
      <c r="C74" s="21" t="s">
        <v>105</v>
      </c>
      <c r="D74" s="15"/>
      <c r="E74" s="15"/>
      <c r="F74" s="41" t="s">
        <v>97</v>
      </c>
      <c r="G74" s="41" t="s">
        <v>98</v>
      </c>
      <c r="H74" s="42"/>
      <c r="I74" s="41"/>
      <c r="J74" s="44"/>
      <c r="L74" s="24"/>
      <c r="M74" s="24"/>
      <c r="N74" s="24"/>
      <c r="O74" s="6"/>
      <c r="P74" s="22"/>
      <c r="Q74" s="21"/>
      <c r="R74" s="15"/>
      <c r="S74" s="15"/>
      <c r="T74" s="6"/>
      <c r="U74" s="22"/>
      <c r="V74" s="21"/>
      <c r="W74" s="15"/>
      <c r="X74" s="15"/>
      <c r="Y74" s="41"/>
      <c r="Z74" s="41"/>
      <c r="AA74" s="42"/>
      <c r="AB74" s="41"/>
      <c r="AC74" s="44"/>
      <c r="AE74" s="24"/>
    </row>
    <row r="75" spans="1:31">
      <c r="A75" s="6"/>
      <c r="B75" s="5"/>
      <c r="C75" s="15"/>
      <c r="D75" s="8"/>
      <c r="E75" s="8"/>
      <c r="L75" s="24"/>
      <c r="M75" s="24"/>
      <c r="N75" s="24"/>
      <c r="O75" s="24"/>
      <c r="P75" s="24"/>
      <c r="Q75" s="24"/>
      <c r="R75" s="24"/>
      <c r="S75" s="24"/>
      <c r="T75" s="6"/>
      <c r="U75" s="5"/>
      <c r="V75" s="15"/>
      <c r="W75" s="8"/>
      <c r="X75" s="8"/>
      <c r="AE75" s="24"/>
    </row>
    <row r="76" spans="1:31">
      <c r="A76" s="9" t="s">
        <v>4</v>
      </c>
      <c r="L76" s="24"/>
      <c r="M76" s="24"/>
      <c r="N76" s="24"/>
      <c r="O76" s="24"/>
      <c r="P76" s="24"/>
      <c r="Q76" s="24"/>
      <c r="R76" s="24"/>
      <c r="S76" s="24"/>
      <c r="T76" s="9"/>
      <c r="AE76" s="24"/>
    </row>
    <row r="77" spans="1:31">
      <c r="A77" s="9" t="s">
        <v>2</v>
      </c>
      <c r="L77" s="24"/>
      <c r="M77" s="24"/>
      <c r="N77" s="24"/>
      <c r="O77" s="24"/>
      <c r="P77" s="24"/>
      <c r="Q77" s="24"/>
      <c r="R77" s="24"/>
      <c r="S77" s="24"/>
      <c r="T77" s="9"/>
      <c r="AE77" s="24"/>
    </row>
    <row r="78" spans="1:31">
      <c r="L78" s="24"/>
      <c r="M78" s="24"/>
      <c r="N78" s="24"/>
      <c r="O78" s="24"/>
      <c r="P78" s="24"/>
      <c r="Q78" s="24"/>
      <c r="R78" s="24"/>
      <c r="S78" s="24"/>
    </row>
    <row r="79" spans="1:31">
      <c r="L79" s="24"/>
      <c r="M79" s="24"/>
      <c r="N79" s="24"/>
      <c r="O79" s="24"/>
      <c r="P79" s="24"/>
      <c r="Q79" s="24"/>
      <c r="R79" s="24"/>
      <c r="S79" s="24"/>
    </row>
  </sheetData>
  <printOptions gridLines="1"/>
  <pageMargins left="0.27" right="0.33" top="0.27" bottom="0.5" header="0.25" footer="0.25"/>
  <pageSetup scale="76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85FC5-E60C-404F-B254-844D280E54B9}">
  <sheetPr>
    <pageSetUpPr fitToPage="1"/>
  </sheetPr>
  <dimension ref="A1:AF77"/>
  <sheetViews>
    <sheetView topLeftCell="A41" zoomScale="110" zoomScaleNormal="110" workbookViewId="0">
      <selection activeCell="F39" sqref="F39:I39"/>
    </sheetView>
  </sheetViews>
  <sheetFormatPr defaultRowHeight="12.75"/>
  <cols>
    <col min="1" max="1" width="6.5703125" customWidth="1"/>
    <col min="2" max="2" width="5.140625" customWidth="1"/>
    <col min="3" max="3" width="36" customWidth="1"/>
    <col min="4" max="4" width="5.28515625" customWidth="1"/>
    <col min="5" max="5" width="6.140625" customWidth="1"/>
    <col min="6" max="6" width="24.85546875" customWidth="1"/>
    <col min="7" max="7" width="7.140625" customWidth="1"/>
    <col min="8" max="8" width="6.140625" customWidth="1"/>
    <col min="9" max="9" width="11.7109375" customWidth="1"/>
    <col min="10" max="10" width="13.28515625" customWidth="1"/>
    <col min="11" max="11" width="4.5703125" customWidth="1"/>
    <col min="12" max="12" width="5.42578125" customWidth="1"/>
    <col min="13" max="13" width="11" hidden="1" customWidth="1"/>
    <col min="16" max="16" width="6" customWidth="1"/>
    <col min="17" max="17" width="26.140625" customWidth="1"/>
    <col min="20" max="20" width="19.42578125" customWidth="1"/>
    <col min="22" max="22" width="22.7109375" customWidth="1"/>
  </cols>
  <sheetData>
    <row r="1" spans="1:31">
      <c r="A1" s="3"/>
      <c r="F1" s="14" t="s">
        <v>7</v>
      </c>
      <c r="J1" s="1"/>
      <c r="K1" s="1"/>
      <c r="L1" s="1"/>
      <c r="M1" s="1"/>
      <c r="N1" s="1"/>
      <c r="O1" s="1"/>
      <c r="P1" s="1"/>
      <c r="Q1" s="1"/>
      <c r="R1" s="1"/>
      <c r="S1" s="1"/>
    </row>
    <row r="2" spans="1:31">
      <c r="A2" s="3"/>
      <c r="F2" s="14" t="s">
        <v>6</v>
      </c>
      <c r="H2" s="2"/>
      <c r="J2" s="1"/>
      <c r="K2" s="1"/>
      <c r="L2" s="1"/>
      <c r="M2" s="1"/>
      <c r="N2" s="1"/>
      <c r="O2" s="1"/>
      <c r="P2" s="1"/>
      <c r="Q2" s="1"/>
      <c r="R2" s="1"/>
      <c r="S2" s="1"/>
    </row>
    <row r="3" spans="1:31">
      <c r="A3" s="3"/>
      <c r="E3" s="23"/>
      <c r="F3" s="14" t="s">
        <v>99</v>
      </c>
      <c r="J3" s="1"/>
      <c r="K3" s="1"/>
      <c r="L3" s="1"/>
      <c r="M3" s="1"/>
      <c r="N3" s="1"/>
      <c r="O3" s="1"/>
      <c r="P3" s="1"/>
      <c r="Q3" s="1"/>
      <c r="R3" s="1"/>
      <c r="S3" s="1"/>
    </row>
    <row r="4" spans="1:31">
      <c r="A4" s="3"/>
      <c r="E4" s="23"/>
      <c r="F4" s="14" t="s">
        <v>129</v>
      </c>
      <c r="J4" s="1"/>
      <c r="K4" s="1"/>
      <c r="L4" s="1"/>
      <c r="M4" s="1"/>
      <c r="N4" s="1"/>
      <c r="O4" s="1"/>
      <c r="P4" s="1"/>
      <c r="Q4" s="1"/>
      <c r="R4" s="1"/>
      <c r="S4" s="1"/>
    </row>
    <row r="5" spans="1:31">
      <c r="A5" s="5" t="s">
        <v>65</v>
      </c>
      <c r="B5" s="4" t="s">
        <v>0</v>
      </c>
      <c r="C5" s="4" t="s">
        <v>1</v>
      </c>
      <c r="D5" s="4"/>
      <c r="E5" s="4"/>
      <c r="F5" s="4" t="s">
        <v>16</v>
      </c>
      <c r="J5" s="1"/>
      <c r="K5" s="1"/>
      <c r="L5" s="1"/>
      <c r="M5" s="1"/>
      <c r="N5" s="1"/>
      <c r="O5" s="5"/>
      <c r="P5" s="4"/>
      <c r="Q5" s="4"/>
      <c r="R5" s="4"/>
      <c r="S5" s="4"/>
      <c r="T5" s="5"/>
      <c r="U5" s="4"/>
      <c r="V5" s="4"/>
      <c r="W5" s="4"/>
      <c r="X5" s="4"/>
      <c r="Y5" s="4"/>
      <c r="AC5" s="1"/>
      <c r="AD5" s="1"/>
      <c r="AE5" s="1"/>
    </row>
    <row r="6" spans="1:31" ht="15.75" customHeight="1">
      <c r="A6" s="6"/>
      <c r="B6" s="5"/>
      <c r="C6" s="34" t="s">
        <v>66</v>
      </c>
      <c r="D6" s="5"/>
      <c r="E6" s="5"/>
      <c r="F6" s="48" t="str">
        <f>C6</f>
        <v xml:space="preserve">       Week  1</v>
      </c>
      <c r="H6" s="49"/>
      <c r="I6" s="49"/>
      <c r="J6" s="10"/>
      <c r="K6" s="10"/>
      <c r="L6" s="1"/>
      <c r="M6" s="1"/>
      <c r="O6" s="6"/>
      <c r="P6" s="5"/>
      <c r="R6" s="5"/>
      <c r="S6" s="5"/>
      <c r="T6" s="6"/>
      <c r="U6" s="5"/>
      <c r="V6" s="5"/>
      <c r="W6" s="5"/>
      <c r="X6" s="5"/>
      <c r="AC6" s="1"/>
      <c r="AD6" s="1"/>
      <c r="AE6" s="1"/>
    </row>
    <row r="7" spans="1:31">
      <c r="A7" s="6">
        <v>45890</v>
      </c>
      <c r="B7" s="5" t="s">
        <v>3</v>
      </c>
      <c r="C7" s="49" t="s">
        <v>127</v>
      </c>
      <c r="D7" s="31"/>
      <c r="E7" s="27"/>
      <c r="F7" s="5" t="s">
        <v>126</v>
      </c>
      <c r="H7" s="5"/>
      <c r="I7" s="5"/>
      <c r="J7" s="31"/>
      <c r="K7" s="5"/>
      <c r="L7" s="1"/>
      <c r="M7" s="1"/>
      <c r="O7" s="6"/>
      <c r="P7" s="5"/>
      <c r="Q7" s="5"/>
      <c r="S7" s="31"/>
      <c r="T7" s="6"/>
      <c r="U7" s="5"/>
      <c r="V7" s="5"/>
      <c r="W7" s="31"/>
      <c r="X7" s="27"/>
      <c r="Y7" s="5"/>
      <c r="AC7" s="1"/>
      <c r="AD7" s="1"/>
      <c r="AE7" s="1"/>
    </row>
    <row r="8" spans="1:31" ht="14.25">
      <c r="A8" s="33"/>
      <c r="C8" s="34" t="s">
        <v>67</v>
      </c>
      <c r="D8" s="23"/>
      <c r="E8" s="28"/>
      <c r="F8" s="34" t="s">
        <v>67</v>
      </c>
      <c r="G8" s="10"/>
      <c r="H8" s="5"/>
      <c r="I8" s="5"/>
      <c r="J8" s="31"/>
      <c r="K8" s="5"/>
      <c r="L8" s="24"/>
      <c r="M8" s="24"/>
      <c r="O8" s="33"/>
      <c r="Q8" s="34"/>
      <c r="R8" s="23"/>
      <c r="S8" s="23"/>
      <c r="T8" s="33"/>
      <c r="V8" s="34"/>
      <c r="W8" s="23"/>
      <c r="X8" s="28"/>
      <c r="Y8" s="34"/>
      <c r="Z8" s="10"/>
      <c r="AA8" s="10"/>
      <c r="AB8" s="10"/>
      <c r="AC8" s="1"/>
      <c r="AD8" s="1"/>
      <c r="AE8" s="24"/>
    </row>
    <row r="9" spans="1:31">
      <c r="A9" s="6">
        <f>+A7+5</f>
        <v>45895</v>
      </c>
      <c r="B9" s="5" t="s">
        <v>5</v>
      </c>
      <c r="C9" s="5" t="s">
        <v>37</v>
      </c>
      <c r="D9" s="31"/>
      <c r="E9" s="27"/>
      <c r="F9" s="5" t="s">
        <v>84</v>
      </c>
      <c r="H9" s="10"/>
      <c r="I9" s="10"/>
      <c r="J9" s="10"/>
      <c r="K9" s="11"/>
      <c r="L9" s="24"/>
      <c r="M9" s="24"/>
      <c r="O9" s="6"/>
      <c r="P9" s="5"/>
      <c r="Q9" s="5"/>
      <c r="R9" s="31"/>
      <c r="S9" s="31"/>
      <c r="T9" s="6"/>
      <c r="U9" s="5"/>
      <c r="V9" s="5"/>
      <c r="W9" s="31"/>
      <c r="X9" s="27"/>
      <c r="Y9" s="5"/>
      <c r="Z9" s="10"/>
      <c r="AC9" s="1"/>
      <c r="AD9" s="5"/>
      <c r="AE9" s="24"/>
    </row>
    <row r="10" spans="1:31">
      <c r="A10" s="6">
        <f>+A9+2</f>
        <v>45897</v>
      </c>
      <c r="B10" s="5" t="str">
        <f>+B7</f>
        <v>Th</v>
      </c>
      <c r="C10" s="5" t="s">
        <v>50</v>
      </c>
      <c r="D10" s="31" t="s">
        <v>38</v>
      </c>
      <c r="E10" s="27"/>
      <c r="F10" s="5" t="s">
        <v>117</v>
      </c>
      <c r="L10" s="26" t="s">
        <v>58</v>
      </c>
      <c r="M10" s="24" t="s">
        <v>59</v>
      </c>
      <c r="O10" s="6"/>
      <c r="P10" s="5"/>
      <c r="Q10" s="5"/>
      <c r="S10" s="31"/>
      <c r="T10" s="6"/>
      <c r="U10" s="5"/>
      <c r="V10" s="5"/>
      <c r="W10" s="31"/>
      <c r="X10" s="27"/>
      <c r="Y10" s="5"/>
      <c r="Z10" s="10"/>
      <c r="AA10" s="10"/>
      <c r="AB10" s="10"/>
      <c r="AC10" s="46"/>
      <c r="AD10" s="5"/>
      <c r="AE10" s="26"/>
    </row>
    <row r="11" spans="1:31" ht="14.25">
      <c r="A11" s="33"/>
      <c r="D11" s="23"/>
      <c r="E11" s="29"/>
      <c r="L11" s="26" t="s">
        <v>58</v>
      </c>
      <c r="M11" s="24" t="str">
        <f>M10</f>
        <v>Ch  2 Fin Stmts</v>
      </c>
      <c r="O11" s="33"/>
      <c r="R11" s="23"/>
      <c r="S11" s="23"/>
      <c r="T11" s="33"/>
      <c r="W11" s="23"/>
      <c r="X11" s="29"/>
      <c r="Y11" s="12"/>
      <c r="Z11" s="12"/>
      <c r="AA11" s="4"/>
      <c r="AB11" s="12"/>
      <c r="AC11" s="12"/>
      <c r="AD11" s="5"/>
      <c r="AE11" s="26"/>
    </row>
    <row r="12" spans="1:31" ht="14.25">
      <c r="A12" s="33"/>
      <c r="C12" s="34" t="s">
        <v>68</v>
      </c>
      <c r="D12" s="23"/>
      <c r="E12" s="29"/>
      <c r="F12" s="34" t="s">
        <v>68</v>
      </c>
      <c r="G12" s="12"/>
      <c r="H12" s="4"/>
      <c r="I12" s="12"/>
      <c r="J12" s="12"/>
      <c r="K12" s="5"/>
      <c r="L12" s="26"/>
      <c r="M12" s="24"/>
      <c r="O12" s="33"/>
      <c r="Q12" s="34"/>
      <c r="R12" s="23"/>
      <c r="S12" s="23"/>
      <c r="T12" s="33"/>
      <c r="V12" s="34"/>
      <c r="W12" s="23"/>
      <c r="X12" s="29"/>
      <c r="Y12" s="34"/>
      <c r="Z12" s="12"/>
      <c r="AA12" s="4"/>
      <c r="AB12" s="12"/>
      <c r="AC12" s="12"/>
      <c r="AD12" s="5"/>
      <c r="AE12" s="26"/>
    </row>
    <row r="13" spans="1:31">
      <c r="A13" s="6">
        <f>+A9+7</f>
        <v>45902</v>
      </c>
      <c r="B13" s="5" t="str">
        <f>+B9</f>
        <v>T</v>
      </c>
      <c r="C13" s="5" t="s">
        <v>50</v>
      </c>
      <c r="D13" s="31" t="s">
        <v>39</v>
      </c>
      <c r="E13" s="27"/>
      <c r="F13" s="5" t="s">
        <v>116</v>
      </c>
      <c r="G13" s="10"/>
      <c r="J13" s="1"/>
      <c r="K13" s="5"/>
      <c r="L13" s="26" t="s">
        <v>58</v>
      </c>
      <c r="M13" s="24"/>
      <c r="O13" s="6"/>
      <c r="P13" s="5"/>
      <c r="Q13" s="5"/>
      <c r="R13" s="31"/>
      <c r="S13" s="31"/>
      <c r="T13" s="6"/>
      <c r="U13" s="5"/>
      <c r="V13" s="5"/>
      <c r="W13" s="31"/>
      <c r="X13" s="27"/>
      <c r="Y13" s="5"/>
      <c r="Z13" s="10"/>
      <c r="AA13" s="10"/>
      <c r="AB13" s="10"/>
      <c r="AD13" s="5"/>
      <c r="AE13" s="26"/>
    </row>
    <row r="14" spans="1:31">
      <c r="A14" s="6">
        <f>+A13+2</f>
        <v>45904</v>
      </c>
      <c r="B14" s="5" t="str">
        <f>+B10</f>
        <v>Th</v>
      </c>
      <c r="C14" s="5" t="s">
        <v>18</v>
      </c>
      <c r="D14" s="31" t="s">
        <v>38</v>
      </c>
      <c r="E14" s="27"/>
      <c r="F14" s="5" t="s">
        <v>87</v>
      </c>
      <c r="G14" s="10"/>
      <c r="H14" s="10"/>
      <c r="I14" s="10"/>
      <c r="J14" s="39" t="s">
        <v>86</v>
      </c>
      <c r="K14" s="5" t="str">
        <f>M10</f>
        <v>Ch  2 Fin Stmts</v>
      </c>
      <c r="L14" s="26" t="s">
        <v>58</v>
      </c>
      <c r="M14" s="24" t="s">
        <v>60</v>
      </c>
      <c r="O14" s="6"/>
      <c r="P14" s="5"/>
      <c r="Q14" s="5"/>
      <c r="R14" s="31"/>
      <c r="S14" s="31"/>
      <c r="T14" s="6"/>
      <c r="U14" s="5"/>
      <c r="V14" s="5"/>
      <c r="W14" s="31"/>
      <c r="X14" s="27"/>
      <c r="Y14" s="5"/>
      <c r="Z14" s="10"/>
      <c r="AA14" s="10"/>
      <c r="AB14" s="10"/>
      <c r="AC14" s="47"/>
      <c r="AD14" s="5"/>
      <c r="AE14" s="26"/>
    </row>
    <row r="15" spans="1:31" ht="14.25">
      <c r="A15" s="33"/>
      <c r="B15" s="5"/>
      <c r="D15" s="23"/>
      <c r="E15" s="35">
        <f>+A14+1</f>
        <v>45905</v>
      </c>
      <c r="F15" s="19" t="s">
        <v>24</v>
      </c>
      <c r="G15" s="19" t="s">
        <v>82</v>
      </c>
      <c r="H15" s="20"/>
      <c r="I15" s="19"/>
      <c r="J15" s="19" t="s">
        <v>25</v>
      </c>
      <c r="K15" s="5" t="str">
        <f>M11</f>
        <v>Ch  2 Fin Stmts</v>
      </c>
      <c r="L15" s="26" t="s">
        <v>58</v>
      </c>
      <c r="M15" s="24" t="str">
        <f>M14</f>
        <v>Ch  3 Analys Fin Stmts</v>
      </c>
      <c r="O15" s="33"/>
      <c r="P15" s="5"/>
      <c r="R15" s="23"/>
      <c r="S15" s="23"/>
      <c r="T15" s="33"/>
      <c r="U15" s="5"/>
      <c r="W15" s="23"/>
      <c r="X15" s="29"/>
      <c r="Y15" s="12"/>
      <c r="Z15" s="12"/>
      <c r="AA15" s="4"/>
      <c r="AB15" s="12"/>
      <c r="AC15" s="12"/>
      <c r="AD15" s="5"/>
      <c r="AE15" s="26"/>
    </row>
    <row r="16" spans="1:31" ht="14.25">
      <c r="A16" s="33"/>
      <c r="B16" s="5"/>
      <c r="C16" s="34" t="s">
        <v>69</v>
      </c>
      <c r="D16" s="23"/>
      <c r="E16" s="29"/>
      <c r="F16" s="34" t="s">
        <v>69</v>
      </c>
      <c r="G16" s="12"/>
      <c r="H16" s="4"/>
      <c r="I16" s="12"/>
      <c r="J16" s="12"/>
      <c r="K16" s="5"/>
      <c r="L16" s="26"/>
      <c r="M16" s="24"/>
      <c r="O16" s="33"/>
      <c r="P16" s="5"/>
      <c r="Q16" s="34"/>
      <c r="R16" s="23"/>
      <c r="S16" s="23"/>
      <c r="T16" s="33"/>
      <c r="U16" s="5"/>
      <c r="V16" s="34"/>
      <c r="W16" s="23"/>
      <c r="X16" s="29"/>
      <c r="Y16" s="34"/>
      <c r="Z16" s="12"/>
      <c r="AA16" s="4"/>
      <c r="AB16" s="12"/>
      <c r="AC16" s="12"/>
      <c r="AD16" s="5"/>
      <c r="AE16" s="26"/>
    </row>
    <row r="17" spans="1:31">
      <c r="A17" s="6">
        <f>+A13+7</f>
        <v>45909</v>
      </c>
      <c r="B17" s="5" t="str">
        <f>+B13</f>
        <v>T</v>
      </c>
      <c r="C17" s="5" t="s">
        <v>17</v>
      </c>
      <c r="D17" s="31" t="s">
        <v>39</v>
      </c>
      <c r="E17" s="27"/>
      <c r="F17" s="5" t="s">
        <v>85</v>
      </c>
      <c r="G17" s="10"/>
      <c r="H17" s="10"/>
      <c r="I17" s="10"/>
      <c r="K17" s="5"/>
      <c r="L17" s="26" t="s">
        <v>58</v>
      </c>
      <c r="M17" s="24"/>
      <c r="O17" s="6"/>
      <c r="P17" s="5"/>
      <c r="Q17" s="5"/>
      <c r="R17" s="31"/>
      <c r="S17" s="31"/>
      <c r="T17" s="6"/>
      <c r="U17" s="5"/>
      <c r="V17" s="5"/>
      <c r="W17" s="31"/>
      <c r="X17" s="27"/>
      <c r="Y17" s="5"/>
      <c r="Z17" s="10"/>
      <c r="AA17" s="10"/>
      <c r="AD17" s="5"/>
      <c r="AE17" s="26"/>
    </row>
    <row r="18" spans="1:31">
      <c r="A18" s="6">
        <f>+A17+2</f>
        <v>45911</v>
      </c>
      <c r="B18" s="5" t="str">
        <f>+B14</f>
        <v>Th</v>
      </c>
      <c r="C18" s="5" t="s">
        <v>22</v>
      </c>
      <c r="D18" s="31" t="s">
        <v>38</v>
      </c>
      <c r="E18" s="27"/>
      <c r="F18" s="5" t="s">
        <v>83</v>
      </c>
      <c r="G18" s="10"/>
      <c r="H18" s="10"/>
      <c r="I18" s="10"/>
      <c r="J18" s="36" t="s">
        <v>42</v>
      </c>
      <c r="K18" s="5" t="str">
        <f>M14</f>
        <v>Ch  3 Analys Fin Stmts</v>
      </c>
      <c r="L18" s="26" t="s">
        <v>58</v>
      </c>
      <c r="M18" s="24" t="s">
        <v>49</v>
      </c>
      <c r="O18" s="6"/>
      <c r="P18" s="5"/>
      <c r="Q18" s="5"/>
      <c r="R18" s="31"/>
      <c r="S18" s="31"/>
      <c r="T18" s="6"/>
      <c r="U18" s="5"/>
      <c r="V18" s="5"/>
      <c r="W18" s="31"/>
      <c r="X18" s="27"/>
      <c r="Y18" s="5"/>
      <c r="Z18" s="10"/>
      <c r="AA18" s="10"/>
      <c r="AC18" s="47"/>
      <c r="AD18" s="5"/>
      <c r="AE18" s="26"/>
    </row>
    <row r="19" spans="1:31" ht="14.25">
      <c r="A19" s="33"/>
      <c r="B19" s="5"/>
      <c r="D19" s="23"/>
      <c r="E19" s="35">
        <f>+A18+1</f>
        <v>45912</v>
      </c>
      <c r="F19" s="19" t="s">
        <v>24</v>
      </c>
      <c r="G19" s="19" t="s">
        <v>82</v>
      </c>
      <c r="H19" s="20"/>
      <c r="I19" s="19"/>
      <c r="J19" s="19" t="s">
        <v>26</v>
      </c>
      <c r="K19" s="5" t="str">
        <f>M15</f>
        <v>Ch  3 Analys Fin Stmts</v>
      </c>
      <c r="L19" s="26" t="s">
        <v>58</v>
      </c>
      <c r="M19" s="24" t="str">
        <f>M18</f>
        <v>Ch 12 Fin Plan</v>
      </c>
      <c r="O19" s="33"/>
      <c r="P19" s="5"/>
      <c r="R19" s="23"/>
      <c r="S19" s="23"/>
      <c r="T19" s="33"/>
      <c r="U19" s="5"/>
      <c r="W19" s="23"/>
      <c r="X19" s="29"/>
      <c r="Y19" s="12"/>
      <c r="Z19" s="12"/>
      <c r="AA19" s="4"/>
      <c r="AB19" s="12"/>
      <c r="AC19" s="12"/>
      <c r="AD19" s="5"/>
      <c r="AE19" s="26"/>
    </row>
    <row r="20" spans="1:31" ht="14.25">
      <c r="A20" s="33"/>
      <c r="B20" s="5"/>
      <c r="C20" s="34" t="s">
        <v>70</v>
      </c>
      <c r="D20" s="23"/>
      <c r="E20" s="29"/>
      <c r="F20" s="34" t="s">
        <v>70</v>
      </c>
      <c r="G20" s="12"/>
      <c r="H20" s="4"/>
      <c r="I20" s="12"/>
      <c r="J20" s="12"/>
      <c r="K20" s="5"/>
      <c r="L20" s="26"/>
      <c r="M20" s="24"/>
      <c r="O20" s="33"/>
      <c r="P20" s="5"/>
      <c r="Q20" s="34"/>
      <c r="R20" s="23"/>
      <c r="S20" s="23"/>
      <c r="T20" s="33"/>
      <c r="U20" s="5"/>
      <c r="V20" s="34"/>
      <c r="W20" s="23"/>
      <c r="X20" s="29"/>
      <c r="Y20" s="34"/>
      <c r="Z20" s="12"/>
      <c r="AA20" s="4"/>
      <c r="AB20" s="12"/>
      <c r="AC20" s="12"/>
      <c r="AD20" s="5"/>
      <c r="AE20" s="26"/>
    </row>
    <row r="21" spans="1:31">
      <c r="A21" s="6">
        <f>+A17+7</f>
        <v>45916</v>
      </c>
      <c r="B21" s="5" t="str">
        <f>+B17</f>
        <v>T</v>
      </c>
      <c r="C21" s="5" t="s">
        <v>22</v>
      </c>
      <c r="D21" s="31" t="s">
        <v>39</v>
      </c>
      <c r="E21" s="27"/>
      <c r="F21" s="5" t="s">
        <v>88</v>
      </c>
      <c r="G21" s="10"/>
      <c r="H21" s="10"/>
      <c r="K21" s="5"/>
      <c r="L21" s="26" t="s">
        <v>58</v>
      </c>
      <c r="M21" s="24"/>
      <c r="O21" s="6"/>
      <c r="P21" s="5"/>
      <c r="Q21" s="5"/>
      <c r="R21" s="31"/>
      <c r="S21" s="31"/>
      <c r="T21" s="6"/>
      <c r="U21" s="5"/>
      <c r="V21" s="5"/>
      <c r="W21" s="31"/>
      <c r="X21" s="27"/>
      <c r="Y21" s="5"/>
      <c r="Z21" s="10"/>
      <c r="AA21" s="10"/>
      <c r="AB21" s="10"/>
      <c r="AD21" s="5"/>
      <c r="AE21" s="26"/>
    </row>
    <row r="22" spans="1:31">
      <c r="A22" s="6">
        <f>+A21+2</f>
        <v>45918</v>
      </c>
      <c r="B22" s="5" t="str">
        <f>+B18</f>
        <v>Th</v>
      </c>
      <c r="C22" s="5" t="s">
        <v>8</v>
      </c>
      <c r="D22" s="31" t="s">
        <v>38</v>
      </c>
      <c r="E22" s="27"/>
      <c r="F22" s="5" t="s">
        <v>122</v>
      </c>
      <c r="G22" s="10"/>
      <c r="H22" s="10"/>
      <c r="J22" s="36" t="s">
        <v>43</v>
      </c>
      <c r="K22" s="5" t="str">
        <f>M18</f>
        <v>Ch 12 Fin Plan</v>
      </c>
      <c r="L22" s="26" t="s">
        <v>58</v>
      </c>
      <c r="M22" s="24"/>
      <c r="O22" s="6"/>
      <c r="P22" s="5"/>
      <c r="Q22" s="5"/>
      <c r="R22" s="31"/>
      <c r="S22" s="31"/>
      <c r="T22" s="6"/>
      <c r="U22" s="5"/>
      <c r="V22" s="5"/>
      <c r="W22" s="31"/>
      <c r="X22" s="27"/>
      <c r="Y22" s="5"/>
      <c r="Z22" s="10"/>
      <c r="AA22" s="5"/>
      <c r="AB22" s="10"/>
      <c r="AD22" s="5"/>
      <c r="AE22" s="26"/>
    </row>
    <row r="23" spans="1:31" ht="14.25">
      <c r="A23" s="33"/>
      <c r="B23" s="5"/>
      <c r="C23" s="17" t="s">
        <v>51</v>
      </c>
      <c r="D23" s="23"/>
      <c r="E23" s="35">
        <f>+A22+1</f>
        <v>45919</v>
      </c>
      <c r="F23" s="19" t="s">
        <v>24</v>
      </c>
      <c r="G23" s="19" t="s">
        <v>82</v>
      </c>
      <c r="H23" s="20"/>
      <c r="I23" s="19"/>
      <c r="J23" s="19" t="s">
        <v>32</v>
      </c>
      <c r="K23" s="5" t="str">
        <f>M19</f>
        <v>Ch 12 Fin Plan</v>
      </c>
      <c r="L23" s="26" t="s">
        <v>58</v>
      </c>
      <c r="M23" s="24" t="s">
        <v>64</v>
      </c>
      <c r="O23" s="33"/>
      <c r="P23" s="5"/>
      <c r="Q23" s="17"/>
      <c r="R23" s="23"/>
      <c r="S23" s="23"/>
      <c r="T23" s="33"/>
      <c r="U23" s="5"/>
      <c r="V23" s="17"/>
      <c r="W23" s="23"/>
      <c r="X23" s="29"/>
      <c r="Y23" s="12"/>
      <c r="Z23" s="12"/>
      <c r="AA23" s="4"/>
      <c r="AB23" s="12"/>
      <c r="AC23" s="12"/>
      <c r="AD23" s="5"/>
      <c r="AE23" s="26"/>
    </row>
    <row r="24" spans="1:31" ht="14.25">
      <c r="A24" s="33"/>
      <c r="B24" s="5"/>
      <c r="C24" s="34" t="s">
        <v>71</v>
      </c>
      <c r="D24" s="17"/>
      <c r="E24" s="29"/>
      <c r="F24" s="34" t="s">
        <v>71</v>
      </c>
      <c r="G24" s="12"/>
      <c r="H24" s="4"/>
      <c r="I24" s="12"/>
      <c r="J24" s="12"/>
      <c r="K24" s="5"/>
      <c r="L24" s="26"/>
      <c r="M24" s="24"/>
      <c r="O24" s="33"/>
      <c r="P24" s="5"/>
      <c r="Q24" s="34"/>
      <c r="R24" s="17"/>
      <c r="S24" s="17"/>
      <c r="T24" s="33"/>
      <c r="U24" s="5"/>
      <c r="V24" s="34"/>
      <c r="W24" s="17"/>
      <c r="X24" s="29"/>
      <c r="Y24" s="34"/>
      <c r="Z24" s="12"/>
      <c r="AA24" s="4"/>
      <c r="AB24" s="12"/>
      <c r="AC24" s="12"/>
      <c r="AD24" s="5"/>
      <c r="AE24" s="26"/>
    </row>
    <row r="25" spans="1:31">
      <c r="A25" s="6">
        <f>+A21+7</f>
        <v>45923</v>
      </c>
      <c r="B25" s="5" t="str">
        <f>+B21</f>
        <v>T</v>
      </c>
      <c r="C25" s="5" t="s">
        <v>52</v>
      </c>
      <c r="D25" s="31" t="s">
        <v>38</v>
      </c>
      <c r="E25" s="27"/>
      <c r="F25" s="5" t="s">
        <v>114</v>
      </c>
      <c r="L25" s="26" t="s">
        <v>58</v>
      </c>
      <c r="M25" s="24" t="str">
        <f>M23</f>
        <v>Ch  6 Risk Return</v>
      </c>
      <c r="O25" s="6"/>
      <c r="P25" s="5"/>
      <c r="Q25" s="5"/>
      <c r="R25" s="31"/>
      <c r="S25" s="31"/>
      <c r="T25" s="6"/>
      <c r="U25" s="5"/>
      <c r="V25" s="5"/>
      <c r="W25" s="31"/>
      <c r="X25" s="27"/>
      <c r="Y25" s="5"/>
      <c r="Z25" s="10"/>
      <c r="AA25" s="10"/>
      <c r="AB25" s="10"/>
      <c r="AC25" s="47"/>
      <c r="AD25" s="5"/>
      <c r="AE25" s="26"/>
    </row>
    <row r="26" spans="1:31">
      <c r="A26" s="6">
        <f>+A25+2</f>
        <v>45925</v>
      </c>
      <c r="B26" s="5" t="s">
        <v>3</v>
      </c>
      <c r="C26" s="5" t="s">
        <v>10</v>
      </c>
      <c r="D26" s="31" t="s">
        <v>39</v>
      </c>
      <c r="E26" s="27"/>
      <c r="F26" s="5" t="s">
        <v>115</v>
      </c>
      <c r="G26" s="10"/>
      <c r="H26" s="10"/>
      <c r="L26" s="26" t="s">
        <v>58</v>
      </c>
      <c r="M26" s="24"/>
      <c r="O26" s="6"/>
      <c r="P26" s="5"/>
      <c r="Q26" s="5"/>
      <c r="R26" s="31"/>
      <c r="S26" s="31"/>
      <c r="T26" s="6"/>
      <c r="U26" s="5"/>
      <c r="V26" s="5"/>
      <c r="W26" s="31"/>
      <c r="X26" s="27"/>
      <c r="Y26" s="27"/>
      <c r="Z26" s="10"/>
      <c r="AA26" s="10"/>
      <c r="AD26" s="5"/>
      <c r="AE26" s="26"/>
    </row>
    <row r="27" spans="1:31">
      <c r="A27" s="6"/>
      <c r="B27" s="5"/>
      <c r="C27" s="5"/>
      <c r="D27" s="31"/>
      <c r="E27" s="35">
        <f>+A26+1</f>
        <v>45926</v>
      </c>
      <c r="F27" s="19" t="s">
        <v>24</v>
      </c>
      <c r="G27" s="19" t="s">
        <v>82</v>
      </c>
      <c r="H27" s="20"/>
      <c r="I27" s="19"/>
      <c r="J27" s="19" t="s">
        <v>31</v>
      </c>
      <c r="K27" s="5" t="s">
        <v>128</v>
      </c>
      <c r="L27" s="26"/>
      <c r="M27" s="24"/>
      <c r="O27" s="6"/>
      <c r="P27" s="5"/>
      <c r="Q27" s="5"/>
      <c r="R27" s="31"/>
      <c r="S27" s="31"/>
      <c r="T27" s="6"/>
      <c r="U27" s="5"/>
      <c r="V27" s="5"/>
      <c r="W27" s="31"/>
      <c r="X27" s="27"/>
      <c r="Y27" s="27"/>
      <c r="Z27" s="10"/>
      <c r="AA27" s="10"/>
      <c r="AD27" s="5"/>
      <c r="AE27" s="26"/>
    </row>
    <row r="28" spans="1:31" ht="14.25">
      <c r="A28" s="6"/>
      <c r="B28" s="5"/>
      <c r="C28" s="34" t="s">
        <v>72</v>
      </c>
      <c r="D28" s="23"/>
      <c r="E28" s="29"/>
      <c r="F28" s="34" t="s">
        <v>72</v>
      </c>
      <c r="G28" s="12"/>
      <c r="H28" s="4"/>
      <c r="I28" s="12"/>
      <c r="K28" s="5"/>
      <c r="L28" s="26"/>
      <c r="M28" s="24"/>
      <c r="O28" s="6"/>
      <c r="P28" s="5"/>
      <c r="Q28" s="34"/>
      <c r="R28" s="23"/>
      <c r="S28" s="23"/>
      <c r="T28" s="6"/>
      <c r="U28" s="5"/>
      <c r="V28" s="34"/>
      <c r="W28" s="23"/>
      <c r="X28" s="29"/>
      <c r="Y28" s="34"/>
      <c r="Z28" s="12"/>
      <c r="AA28" s="4"/>
      <c r="AB28" s="12"/>
      <c r="AD28" s="5"/>
      <c r="AE28" s="26"/>
    </row>
    <row r="29" spans="1:31">
      <c r="A29" s="6">
        <f>+A25+7</f>
        <v>45930</v>
      </c>
      <c r="B29" s="5" t="str">
        <f>+B25</f>
        <v>T</v>
      </c>
      <c r="C29" s="5" t="s">
        <v>9</v>
      </c>
      <c r="D29" s="31" t="s">
        <v>38</v>
      </c>
      <c r="E29" s="27"/>
      <c r="F29" s="5" t="s">
        <v>120</v>
      </c>
      <c r="G29" s="10"/>
      <c r="H29" s="10"/>
      <c r="I29" s="10"/>
      <c r="J29" s="36" t="s">
        <v>44</v>
      </c>
      <c r="K29" s="5" t="s">
        <v>124</v>
      </c>
      <c r="L29" s="26" t="s">
        <v>58</v>
      </c>
      <c r="M29" s="24"/>
      <c r="O29" s="6"/>
      <c r="P29" s="5"/>
      <c r="Q29" s="5"/>
      <c r="R29" s="31"/>
      <c r="S29" s="31"/>
      <c r="T29" s="6"/>
      <c r="U29" s="5"/>
      <c r="V29" s="5"/>
      <c r="W29" s="31"/>
      <c r="X29" s="27"/>
      <c r="Y29" s="5"/>
      <c r="Z29" s="10"/>
      <c r="AA29" s="10"/>
      <c r="AB29" s="10"/>
      <c r="AC29" s="13"/>
      <c r="AD29" s="5"/>
      <c r="AE29" s="26"/>
    </row>
    <row r="30" spans="1:31" ht="15">
      <c r="A30" s="6">
        <f>A29+1</f>
        <v>45931</v>
      </c>
      <c r="B30" s="5" t="s">
        <v>40</v>
      </c>
      <c r="C30" s="7" t="s">
        <v>100</v>
      </c>
      <c r="D30" s="32"/>
      <c r="E30" s="27"/>
      <c r="F30" s="18" t="s">
        <v>34</v>
      </c>
      <c r="G30" s="10"/>
      <c r="H30" s="10"/>
      <c r="I30" s="10"/>
      <c r="J30" s="40"/>
      <c r="K30" s="5"/>
      <c r="L30" s="26"/>
      <c r="M30" s="24"/>
      <c r="O30" s="6"/>
      <c r="P30" s="5"/>
      <c r="Q30" s="5"/>
      <c r="R30" s="31"/>
      <c r="S30" s="31"/>
      <c r="T30" s="6"/>
      <c r="U30" s="5"/>
      <c r="V30" s="5"/>
      <c r="W30" s="31"/>
      <c r="X30" s="27"/>
      <c r="Y30" s="5"/>
      <c r="Z30" s="10"/>
      <c r="AA30" s="10"/>
      <c r="AB30" s="10"/>
      <c r="AC30" s="13"/>
      <c r="AD30" s="5"/>
      <c r="AE30" s="26"/>
    </row>
    <row r="31" spans="1:31">
      <c r="A31" s="6">
        <f>+A29+2</f>
        <v>45932</v>
      </c>
      <c r="B31" s="5" t="str">
        <f>B26</f>
        <v>Th</v>
      </c>
      <c r="C31" s="5" t="s">
        <v>9</v>
      </c>
      <c r="D31" s="31" t="s">
        <v>39</v>
      </c>
      <c r="E31" s="27"/>
      <c r="F31" s="5" t="s">
        <v>121</v>
      </c>
      <c r="G31" s="10"/>
      <c r="H31" s="10"/>
      <c r="L31" s="26" t="s">
        <v>58</v>
      </c>
      <c r="M31" s="24" t="s">
        <v>61</v>
      </c>
      <c r="O31" s="6"/>
      <c r="P31" s="5"/>
      <c r="Q31" s="7"/>
      <c r="R31" s="32"/>
      <c r="S31" s="31"/>
      <c r="T31" s="6"/>
      <c r="U31" s="5"/>
      <c r="V31" s="5"/>
      <c r="W31" s="31"/>
      <c r="X31" s="27"/>
      <c r="Y31" s="27"/>
      <c r="Z31" s="10"/>
      <c r="AC31" s="47"/>
      <c r="AD31" s="5"/>
      <c r="AE31" s="26"/>
    </row>
    <row r="32" spans="1:31">
      <c r="A32" s="5"/>
      <c r="D32" s="23"/>
      <c r="E32" s="29"/>
      <c r="L32" s="26" t="s">
        <v>58</v>
      </c>
      <c r="M32" s="24" t="str">
        <f>M31</f>
        <v>Ch  5 bonds</v>
      </c>
      <c r="O32" s="6"/>
      <c r="P32" s="5"/>
      <c r="Q32" s="5"/>
      <c r="R32" s="31"/>
      <c r="S32" s="23"/>
      <c r="T32" s="5"/>
      <c r="W32" s="23"/>
      <c r="X32" s="29"/>
      <c r="Y32" s="12"/>
      <c r="Z32" s="12"/>
      <c r="AA32" s="4"/>
      <c r="AB32" s="12"/>
      <c r="AC32" s="12"/>
      <c r="AD32" s="5"/>
      <c r="AE32" s="26"/>
    </row>
    <row r="33" spans="1:32" ht="14.25">
      <c r="A33" s="5"/>
      <c r="C33" s="34" t="s">
        <v>73</v>
      </c>
      <c r="D33" s="23"/>
      <c r="E33" s="29"/>
      <c r="F33" s="34" t="s">
        <v>73</v>
      </c>
      <c r="G33" s="12"/>
      <c r="H33" s="4"/>
      <c r="I33" s="12"/>
      <c r="J33" s="12"/>
      <c r="K33" s="5"/>
      <c r="L33" s="26"/>
      <c r="M33" s="24"/>
      <c r="O33" s="5"/>
      <c r="Q33" s="34"/>
      <c r="R33" s="23"/>
      <c r="S33" s="23"/>
      <c r="T33" s="5"/>
      <c r="V33" s="34"/>
      <c r="W33" s="23"/>
      <c r="X33" s="29"/>
      <c r="Y33" s="34"/>
      <c r="Z33" s="12"/>
      <c r="AA33" s="4"/>
      <c r="AB33" s="5"/>
      <c r="AC33" s="31"/>
      <c r="AD33" s="27"/>
      <c r="AE33" s="5"/>
      <c r="AF33" s="10"/>
    </row>
    <row r="34" spans="1:32">
      <c r="A34" s="6">
        <f>+A29+7</f>
        <v>45937</v>
      </c>
      <c r="B34" s="5" t="str">
        <f>+B29</f>
        <v>T</v>
      </c>
      <c r="C34" s="5" t="s">
        <v>20</v>
      </c>
      <c r="D34" s="31" t="s">
        <v>38</v>
      </c>
      <c r="E34" s="27"/>
      <c r="F34" s="5" t="s">
        <v>123</v>
      </c>
      <c r="G34" s="10"/>
      <c r="K34" s="5" t="str">
        <f>M31</f>
        <v>Ch  5 bonds</v>
      </c>
      <c r="L34" s="26" t="s">
        <v>58</v>
      </c>
      <c r="M34" s="24"/>
      <c r="O34" s="6"/>
      <c r="P34" s="5"/>
      <c r="Q34" s="5"/>
      <c r="R34" s="31"/>
      <c r="S34" s="31"/>
      <c r="T34" s="6"/>
      <c r="U34" s="5"/>
      <c r="V34" s="5"/>
      <c r="W34" s="31"/>
      <c r="X34" s="27"/>
      <c r="Y34" s="5"/>
      <c r="Z34" s="10"/>
      <c r="AD34" s="5"/>
      <c r="AE34" s="26"/>
    </row>
    <row r="35" spans="1:32">
      <c r="A35" s="6">
        <f>+A34+2</f>
        <v>45939</v>
      </c>
      <c r="B35" s="5" t="str">
        <f>+B31</f>
        <v>Th</v>
      </c>
      <c r="C35" s="43" t="s">
        <v>106</v>
      </c>
      <c r="D35" s="31"/>
      <c r="E35" s="27"/>
      <c r="L35" s="26" t="s">
        <v>58</v>
      </c>
      <c r="M35" s="24" t="s">
        <v>62</v>
      </c>
      <c r="O35" s="6"/>
      <c r="P35" s="5"/>
      <c r="Q35" s="43"/>
      <c r="S35" s="31"/>
      <c r="T35" s="6"/>
      <c r="U35" s="5"/>
      <c r="V35" s="5"/>
      <c r="W35" s="31"/>
      <c r="X35" s="27"/>
      <c r="Y35" s="27"/>
      <c r="Z35" s="10"/>
      <c r="AA35" s="10"/>
      <c r="AB35" s="10"/>
      <c r="AC35" s="47"/>
      <c r="AD35" s="5"/>
      <c r="AE35" s="26"/>
    </row>
    <row r="36" spans="1:32">
      <c r="A36" s="5"/>
      <c r="B36" s="38"/>
      <c r="C36" s="37"/>
      <c r="D36" s="23"/>
      <c r="E36" s="35">
        <f>+A35+1</f>
        <v>45940</v>
      </c>
      <c r="F36" s="19" t="s">
        <v>118</v>
      </c>
      <c r="G36" s="45" t="s">
        <v>119</v>
      </c>
      <c r="H36" s="20"/>
      <c r="I36" s="19"/>
      <c r="J36" s="36" t="s">
        <v>41</v>
      </c>
      <c r="K36" s="5" t="str">
        <f>M32</f>
        <v>Ch  5 bonds</v>
      </c>
      <c r="L36" s="26" t="s">
        <v>58</v>
      </c>
      <c r="M36" s="24" t="str">
        <f>M35</f>
        <v>Ch  7 Equities</v>
      </c>
      <c r="O36" s="5"/>
      <c r="P36" s="38"/>
      <c r="Q36" s="37"/>
      <c r="R36" s="23"/>
      <c r="S36" s="23"/>
      <c r="T36" s="5"/>
      <c r="U36" s="38"/>
      <c r="V36" s="37"/>
      <c r="W36" s="23"/>
      <c r="X36" s="29"/>
      <c r="Y36" s="12"/>
      <c r="Z36" s="12"/>
      <c r="AA36" s="4"/>
      <c r="AB36" s="12"/>
      <c r="AC36" s="12"/>
      <c r="AD36" s="5"/>
      <c r="AE36" s="26"/>
    </row>
    <row r="37" spans="1:32" ht="14.25">
      <c r="A37" s="5"/>
      <c r="C37" s="34" t="s">
        <v>74</v>
      </c>
      <c r="D37" s="23"/>
      <c r="E37" s="29"/>
      <c r="F37" s="34" t="s">
        <v>74</v>
      </c>
      <c r="G37" s="12"/>
      <c r="H37" s="4"/>
      <c r="I37" s="12"/>
      <c r="J37" s="12"/>
      <c r="K37" s="5"/>
      <c r="L37" s="26"/>
      <c r="M37" s="24"/>
      <c r="O37" s="5"/>
      <c r="Q37" s="34"/>
      <c r="R37" s="23"/>
      <c r="S37" s="23"/>
      <c r="T37" s="5"/>
      <c r="V37" s="34"/>
      <c r="W37" s="23"/>
      <c r="X37" s="29"/>
      <c r="Y37" s="34"/>
      <c r="Z37" s="12"/>
      <c r="AA37" s="4"/>
      <c r="AB37" s="12"/>
      <c r="AC37" s="12"/>
      <c r="AD37" s="5"/>
      <c r="AE37" s="26"/>
    </row>
    <row r="38" spans="1:32">
      <c r="A38" s="6">
        <f>+A34+7</f>
        <v>45944</v>
      </c>
      <c r="B38" s="5" t="str">
        <f>+B34</f>
        <v>T</v>
      </c>
      <c r="C38" s="5" t="s">
        <v>54</v>
      </c>
      <c r="D38" s="31" t="s">
        <v>39</v>
      </c>
      <c r="E38" s="27"/>
      <c r="F38" s="5" t="s">
        <v>89</v>
      </c>
      <c r="H38" s="10"/>
      <c r="K38" s="5"/>
      <c r="L38" s="26" t="s">
        <v>58</v>
      </c>
      <c r="M38" s="24"/>
      <c r="O38" s="6"/>
      <c r="P38" s="5"/>
      <c r="Q38" s="5"/>
      <c r="R38" s="31"/>
      <c r="S38" s="31"/>
      <c r="T38" s="6"/>
      <c r="U38" s="5"/>
      <c r="V38" s="5"/>
      <c r="W38" s="31"/>
      <c r="X38" s="27"/>
      <c r="Y38" s="5"/>
      <c r="Z38" s="10"/>
      <c r="AA38" s="10"/>
      <c r="AD38" s="5"/>
      <c r="AE38" s="26"/>
    </row>
    <row r="39" spans="1:32">
      <c r="A39" s="6">
        <f>+A38+2</f>
        <v>45946</v>
      </c>
      <c r="B39" s="5" t="str">
        <f>+B35</f>
        <v>Th</v>
      </c>
      <c r="C39" s="5" t="s">
        <v>11</v>
      </c>
      <c r="D39" s="31" t="s">
        <v>38</v>
      </c>
      <c r="E39" s="27"/>
      <c r="F39" s="27" t="s">
        <v>90</v>
      </c>
      <c r="G39" s="10"/>
      <c r="H39" s="10"/>
      <c r="I39" s="10"/>
      <c r="J39" s="36" t="s">
        <v>45</v>
      </c>
      <c r="K39" s="5" t="str">
        <f>M35</f>
        <v>Ch  7 Equities</v>
      </c>
      <c r="L39" s="26" t="s">
        <v>58</v>
      </c>
      <c r="M39" s="25" t="s">
        <v>63</v>
      </c>
      <c r="O39" s="6"/>
      <c r="P39" s="5"/>
      <c r="Q39" s="5"/>
      <c r="R39" s="31"/>
      <c r="S39" s="31"/>
      <c r="T39" s="6"/>
      <c r="U39" s="5"/>
      <c r="V39" s="5"/>
      <c r="W39" s="31"/>
      <c r="X39" s="27"/>
      <c r="Y39" s="5"/>
      <c r="Z39" s="10"/>
      <c r="AA39" s="10"/>
      <c r="AB39" s="10"/>
      <c r="AC39" s="47"/>
      <c r="AD39" s="5"/>
      <c r="AE39" s="26"/>
    </row>
    <row r="40" spans="1:32">
      <c r="A40" s="5"/>
      <c r="D40" s="23"/>
      <c r="E40" s="35">
        <f>+A39+1</f>
        <v>45947</v>
      </c>
      <c r="F40" s="19" t="s">
        <v>24</v>
      </c>
      <c r="G40" s="19" t="s">
        <v>82</v>
      </c>
      <c r="H40" s="20"/>
      <c r="I40" s="19"/>
      <c r="J40" s="19" t="s">
        <v>30</v>
      </c>
      <c r="K40" s="5" t="str">
        <f>M36</f>
        <v>Ch  7 Equities</v>
      </c>
      <c r="L40" s="26" t="s">
        <v>58</v>
      </c>
      <c r="M40" s="24" t="str">
        <f>M39</f>
        <v>Ch  9 Cost Cap</v>
      </c>
      <c r="O40" s="5"/>
      <c r="S40" s="23"/>
      <c r="T40" s="5"/>
      <c r="W40" s="23"/>
      <c r="X40" s="29"/>
      <c r="Y40" s="12"/>
      <c r="Z40" s="12"/>
      <c r="AA40" s="4"/>
      <c r="AB40" s="12"/>
      <c r="AC40" s="12"/>
      <c r="AD40" s="5"/>
      <c r="AE40" s="26"/>
    </row>
    <row r="41" spans="1:32" ht="14.25">
      <c r="A41" s="5"/>
      <c r="C41" s="34" t="s">
        <v>75</v>
      </c>
      <c r="D41" s="23"/>
      <c r="E41" s="29"/>
      <c r="F41" s="34" t="s">
        <v>76</v>
      </c>
      <c r="G41" s="12"/>
      <c r="H41" s="4"/>
      <c r="I41" s="12"/>
      <c r="J41" s="12"/>
      <c r="K41" s="5"/>
      <c r="L41" s="26"/>
      <c r="M41" s="24"/>
      <c r="O41" s="5"/>
      <c r="Q41" s="34"/>
      <c r="R41" s="23"/>
      <c r="S41" s="23"/>
      <c r="T41" s="5"/>
      <c r="V41" s="34"/>
      <c r="W41" s="23"/>
      <c r="X41" s="29"/>
      <c r="Y41" s="34"/>
      <c r="Z41" s="12"/>
      <c r="AA41" s="4"/>
      <c r="AB41" s="12"/>
      <c r="AC41" s="12"/>
      <c r="AD41" s="5"/>
      <c r="AE41" s="26"/>
    </row>
    <row r="42" spans="1:32">
      <c r="A42" s="6">
        <f>+A38+7</f>
        <v>45951</v>
      </c>
      <c r="B42" s="5" t="str">
        <f>+B38</f>
        <v>T</v>
      </c>
      <c r="C42" s="5" t="s">
        <v>53</v>
      </c>
      <c r="D42" s="31" t="s">
        <v>39</v>
      </c>
      <c r="E42" s="27"/>
      <c r="F42" s="5" t="s">
        <v>91</v>
      </c>
      <c r="G42" s="10"/>
      <c r="H42" s="10"/>
      <c r="I42" s="10"/>
      <c r="K42" s="5"/>
      <c r="L42" s="26" t="s">
        <v>58</v>
      </c>
      <c r="M42" s="24"/>
      <c r="O42" s="6"/>
      <c r="P42" s="5"/>
      <c r="Q42" s="5"/>
      <c r="R42" s="31"/>
      <c r="S42" s="31"/>
      <c r="T42" s="6"/>
      <c r="U42" s="5"/>
      <c r="V42" s="5"/>
      <c r="W42" s="31"/>
      <c r="X42" s="27"/>
      <c r="Y42" s="5"/>
      <c r="Z42" s="10"/>
      <c r="AA42" s="10"/>
      <c r="AB42" s="10"/>
      <c r="AD42" s="5"/>
      <c r="AE42" s="26"/>
    </row>
    <row r="43" spans="1:32">
      <c r="A43" s="6">
        <f>A42+2</f>
        <v>45953</v>
      </c>
      <c r="B43" s="5" t="s">
        <v>3</v>
      </c>
      <c r="C43" s="5" t="s">
        <v>12</v>
      </c>
      <c r="D43" s="31" t="s">
        <v>38</v>
      </c>
      <c r="E43" s="27"/>
      <c r="F43" s="5" t="s">
        <v>112</v>
      </c>
      <c r="G43" s="10"/>
      <c r="H43" s="10"/>
      <c r="I43" s="10"/>
      <c r="J43" s="36" t="s">
        <v>46</v>
      </c>
      <c r="K43" s="5" t="str">
        <f>M39</f>
        <v>Ch  9 Cost Cap</v>
      </c>
      <c r="L43" s="26" t="s">
        <v>58</v>
      </c>
      <c r="M43" s="24" t="s">
        <v>55</v>
      </c>
      <c r="O43" s="6"/>
      <c r="P43" s="5"/>
      <c r="Q43" s="5"/>
      <c r="R43" s="31"/>
      <c r="S43" s="31"/>
      <c r="T43" s="6"/>
      <c r="U43" s="5"/>
      <c r="V43" s="5"/>
      <c r="W43" s="31"/>
      <c r="X43" s="27"/>
      <c r="Y43" s="5"/>
      <c r="Z43" s="10"/>
      <c r="AA43" s="10"/>
      <c r="AB43" s="10"/>
      <c r="AC43" s="47"/>
      <c r="AD43" s="5"/>
      <c r="AE43" s="26"/>
    </row>
    <row r="44" spans="1:32">
      <c r="A44" s="6"/>
      <c r="B44" s="5"/>
      <c r="C44" s="5"/>
      <c r="D44" s="5"/>
      <c r="E44" s="35">
        <f>A43+1</f>
        <v>45954</v>
      </c>
      <c r="F44" s="19" t="s">
        <v>24</v>
      </c>
      <c r="G44" s="19" t="s">
        <v>82</v>
      </c>
      <c r="H44" s="20"/>
      <c r="I44" s="19"/>
      <c r="J44" s="19" t="s">
        <v>29</v>
      </c>
      <c r="K44" s="5" t="str">
        <f>M40</f>
        <v>Ch  9 Cost Cap</v>
      </c>
      <c r="L44" s="26" t="s">
        <v>58</v>
      </c>
      <c r="M44" s="24"/>
      <c r="O44" s="6"/>
      <c r="P44" s="5"/>
      <c r="Q44" s="5"/>
      <c r="R44" s="5"/>
      <c r="S44" s="5"/>
      <c r="T44" s="6"/>
      <c r="U44" s="5"/>
      <c r="V44" s="5"/>
      <c r="W44" s="5"/>
      <c r="AE44" s="26"/>
    </row>
    <row r="45" spans="1:32" ht="14.25">
      <c r="A45" s="6"/>
      <c r="B45" s="5"/>
      <c r="C45" s="34" t="s">
        <v>77</v>
      </c>
      <c r="D45" s="32"/>
      <c r="E45" s="30"/>
      <c r="F45" s="34" t="s">
        <v>77</v>
      </c>
      <c r="G45" s="12"/>
      <c r="H45" s="4"/>
      <c r="I45" s="12"/>
      <c r="J45" s="12"/>
      <c r="K45" s="5"/>
      <c r="L45" s="26"/>
      <c r="M45" s="24"/>
      <c r="O45" s="6"/>
      <c r="P45" s="5"/>
      <c r="Q45" s="34"/>
      <c r="R45" s="32"/>
      <c r="S45" s="32"/>
      <c r="T45" s="6"/>
      <c r="U45" s="5"/>
      <c r="V45" s="34"/>
      <c r="W45" s="32"/>
      <c r="X45" s="30"/>
      <c r="Y45" s="34"/>
      <c r="Z45" s="12"/>
      <c r="AA45" s="4"/>
      <c r="AB45" s="12"/>
      <c r="AC45" s="12"/>
      <c r="AD45" s="5"/>
      <c r="AE45" s="26"/>
    </row>
    <row r="46" spans="1:32">
      <c r="A46" s="6">
        <f>+A42+7</f>
        <v>45958</v>
      </c>
      <c r="B46" s="5" t="str">
        <f>+B42</f>
        <v>T</v>
      </c>
      <c r="C46" s="5" t="s">
        <v>12</v>
      </c>
      <c r="D46" s="31" t="s">
        <v>39</v>
      </c>
      <c r="E46" s="28"/>
      <c r="F46" s="5" t="s">
        <v>111</v>
      </c>
      <c r="J46" s="36" t="s">
        <v>47</v>
      </c>
      <c r="K46" s="5" t="str">
        <f>M43</f>
        <v>Ch 10 Cap Budg</v>
      </c>
      <c r="L46" s="26" t="s">
        <v>58</v>
      </c>
      <c r="M46" s="24"/>
      <c r="O46" s="6"/>
      <c r="P46" s="5"/>
      <c r="Q46" s="5"/>
      <c r="R46" s="31"/>
      <c r="S46" s="23"/>
      <c r="T46" s="6"/>
      <c r="U46" s="5"/>
      <c r="V46" s="5"/>
      <c r="W46" s="23"/>
      <c r="X46" s="28"/>
      <c r="Y46" s="5"/>
      <c r="AD46" s="5"/>
      <c r="AE46" s="26"/>
    </row>
    <row r="47" spans="1:32" ht="15">
      <c r="A47" s="6">
        <f>A46+1</f>
        <v>45959</v>
      </c>
      <c r="B47" s="5" t="s">
        <v>40</v>
      </c>
      <c r="C47" s="7" t="s">
        <v>101</v>
      </c>
      <c r="D47" s="32"/>
      <c r="E47" s="30"/>
      <c r="F47" s="18" t="s">
        <v>35</v>
      </c>
      <c r="G47" s="10"/>
      <c r="H47" s="10"/>
      <c r="I47" s="10"/>
      <c r="K47" s="5"/>
      <c r="L47" s="26"/>
      <c r="M47" s="24"/>
      <c r="O47" s="6"/>
      <c r="P47" s="5"/>
      <c r="Q47" s="7"/>
      <c r="S47" s="32"/>
      <c r="T47" s="6"/>
      <c r="U47" s="5"/>
      <c r="V47" s="7"/>
      <c r="W47" s="32"/>
      <c r="X47" s="30"/>
      <c r="Y47" s="18"/>
      <c r="Z47" s="10"/>
      <c r="AA47" s="10"/>
      <c r="AB47" s="10"/>
      <c r="AD47" s="5"/>
      <c r="AE47" s="26"/>
    </row>
    <row r="48" spans="1:32">
      <c r="A48" s="6">
        <f>+A46+2</f>
        <v>45960</v>
      </c>
      <c r="B48" s="5" t="str">
        <f>+B43</f>
        <v>Th</v>
      </c>
      <c r="C48" s="5" t="s">
        <v>13</v>
      </c>
      <c r="D48" s="31" t="s">
        <v>38</v>
      </c>
      <c r="E48" s="28"/>
      <c r="G48" s="10"/>
      <c r="H48" s="10"/>
      <c r="K48" s="5"/>
      <c r="L48" s="26" t="s">
        <v>58</v>
      </c>
      <c r="M48" s="24"/>
      <c r="O48" s="6"/>
      <c r="P48" s="5"/>
      <c r="Q48" s="5"/>
      <c r="R48" s="31"/>
      <c r="S48" s="31"/>
      <c r="T48" s="6"/>
      <c r="U48" s="5"/>
      <c r="V48" s="5"/>
      <c r="W48" s="31"/>
      <c r="X48" s="28"/>
      <c r="Z48" s="10"/>
      <c r="AA48" s="10"/>
      <c r="AD48" s="5"/>
      <c r="AE48" s="26"/>
    </row>
    <row r="49" spans="1:31" ht="14.25">
      <c r="A49" s="6"/>
      <c r="B49" s="5"/>
      <c r="C49" s="34" t="s">
        <v>78</v>
      </c>
      <c r="D49" s="23"/>
      <c r="E49" s="28"/>
      <c r="F49" s="34" t="s">
        <v>78</v>
      </c>
      <c r="I49" s="10"/>
      <c r="J49" s="12"/>
      <c r="K49" s="5"/>
      <c r="L49" s="26" t="s">
        <v>58</v>
      </c>
      <c r="M49" s="24"/>
      <c r="O49" s="6"/>
      <c r="P49" s="5"/>
      <c r="Q49" s="34"/>
      <c r="R49" s="23"/>
      <c r="S49" s="23"/>
      <c r="T49" s="6"/>
      <c r="U49" s="5"/>
      <c r="V49" s="34"/>
      <c r="W49" s="23"/>
      <c r="X49" s="28"/>
      <c r="Y49" s="34"/>
      <c r="AB49" s="10"/>
      <c r="AC49" s="12"/>
      <c r="AD49" s="5"/>
      <c r="AE49" s="26"/>
    </row>
    <row r="50" spans="1:31">
      <c r="A50" s="6">
        <f>+A46+7</f>
        <v>45965</v>
      </c>
      <c r="B50" s="5" t="str">
        <f>+B46</f>
        <v>T</v>
      </c>
      <c r="C50" s="5" t="s">
        <v>13</v>
      </c>
      <c r="D50" s="31" t="s">
        <v>39</v>
      </c>
      <c r="E50" s="27"/>
      <c r="F50" s="5" t="s">
        <v>92</v>
      </c>
      <c r="I50" s="10"/>
      <c r="K50" s="5"/>
      <c r="L50" s="26" t="s">
        <v>58</v>
      </c>
      <c r="M50" s="24"/>
      <c r="O50" s="6"/>
      <c r="P50" s="5"/>
      <c r="Q50" s="5"/>
      <c r="R50" s="23"/>
      <c r="S50" s="31"/>
      <c r="T50" s="6"/>
      <c r="U50" s="5"/>
      <c r="V50" s="5"/>
      <c r="W50" s="31"/>
      <c r="X50" s="27"/>
      <c r="Y50" s="5"/>
      <c r="AA50" s="5"/>
      <c r="AB50" s="10"/>
      <c r="AD50" s="5"/>
      <c r="AE50" s="26"/>
    </row>
    <row r="51" spans="1:31">
      <c r="A51" s="6">
        <f>+A50+2</f>
        <v>45967</v>
      </c>
      <c r="B51" s="5" t="str">
        <f>+B48</f>
        <v>Th</v>
      </c>
      <c r="C51" s="5" t="s">
        <v>14</v>
      </c>
      <c r="D51" s="31" t="s">
        <v>38</v>
      </c>
      <c r="E51" s="27"/>
      <c r="F51" s="5" t="s">
        <v>113</v>
      </c>
      <c r="H51" s="5" t="s">
        <v>93</v>
      </c>
      <c r="I51" s="10"/>
      <c r="J51" s="36" t="s">
        <v>48</v>
      </c>
      <c r="K51" s="5" t="str">
        <f>M55</f>
        <v>Ch 11 Cf Est</v>
      </c>
      <c r="L51" s="26" t="s">
        <v>58</v>
      </c>
      <c r="M51" s="24"/>
      <c r="O51" s="6"/>
      <c r="P51" s="5"/>
      <c r="Q51" s="5"/>
      <c r="R51" s="31"/>
      <c r="S51" s="31"/>
      <c r="T51" s="6"/>
      <c r="U51" s="5"/>
      <c r="V51" s="5"/>
      <c r="W51" s="31"/>
      <c r="X51" s="27"/>
      <c r="Y51" s="5"/>
      <c r="Z51" s="10"/>
      <c r="AA51" s="10"/>
      <c r="AB51" s="10"/>
      <c r="AC51" s="47"/>
      <c r="AD51" s="5"/>
      <c r="AE51" s="26"/>
    </row>
    <row r="52" spans="1:31">
      <c r="A52" s="6"/>
      <c r="B52" s="5"/>
      <c r="D52" s="31"/>
      <c r="E52" s="35">
        <f>A51+1</f>
        <v>45968</v>
      </c>
      <c r="F52" s="19" t="s">
        <v>24</v>
      </c>
      <c r="G52" s="19" t="s">
        <v>82</v>
      </c>
      <c r="H52" s="20"/>
      <c r="I52" s="19"/>
      <c r="J52" s="19" t="s">
        <v>28</v>
      </c>
      <c r="K52" s="5" t="s">
        <v>125</v>
      </c>
      <c r="L52" s="26"/>
      <c r="M52" s="24"/>
      <c r="O52" s="6"/>
      <c r="P52" s="5"/>
      <c r="S52" s="31"/>
      <c r="T52" s="6"/>
      <c r="U52" s="5"/>
      <c r="V52" s="5"/>
      <c r="W52" s="31"/>
      <c r="X52" s="29"/>
      <c r="Y52" s="12"/>
      <c r="Z52" s="12"/>
      <c r="AA52" s="4"/>
      <c r="AB52" s="12"/>
      <c r="AC52" s="12"/>
      <c r="AD52" s="5"/>
      <c r="AE52" s="26"/>
    </row>
    <row r="53" spans="1:31" ht="14.25">
      <c r="A53" s="5"/>
      <c r="C53" s="34" t="s">
        <v>79</v>
      </c>
      <c r="D53" s="11"/>
      <c r="E53" s="29"/>
      <c r="F53" s="34" t="s">
        <v>79</v>
      </c>
      <c r="K53" s="5"/>
      <c r="L53" s="26" t="s">
        <v>58</v>
      </c>
      <c r="M53" s="24"/>
      <c r="O53" s="5"/>
      <c r="Q53" s="34"/>
      <c r="R53" s="11"/>
      <c r="S53" s="11"/>
      <c r="T53" s="5"/>
      <c r="V53" s="34"/>
      <c r="W53" s="11"/>
      <c r="X53" s="29"/>
      <c r="Y53" s="34"/>
      <c r="AD53" s="5"/>
      <c r="AE53" s="26"/>
    </row>
    <row r="54" spans="1:31">
      <c r="A54" s="6">
        <f>+A50+7</f>
        <v>45972</v>
      </c>
      <c r="B54" s="5" t="str">
        <f>+B50</f>
        <v>T</v>
      </c>
      <c r="C54" s="5" t="s">
        <v>14</v>
      </c>
      <c r="D54" s="31" t="s">
        <v>39</v>
      </c>
      <c r="E54" s="27"/>
      <c r="F54" s="5" t="s">
        <v>33</v>
      </c>
      <c r="K54" s="5"/>
      <c r="L54" s="26" t="s">
        <v>58</v>
      </c>
      <c r="M54" s="24"/>
      <c r="O54" s="6"/>
      <c r="P54" s="5"/>
      <c r="Q54" s="5"/>
      <c r="R54" s="31"/>
      <c r="S54" s="31"/>
      <c r="T54" s="6"/>
      <c r="U54" s="5"/>
      <c r="V54" s="5"/>
      <c r="W54" s="31"/>
      <c r="X54" s="27"/>
      <c r="Y54" s="5"/>
      <c r="AD54" s="5"/>
      <c r="AE54" s="26"/>
    </row>
    <row r="55" spans="1:31">
      <c r="A55" s="6">
        <f>+A54+2</f>
        <v>45974</v>
      </c>
      <c r="B55" s="5" t="str">
        <f>+B51</f>
        <v>Th</v>
      </c>
      <c r="C55" s="5" t="s">
        <v>15</v>
      </c>
      <c r="D55" s="31" t="s">
        <v>38</v>
      </c>
      <c r="E55" s="27"/>
      <c r="F55" s="5" t="s">
        <v>110</v>
      </c>
      <c r="G55" s="10"/>
      <c r="H55" s="10"/>
      <c r="L55" s="26" t="s">
        <v>58</v>
      </c>
      <c r="M55" s="24" t="s">
        <v>56</v>
      </c>
      <c r="O55" s="6"/>
      <c r="P55" s="5"/>
      <c r="Q55" s="5"/>
      <c r="R55" s="31"/>
      <c r="S55" s="31"/>
      <c r="T55" s="6"/>
      <c r="U55" s="5"/>
      <c r="V55" s="5"/>
      <c r="W55" s="31"/>
      <c r="X55" s="27"/>
      <c r="Y55" s="5"/>
      <c r="Z55" s="10"/>
      <c r="AA55" s="10"/>
      <c r="AE55" s="26"/>
    </row>
    <row r="56" spans="1:31">
      <c r="A56" s="5"/>
      <c r="C56" s="11"/>
      <c r="D56" s="11"/>
      <c r="E56" s="35">
        <f>A55+1</f>
        <v>45975</v>
      </c>
      <c r="F56" s="19" t="s">
        <v>24</v>
      </c>
      <c r="G56" s="19" t="s">
        <v>82</v>
      </c>
      <c r="H56" s="20"/>
      <c r="I56" s="19"/>
      <c r="J56" s="19" t="s">
        <v>27</v>
      </c>
      <c r="K56" s="5" t="str">
        <f>M61</f>
        <v>Ch 15 Cap Struct</v>
      </c>
      <c r="L56" s="26" t="s">
        <v>58</v>
      </c>
      <c r="M56" s="24" t="str">
        <f>M55</f>
        <v>Ch 11 Cf Est</v>
      </c>
      <c r="O56" s="5"/>
      <c r="Q56" s="11"/>
      <c r="R56" s="11"/>
      <c r="S56" s="11"/>
      <c r="T56" s="5"/>
      <c r="V56" s="11"/>
      <c r="W56" s="11"/>
      <c r="X56" s="29"/>
      <c r="Y56" s="12"/>
      <c r="Z56" s="12"/>
      <c r="AA56" s="4"/>
      <c r="AB56" s="12"/>
      <c r="AC56" s="12"/>
      <c r="AD56" s="5"/>
      <c r="AE56" s="26"/>
    </row>
    <row r="57" spans="1:31">
      <c r="A57" s="5"/>
      <c r="C57" s="11"/>
      <c r="D57" s="11"/>
      <c r="E57" s="29"/>
      <c r="F57" s="12"/>
      <c r="G57" s="12"/>
      <c r="H57" s="4"/>
      <c r="I57" s="12"/>
      <c r="J57" s="12"/>
      <c r="K57" s="5"/>
      <c r="L57" s="26"/>
      <c r="M57" s="24"/>
      <c r="O57" s="5"/>
      <c r="Q57" s="11"/>
      <c r="R57" s="11"/>
      <c r="S57" s="11"/>
      <c r="T57" s="5"/>
      <c r="V57" s="11"/>
      <c r="W57" s="11"/>
      <c r="X57" s="29"/>
      <c r="Y57" s="12"/>
      <c r="Z57" s="12"/>
      <c r="AA57" s="4"/>
      <c r="AB57" s="12"/>
      <c r="AC57" s="12"/>
      <c r="AD57" s="5"/>
      <c r="AE57" s="26"/>
    </row>
    <row r="58" spans="1:31" ht="14.25">
      <c r="A58" s="5"/>
      <c r="C58" s="34" t="s">
        <v>80</v>
      </c>
      <c r="D58" s="11"/>
      <c r="E58" s="29"/>
      <c r="F58" s="34" t="s">
        <v>80</v>
      </c>
      <c r="G58" s="12"/>
      <c r="H58" s="4"/>
      <c r="I58" s="12"/>
      <c r="J58" s="12"/>
      <c r="K58" s="5"/>
      <c r="L58" s="26"/>
      <c r="M58" s="24"/>
      <c r="O58" s="5"/>
      <c r="Q58" s="34"/>
      <c r="T58" s="5"/>
      <c r="Z58" s="12"/>
      <c r="AA58" s="4"/>
      <c r="AB58" s="12"/>
      <c r="AC58" s="12"/>
      <c r="AD58" s="5"/>
      <c r="AE58" s="26"/>
    </row>
    <row r="59" spans="1:31">
      <c r="A59" s="6">
        <f>+A54+7</f>
        <v>45979</v>
      </c>
      <c r="B59" s="5" t="str">
        <f>+B54</f>
        <v>T</v>
      </c>
      <c r="C59" s="5" t="s">
        <v>15</v>
      </c>
      <c r="D59" s="31" t="s">
        <v>39</v>
      </c>
      <c r="E59" s="27"/>
      <c r="F59" s="5" t="s">
        <v>109</v>
      </c>
      <c r="I59" s="10"/>
      <c r="K59" s="5"/>
      <c r="L59" s="26" t="s">
        <v>58</v>
      </c>
      <c r="M59" s="24"/>
      <c r="O59" s="6"/>
      <c r="P59" s="5"/>
      <c r="Q59" s="5"/>
      <c r="R59" s="31"/>
      <c r="S59" s="31"/>
      <c r="T59" s="6"/>
      <c r="U59" s="5"/>
      <c r="V59" s="5"/>
      <c r="W59" s="31"/>
      <c r="X59" s="27"/>
      <c r="AB59" s="10"/>
      <c r="AD59" s="5"/>
      <c r="AE59" s="26"/>
    </row>
    <row r="60" spans="1:31">
      <c r="A60" s="6">
        <f>+A59+2</f>
        <v>45981</v>
      </c>
      <c r="B60" s="5" t="str">
        <f>+B55</f>
        <v>Th</v>
      </c>
      <c r="C60" s="5" t="s">
        <v>19</v>
      </c>
      <c r="D60" s="31" t="s">
        <v>38</v>
      </c>
      <c r="E60" s="27"/>
      <c r="F60" s="5" t="s">
        <v>108</v>
      </c>
      <c r="G60" s="10"/>
      <c r="H60" s="10"/>
      <c r="L60" s="26" t="s">
        <v>58</v>
      </c>
      <c r="M60" s="24"/>
      <c r="O60" s="6"/>
      <c r="P60" s="5"/>
      <c r="Q60" s="5"/>
      <c r="R60" s="31"/>
      <c r="S60" s="31"/>
      <c r="T60" s="6"/>
      <c r="U60" s="5"/>
      <c r="V60" s="5"/>
      <c r="W60" s="31"/>
      <c r="X60" s="27"/>
      <c r="Y60" s="5"/>
      <c r="Z60" s="10"/>
      <c r="AA60" s="10"/>
      <c r="AE60" s="26"/>
    </row>
    <row r="61" spans="1:31">
      <c r="A61" s="5"/>
      <c r="C61" s="11"/>
      <c r="D61" s="11"/>
      <c r="E61" s="29"/>
      <c r="L61" s="26" t="s">
        <v>58</v>
      </c>
      <c r="M61" s="24" t="s">
        <v>57</v>
      </c>
      <c r="O61" s="5"/>
      <c r="Q61" s="11"/>
      <c r="R61" s="11"/>
      <c r="S61" s="11"/>
      <c r="T61" s="5"/>
      <c r="V61" s="11"/>
      <c r="W61" s="11"/>
      <c r="X61" s="29"/>
      <c r="AE61" s="26"/>
    </row>
    <row r="62" spans="1:31">
      <c r="A62" s="6">
        <f>+A59+7</f>
        <v>45986</v>
      </c>
      <c r="B62" s="5" t="str">
        <f>+B59</f>
        <v>T</v>
      </c>
      <c r="C62" s="5" t="s">
        <v>94</v>
      </c>
      <c r="D62" s="31"/>
      <c r="G62" s="10"/>
      <c r="H62" s="10"/>
      <c r="I62" s="10"/>
      <c r="K62" s="5"/>
      <c r="L62" s="26" t="s">
        <v>58</v>
      </c>
      <c r="M62" s="24"/>
      <c r="O62" s="6"/>
      <c r="P62" s="5"/>
      <c r="Q62" s="5"/>
      <c r="S62" s="31"/>
      <c r="T62" s="6"/>
      <c r="U62" s="5"/>
      <c r="V62" s="5"/>
      <c r="W62" s="31"/>
      <c r="X62" s="27"/>
      <c r="Y62" s="5"/>
      <c r="Z62" s="10"/>
      <c r="AA62" s="10"/>
      <c r="AB62" s="10"/>
      <c r="AD62" s="5"/>
      <c r="AE62" s="26"/>
    </row>
    <row r="63" spans="1:31">
      <c r="A63" s="6">
        <f>+A62+2</f>
        <v>45988</v>
      </c>
      <c r="B63" s="5" t="s">
        <v>3</v>
      </c>
      <c r="C63" s="5" t="s">
        <v>94</v>
      </c>
      <c r="D63" s="31"/>
      <c r="G63" s="10"/>
      <c r="H63" s="10"/>
      <c r="I63" s="10"/>
      <c r="K63" s="5"/>
      <c r="L63" s="26" t="s">
        <v>58</v>
      </c>
      <c r="M63" s="24"/>
      <c r="O63" s="6"/>
      <c r="P63" s="5"/>
      <c r="Q63" s="5"/>
      <c r="R63" s="31"/>
      <c r="S63" s="31"/>
      <c r="T63" s="6"/>
      <c r="U63" s="5"/>
      <c r="V63" s="5"/>
      <c r="W63" s="31"/>
      <c r="X63" s="27"/>
      <c r="Y63" s="5"/>
      <c r="Z63" s="10"/>
      <c r="AA63" s="10"/>
      <c r="AB63" s="10"/>
      <c r="AD63" s="5"/>
      <c r="AE63" s="26"/>
    </row>
    <row r="64" spans="1:31">
      <c r="A64" s="6"/>
      <c r="B64" s="5"/>
      <c r="C64" s="5"/>
      <c r="D64" s="31"/>
      <c r="G64" s="10"/>
      <c r="H64" s="10"/>
      <c r="I64" s="10"/>
      <c r="K64" s="5"/>
      <c r="L64" s="26"/>
      <c r="M64" s="24"/>
      <c r="O64" s="6"/>
      <c r="P64" s="5"/>
      <c r="Q64" s="5"/>
      <c r="R64" s="31"/>
      <c r="S64" s="31"/>
      <c r="T64" s="6"/>
      <c r="U64" s="5"/>
      <c r="V64" s="5"/>
      <c r="W64" s="31"/>
      <c r="X64" s="27"/>
      <c r="Y64" s="5"/>
      <c r="Z64" s="10"/>
      <c r="AA64" s="10"/>
      <c r="AB64" s="10"/>
      <c r="AD64" s="5"/>
      <c r="AE64" s="26"/>
    </row>
    <row r="65" spans="1:31" ht="14.25">
      <c r="A65" s="5"/>
      <c r="C65" s="34" t="s">
        <v>81</v>
      </c>
      <c r="D65" s="23"/>
      <c r="E65" s="28"/>
      <c r="F65" s="34" t="s">
        <v>81</v>
      </c>
      <c r="G65" s="10"/>
      <c r="H65" s="10"/>
      <c r="I65" s="10"/>
      <c r="K65" s="5"/>
      <c r="L65" s="26" t="s">
        <v>58</v>
      </c>
      <c r="M65" s="24"/>
      <c r="O65" s="5"/>
      <c r="Q65" s="34"/>
      <c r="R65" s="23"/>
      <c r="S65" s="23"/>
      <c r="T65" s="5"/>
      <c r="V65" s="34"/>
      <c r="W65" s="23"/>
      <c r="X65" s="28"/>
      <c r="Y65" s="34"/>
      <c r="Z65" s="10"/>
      <c r="AA65" s="10"/>
      <c r="AB65" s="10"/>
      <c r="AD65" s="5"/>
      <c r="AE65" s="26"/>
    </row>
    <row r="66" spans="1:31">
      <c r="A66" s="6">
        <f>+A62+7</f>
        <v>45993</v>
      </c>
      <c r="B66" s="5" t="str">
        <f>+B62</f>
        <v>T</v>
      </c>
      <c r="C66" s="5" t="s">
        <v>23</v>
      </c>
      <c r="D66" s="31" t="s">
        <v>38</v>
      </c>
      <c r="E66" s="27"/>
      <c r="F66" s="5" t="s">
        <v>95</v>
      </c>
      <c r="I66" s="10"/>
      <c r="K66" s="5"/>
      <c r="L66" s="26" t="s">
        <v>58</v>
      </c>
      <c r="N66" s="24"/>
      <c r="O66" s="6"/>
      <c r="P66" s="5"/>
      <c r="Q66" s="5"/>
      <c r="R66" s="31"/>
      <c r="S66" s="31"/>
      <c r="T66" s="6"/>
      <c r="U66" s="5"/>
      <c r="V66" s="5"/>
      <c r="W66" s="31"/>
      <c r="X66" s="27"/>
      <c r="Y66" s="5"/>
      <c r="AB66" s="10"/>
      <c r="AD66" s="5"/>
      <c r="AE66" s="26"/>
    </row>
    <row r="67" spans="1:31">
      <c r="A67" s="6">
        <f>+A66+2</f>
        <v>45995</v>
      </c>
      <c r="B67" s="5" t="s">
        <v>3</v>
      </c>
      <c r="C67" s="5" t="s">
        <v>21</v>
      </c>
      <c r="D67" s="31" t="s">
        <v>38</v>
      </c>
      <c r="E67" s="27"/>
      <c r="F67" s="5" t="s">
        <v>96</v>
      </c>
      <c r="G67" s="10"/>
      <c r="H67" s="10"/>
      <c r="I67" s="10"/>
      <c r="K67" s="5"/>
      <c r="L67" s="26" t="s">
        <v>58</v>
      </c>
      <c r="N67" s="24"/>
      <c r="O67" s="6"/>
      <c r="P67" s="5"/>
      <c r="Q67" s="5"/>
      <c r="R67" s="31"/>
      <c r="S67" s="31"/>
      <c r="T67" s="6"/>
      <c r="U67" s="5"/>
      <c r="V67" s="5"/>
      <c r="W67" s="31"/>
      <c r="X67" s="27"/>
      <c r="Y67" s="5"/>
      <c r="Z67" s="10"/>
      <c r="AA67" s="10"/>
      <c r="AB67" s="10"/>
      <c r="AD67" s="5"/>
      <c r="AE67" s="26"/>
    </row>
    <row r="68" spans="1:31">
      <c r="A68" s="5"/>
      <c r="D68" s="28"/>
      <c r="E68" s="28"/>
      <c r="F68" s="10"/>
      <c r="G68" s="10"/>
      <c r="H68" s="10"/>
      <c r="I68" s="10"/>
      <c r="K68" s="5"/>
      <c r="L68" s="26" t="s">
        <v>58</v>
      </c>
      <c r="N68" s="24"/>
      <c r="O68" s="5"/>
      <c r="Q68" s="5"/>
      <c r="R68" s="28"/>
      <c r="S68" s="28"/>
      <c r="T68" s="5"/>
      <c r="W68" s="28"/>
      <c r="X68" s="28"/>
      <c r="Y68" s="10"/>
      <c r="Z68" s="10"/>
      <c r="AA68" s="10"/>
      <c r="AB68" s="10"/>
      <c r="AD68" s="5"/>
      <c r="AE68" s="26"/>
    </row>
    <row r="69" spans="1:31">
      <c r="A69" s="6"/>
      <c r="B69" s="5"/>
      <c r="C69" s="8"/>
      <c r="D69" s="8"/>
      <c r="E69" s="8"/>
      <c r="L69" s="26" t="s">
        <v>58</v>
      </c>
      <c r="N69" s="24"/>
      <c r="O69" s="6"/>
      <c r="P69" s="5"/>
      <c r="Q69" s="8"/>
      <c r="R69" s="8"/>
      <c r="S69" s="8"/>
      <c r="T69" s="6"/>
      <c r="U69" s="5"/>
      <c r="V69" s="8"/>
      <c r="W69" s="8"/>
      <c r="X69" s="8"/>
      <c r="AE69" s="26"/>
    </row>
    <row r="70" spans="1:31" ht="15">
      <c r="A70" s="6">
        <f>A67+6</f>
        <v>46001</v>
      </c>
      <c r="B70" s="5" t="s">
        <v>102</v>
      </c>
      <c r="C70" s="21" t="s">
        <v>104</v>
      </c>
      <c r="D70" s="15"/>
      <c r="E70" s="15"/>
      <c r="F70" s="18" t="s">
        <v>36</v>
      </c>
      <c r="I70" s="16"/>
      <c r="J70" s="44"/>
      <c r="L70" s="26" t="s">
        <v>58</v>
      </c>
      <c r="N70" s="24"/>
      <c r="O70" s="6"/>
      <c r="P70" s="5"/>
      <c r="Q70" s="21"/>
      <c r="R70" s="15"/>
      <c r="S70" s="15"/>
      <c r="T70" s="6"/>
      <c r="U70" s="5"/>
      <c r="V70" s="21"/>
      <c r="W70" s="15"/>
      <c r="X70" s="15"/>
      <c r="Y70" s="18"/>
      <c r="AB70" s="16"/>
      <c r="AC70" s="44"/>
      <c r="AE70" s="26"/>
    </row>
    <row r="71" spans="1:31" ht="15.75">
      <c r="A71" s="6">
        <f>A70+1</f>
        <v>46002</v>
      </c>
      <c r="B71" s="5" t="s">
        <v>103</v>
      </c>
      <c r="C71" s="21" t="s">
        <v>107</v>
      </c>
      <c r="D71" s="15"/>
      <c r="E71" s="15"/>
      <c r="F71" s="41" t="s">
        <v>97</v>
      </c>
      <c r="G71" s="41" t="s">
        <v>98</v>
      </c>
      <c r="H71" s="42"/>
      <c r="I71" s="41"/>
      <c r="J71" s="44"/>
      <c r="L71" s="26"/>
      <c r="N71" s="24"/>
      <c r="O71" s="6"/>
      <c r="P71" s="5"/>
      <c r="Q71" s="21"/>
      <c r="R71" s="15"/>
      <c r="S71" s="15"/>
      <c r="T71" s="6"/>
      <c r="U71" s="5"/>
      <c r="V71" s="21"/>
      <c r="W71" s="15"/>
      <c r="X71" s="15"/>
      <c r="Y71" s="41"/>
      <c r="Z71" s="41"/>
      <c r="AA71" s="42"/>
      <c r="AB71" s="41"/>
      <c r="AC71" s="44"/>
      <c r="AE71" s="26"/>
    </row>
    <row r="72" spans="1:31" ht="15.75">
      <c r="A72" s="6">
        <f>A70+1</f>
        <v>46002</v>
      </c>
      <c r="B72" s="22" t="s">
        <v>103</v>
      </c>
      <c r="C72" s="21" t="s">
        <v>105</v>
      </c>
      <c r="D72" s="15"/>
      <c r="E72" s="15"/>
      <c r="F72" s="41" t="s">
        <v>97</v>
      </c>
      <c r="G72" s="41" t="s">
        <v>98</v>
      </c>
      <c r="H72" s="42"/>
      <c r="I72" s="41"/>
      <c r="J72" s="44"/>
      <c r="L72" s="24"/>
      <c r="M72" s="24"/>
      <c r="N72" s="24"/>
      <c r="O72" s="6"/>
      <c r="P72" s="22"/>
      <c r="Q72" s="21"/>
      <c r="R72" s="15"/>
      <c r="S72" s="15"/>
      <c r="T72" s="6"/>
      <c r="U72" s="22"/>
      <c r="V72" s="21"/>
      <c r="W72" s="15"/>
      <c r="X72" s="15"/>
      <c r="Y72" s="41"/>
      <c r="Z72" s="41"/>
      <c r="AA72" s="42"/>
      <c r="AB72" s="41"/>
      <c r="AC72" s="44"/>
      <c r="AE72" s="24"/>
    </row>
    <row r="73" spans="1:31">
      <c r="A73" s="6"/>
      <c r="B73" s="5"/>
      <c r="C73" s="15"/>
      <c r="D73" s="8"/>
      <c r="E73" s="8"/>
      <c r="L73" s="24"/>
      <c r="M73" s="24"/>
      <c r="N73" s="24"/>
      <c r="O73" s="24"/>
      <c r="P73" s="24"/>
      <c r="Q73" s="24"/>
      <c r="R73" s="24"/>
      <c r="S73" s="24"/>
      <c r="T73" s="6"/>
      <c r="U73" s="5"/>
      <c r="V73" s="15"/>
      <c r="W73" s="8"/>
      <c r="X73" s="8"/>
      <c r="AE73" s="24"/>
    </row>
    <row r="74" spans="1:31">
      <c r="A74" s="9" t="s">
        <v>4</v>
      </c>
      <c r="L74" s="24"/>
      <c r="M74" s="24"/>
      <c r="N74" s="24"/>
      <c r="O74" s="24"/>
      <c r="P74" s="24"/>
      <c r="Q74" s="24"/>
      <c r="R74" s="24"/>
      <c r="S74" s="24"/>
      <c r="T74" s="9"/>
      <c r="AE74" s="24"/>
    </row>
    <row r="75" spans="1:31">
      <c r="A75" s="9" t="s">
        <v>2</v>
      </c>
      <c r="L75" s="24"/>
      <c r="M75" s="24"/>
      <c r="N75" s="24"/>
      <c r="O75" s="24"/>
      <c r="P75" s="24"/>
      <c r="Q75" s="24"/>
      <c r="R75" s="24"/>
      <c r="S75" s="24"/>
      <c r="T75" s="9"/>
      <c r="AE75" s="24"/>
    </row>
    <row r="76" spans="1:31">
      <c r="L76" s="24"/>
      <c r="M76" s="24"/>
      <c r="N76" s="24"/>
      <c r="O76" s="24"/>
      <c r="P76" s="24"/>
      <c r="Q76" s="24"/>
      <c r="R76" s="24"/>
      <c r="S76" s="24"/>
    </row>
    <row r="77" spans="1:31">
      <c r="L77" s="24"/>
      <c r="M77" s="24"/>
      <c r="N77" s="24"/>
      <c r="O77" s="24"/>
      <c r="P77" s="24"/>
      <c r="Q77" s="24"/>
      <c r="R77" s="24"/>
      <c r="S77" s="24"/>
    </row>
  </sheetData>
  <printOptions gridLines="1"/>
  <pageMargins left="0.27" right="0.33" top="0.27" bottom="0.5" header="0.25" footer="0.25"/>
  <pageSetup scale="7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F2025 (2)</vt:lpstr>
      <vt:lpstr>F2025</vt:lpstr>
      <vt:lpstr>'F2025'!Print_Area</vt:lpstr>
      <vt:lpstr>'F2025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 D</dc:creator>
  <cp:lastModifiedBy>Robert M Donchez</cp:lastModifiedBy>
  <cp:lastPrinted>2025-08-20T19:55:15Z</cp:lastPrinted>
  <dcterms:created xsi:type="dcterms:W3CDTF">2005-08-18T04:54:42Z</dcterms:created>
  <dcterms:modified xsi:type="dcterms:W3CDTF">2025-10-14T02:58:23Z</dcterms:modified>
</cp:coreProperties>
</file>